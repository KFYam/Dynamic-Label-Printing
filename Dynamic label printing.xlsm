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Z:\Codes\vbacodes\BBER_Warehouse_Management\03_Delivery_Order\"/>
    </mc:Choice>
  </mc:AlternateContent>
  <xr:revisionPtr revIDLastSave="0" documentId="13_ncr:1_{272BBDD4-9533-4807-A129-9982D6DE1C39}" xr6:coauthVersionLast="47" xr6:coauthVersionMax="47" xr10:uidLastSave="{00000000-0000-0000-0000-000000000000}"/>
  <bookViews>
    <workbookView xWindow="1170" yWindow="1170" windowWidth="21600" windowHeight="11295" activeTab="2" xr2:uid="{00000000-000D-0000-FFFF-FFFF00000000}"/>
  </bookViews>
  <sheets>
    <sheet name="Delivery Order" sheetId="2" r:id="rId1"/>
    <sheet name="Label Printing" sheetId="3" r:id="rId2"/>
    <sheet name="Packed Item List" sheetId="4" r:id="rId3"/>
  </sheets>
  <functionGroups builtInGroupCount="19"/>
  <externalReferences>
    <externalReference r:id="rId4"/>
    <externalReference r:id="rId5"/>
  </externalReferences>
  <definedNames>
    <definedName name="group">[1]工作表2!$B$4:$B$7</definedName>
    <definedName name="names">[1]工作表2!$C$4:$E$7</definedName>
    <definedName name="_xlnm.Print_Area" localSheetId="0">'Delivery Order'!$B$2:$J$27</definedName>
    <definedName name="_xlnm.Print_Area" localSheetId="1">'Label Printing'!$A$1:$I$42</definedName>
    <definedName name="uniquecode">OFFSET(#REF!, 0, 0, COUNT(IF(#REF!="", "", 1)),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3" i="2" l="1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2" i="2"/>
  <c r="H13" i="2"/>
  <c r="H14" i="2"/>
  <c r="H15" i="2"/>
  <c r="N15" i="2" s="1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2" i="2"/>
  <c r="C7" i="2"/>
  <c r="G2" i="3" s="1"/>
  <c r="L3" i="3"/>
  <c r="A12" i="3" s="1"/>
  <c r="J12" i="3" s="1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1170" i="2"/>
  <c r="N1171" i="2"/>
  <c r="N1172" i="2"/>
  <c r="N1173" i="2"/>
  <c r="N1174" i="2"/>
  <c r="N1175" i="2"/>
  <c r="N1176" i="2"/>
  <c r="N1177" i="2"/>
  <c r="N1178" i="2"/>
  <c r="N1179" i="2"/>
  <c r="N1180" i="2"/>
  <c r="N1181" i="2"/>
  <c r="N1182" i="2"/>
  <c r="N1183" i="2"/>
  <c r="N1184" i="2"/>
  <c r="N1185" i="2"/>
  <c r="N1186" i="2"/>
  <c r="N1187" i="2"/>
  <c r="N1188" i="2"/>
  <c r="N1189" i="2"/>
  <c r="N1190" i="2"/>
  <c r="N1191" i="2"/>
  <c r="N1192" i="2"/>
  <c r="N1193" i="2"/>
  <c r="N1194" i="2"/>
  <c r="N1195" i="2"/>
  <c r="N1196" i="2"/>
  <c r="N1197" i="2"/>
  <c r="N1198" i="2"/>
  <c r="N1199" i="2"/>
  <c r="N1200" i="2"/>
  <c r="N1201" i="2"/>
  <c r="N1202" i="2"/>
  <c r="N1203" i="2"/>
  <c r="N1204" i="2"/>
  <c r="N1205" i="2"/>
  <c r="N1206" i="2"/>
  <c r="N1207" i="2"/>
  <c r="N1208" i="2"/>
  <c r="N1209" i="2"/>
  <c r="N1210" i="2"/>
  <c r="N1211" i="2"/>
  <c r="N1212" i="2"/>
  <c r="N1213" i="2"/>
  <c r="N1214" i="2"/>
  <c r="N1215" i="2"/>
  <c r="N1216" i="2"/>
  <c r="N1217" i="2"/>
  <c r="N1218" i="2"/>
  <c r="N1219" i="2"/>
  <c r="N1220" i="2"/>
  <c r="N1221" i="2"/>
  <c r="N1222" i="2"/>
  <c r="N1223" i="2"/>
  <c r="N1224" i="2"/>
  <c r="N1225" i="2"/>
  <c r="N1226" i="2"/>
  <c r="N1227" i="2"/>
  <c r="N1228" i="2"/>
  <c r="N1229" i="2"/>
  <c r="N1230" i="2"/>
  <c r="N1231" i="2"/>
  <c r="N1232" i="2"/>
  <c r="N1233" i="2"/>
  <c r="N1234" i="2"/>
  <c r="N1235" i="2"/>
  <c r="N1236" i="2"/>
  <c r="N1237" i="2"/>
  <c r="N1238" i="2"/>
  <c r="N1239" i="2"/>
  <c r="N1240" i="2"/>
  <c r="N1241" i="2"/>
  <c r="N1242" i="2"/>
  <c r="N1243" i="2"/>
  <c r="N1244" i="2"/>
  <c r="N1245" i="2"/>
  <c r="N1246" i="2"/>
  <c r="N1247" i="2"/>
  <c r="N1248" i="2"/>
  <c r="N1249" i="2"/>
  <c r="N1250" i="2"/>
  <c r="N1251" i="2"/>
  <c r="N1252" i="2"/>
  <c r="N1253" i="2"/>
  <c r="N1254" i="2"/>
  <c r="N1255" i="2"/>
  <c r="N1256" i="2"/>
  <c r="N1257" i="2"/>
  <c r="N1258" i="2"/>
  <c r="N1259" i="2"/>
  <c r="N1260" i="2"/>
  <c r="N1261" i="2"/>
  <c r="N1262" i="2"/>
  <c r="N1263" i="2"/>
  <c r="N1264" i="2"/>
  <c r="N1265" i="2"/>
  <c r="N1266" i="2"/>
  <c r="N1267" i="2"/>
  <c r="N1268" i="2"/>
  <c r="N1269" i="2"/>
  <c r="N1270" i="2"/>
  <c r="N1271" i="2"/>
  <c r="N1272" i="2"/>
  <c r="N1273" i="2"/>
  <c r="N1274" i="2"/>
  <c r="N1275" i="2"/>
  <c r="N1276" i="2"/>
  <c r="N1277" i="2"/>
  <c r="N1278" i="2"/>
  <c r="N1279" i="2"/>
  <c r="N1280" i="2"/>
  <c r="N1281" i="2"/>
  <c r="N1282" i="2"/>
  <c r="N1283" i="2"/>
  <c r="N1284" i="2"/>
  <c r="N1285" i="2"/>
  <c r="N1286" i="2"/>
  <c r="N1287" i="2"/>
  <c r="N1288" i="2"/>
  <c r="N1289" i="2"/>
  <c r="N1290" i="2"/>
  <c r="N1291" i="2"/>
  <c r="N1292" i="2"/>
  <c r="N1293" i="2"/>
  <c r="N1294" i="2"/>
  <c r="N1295" i="2"/>
  <c r="N1296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N1342" i="2"/>
  <c r="N1343" i="2"/>
  <c r="N1344" i="2"/>
  <c r="N1345" i="2"/>
  <c r="N1346" i="2"/>
  <c r="N1347" i="2"/>
  <c r="N1348" i="2"/>
  <c r="N1349" i="2"/>
  <c r="N1350" i="2"/>
  <c r="N1351" i="2"/>
  <c r="N1352" i="2"/>
  <c r="N1353" i="2"/>
  <c r="N1354" i="2"/>
  <c r="N1355" i="2"/>
  <c r="N1356" i="2"/>
  <c r="N1357" i="2"/>
  <c r="N1358" i="2"/>
  <c r="N1359" i="2"/>
  <c r="N1360" i="2"/>
  <c r="N1361" i="2"/>
  <c r="N1362" i="2"/>
  <c r="N1363" i="2"/>
  <c r="N1364" i="2"/>
  <c r="N1365" i="2"/>
  <c r="N1366" i="2"/>
  <c r="N1367" i="2"/>
  <c r="N1368" i="2"/>
  <c r="N1369" i="2"/>
  <c r="N1370" i="2"/>
  <c r="N1371" i="2"/>
  <c r="N1372" i="2"/>
  <c r="N1373" i="2"/>
  <c r="N1374" i="2"/>
  <c r="N1375" i="2"/>
  <c r="N1376" i="2"/>
  <c r="N1377" i="2"/>
  <c r="N1378" i="2"/>
  <c r="N1379" i="2"/>
  <c r="N1380" i="2"/>
  <c r="N1381" i="2"/>
  <c r="N1382" i="2"/>
  <c r="N1383" i="2"/>
  <c r="N1384" i="2"/>
  <c r="N1385" i="2"/>
  <c r="N1386" i="2"/>
  <c r="N1387" i="2"/>
  <c r="N1388" i="2"/>
  <c r="N1389" i="2"/>
  <c r="N1390" i="2"/>
  <c r="N1391" i="2"/>
  <c r="N1392" i="2"/>
  <c r="N1393" i="2"/>
  <c r="N1394" i="2"/>
  <c r="N1395" i="2"/>
  <c r="N1396" i="2"/>
  <c r="N1397" i="2"/>
  <c r="N1398" i="2"/>
  <c r="N1399" i="2"/>
  <c r="N1400" i="2"/>
  <c r="N1401" i="2"/>
  <c r="N1402" i="2"/>
  <c r="N1403" i="2"/>
  <c r="N1404" i="2"/>
  <c r="N1405" i="2"/>
  <c r="N1406" i="2"/>
  <c r="N1407" i="2"/>
  <c r="N1408" i="2"/>
  <c r="N1409" i="2"/>
  <c r="N1410" i="2"/>
  <c r="N1411" i="2"/>
  <c r="N1412" i="2"/>
  <c r="N1413" i="2"/>
  <c r="N1414" i="2"/>
  <c r="N1415" i="2"/>
  <c r="N1416" i="2"/>
  <c r="N1417" i="2"/>
  <c r="N1418" i="2"/>
  <c r="N1419" i="2"/>
  <c r="N1420" i="2"/>
  <c r="N1421" i="2"/>
  <c r="N1422" i="2"/>
  <c r="N1423" i="2"/>
  <c r="N1424" i="2"/>
  <c r="N1425" i="2"/>
  <c r="N1426" i="2"/>
  <c r="N1427" i="2"/>
  <c r="N1428" i="2"/>
  <c r="N1429" i="2"/>
  <c r="N1430" i="2"/>
  <c r="N1431" i="2"/>
  <c r="N1432" i="2"/>
  <c r="N1433" i="2"/>
  <c r="N1434" i="2"/>
  <c r="N1435" i="2"/>
  <c r="N1436" i="2"/>
  <c r="N1437" i="2"/>
  <c r="N1438" i="2"/>
  <c r="N1439" i="2"/>
  <c r="N1440" i="2"/>
  <c r="N1441" i="2"/>
  <c r="N1442" i="2"/>
  <c r="N1443" i="2"/>
  <c r="N1444" i="2"/>
  <c r="N1445" i="2"/>
  <c r="N1446" i="2"/>
  <c r="N1447" i="2"/>
  <c r="N1448" i="2"/>
  <c r="N1449" i="2"/>
  <c r="N1450" i="2"/>
  <c r="N1451" i="2"/>
  <c r="N1452" i="2"/>
  <c r="N1453" i="2"/>
  <c r="N1454" i="2"/>
  <c r="N1455" i="2"/>
  <c r="N1456" i="2"/>
  <c r="N1457" i="2"/>
  <c r="N1458" i="2"/>
  <c r="N1459" i="2"/>
  <c r="N1460" i="2"/>
  <c r="N1461" i="2"/>
  <c r="N1462" i="2"/>
  <c r="N1463" i="2"/>
  <c r="N1464" i="2"/>
  <c r="N1465" i="2"/>
  <c r="N1466" i="2"/>
  <c r="N1467" i="2"/>
  <c r="N1468" i="2"/>
  <c r="N1469" i="2"/>
  <c r="N1470" i="2"/>
  <c r="N1471" i="2"/>
  <c r="N1472" i="2"/>
  <c r="N1473" i="2"/>
  <c r="N1474" i="2"/>
  <c r="N1475" i="2"/>
  <c r="N1476" i="2"/>
  <c r="N1477" i="2"/>
  <c r="N1478" i="2"/>
  <c r="N1479" i="2"/>
  <c r="N1480" i="2"/>
  <c r="N1481" i="2"/>
  <c r="N1482" i="2"/>
  <c r="N1483" i="2"/>
  <c r="N1484" i="2"/>
  <c r="N1485" i="2"/>
  <c r="N1486" i="2"/>
  <c r="N1487" i="2"/>
  <c r="N1488" i="2"/>
  <c r="N1489" i="2"/>
  <c r="N1490" i="2"/>
  <c r="N1491" i="2"/>
  <c r="N1492" i="2"/>
  <c r="N1493" i="2"/>
  <c r="N1494" i="2"/>
  <c r="N1495" i="2"/>
  <c r="N1496" i="2"/>
  <c r="N1497" i="2"/>
  <c r="N1498" i="2"/>
  <c r="N1499" i="2"/>
  <c r="N1500" i="2"/>
  <c r="N1501" i="2"/>
  <c r="N1502" i="2"/>
  <c r="N1503" i="2"/>
  <c r="N1504" i="2"/>
  <c r="N1505" i="2"/>
  <c r="N1506" i="2"/>
  <c r="N1507" i="2"/>
  <c r="N1508" i="2"/>
  <c r="N1509" i="2"/>
  <c r="N1510" i="2"/>
  <c r="N1511" i="2"/>
  <c r="N1512" i="2"/>
  <c r="N1513" i="2"/>
  <c r="N1514" i="2"/>
  <c r="N1515" i="2"/>
  <c r="N1516" i="2"/>
  <c r="N1517" i="2"/>
  <c r="N1518" i="2"/>
  <c r="N1519" i="2"/>
  <c r="N1520" i="2"/>
  <c r="N1521" i="2"/>
  <c r="N1522" i="2"/>
  <c r="N1523" i="2"/>
  <c r="N1524" i="2"/>
  <c r="N1525" i="2"/>
  <c r="N1526" i="2"/>
  <c r="N1527" i="2"/>
  <c r="N1528" i="2"/>
  <c r="N1529" i="2"/>
  <c r="N1530" i="2"/>
  <c r="N1531" i="2"/>
  <c r="N1532" i="2"/>
  <c r="N1533" i="2"/>
  <c r="N1534" i="2"/>
  <c r="N1535" i="2"/>
  <c r="N1536" i="2"/>
  <c r="N1537" i="2"/>
  <c r="N1538" i="2"/>
  <c r="N1539" i="2"/>
  <c r="N1540" i="2"/>
  <c r="N1541" i="2"/>
  <c r="N1542" i="2"/>
  <c r="N1543" i="2"/>
  <c r="N1544" i="2"/>
  <c r="N1545" i="2"/>
  <c r="N1546" i="2"/>
  <c r="N1547" i="2"/>
  <c r="N1548" i="2"/>
  <c r="N1549" i="2"/>
  <c r="N1550" i="2"/>
  <c r="N1551" i="2"/>
  <c r="N1552" i="2"/>
  <c r="N1553" i="2"/>
  <c r="N1554" i="2"/>
  <c r="N1555" i="2"/>
  <c r="N1556" i="2"/>
  <c r="N1557" i="2"/>
  <c r="N1558" i="2"/>
  <c r="N1559" i="2"/>
  <c r="N1560" i="2"/>
  <c r="N1561" i="2"/>
  <c r="N1562" i="2"/>
  <c r="N1563" i="2"/>
  <c r="N1564" i="2"/>
  <c r="N1565" i="2"/>
  <c r="N1566" i="2"/>
  <c r="N1567" i="2"/>
  <c r="N1568" i="2"/>
  <c r="N1569" i="2"/>
  <c r="N1570" i="2"/>
  <c r="N1571" i="2"/>
  <c r="N1572" i="2"/>
  <c r="N1573" i="2"/>
  <c r="N1574" i="2"/>
  <c r="N1575" i="2"/>
  <c r="N1576" i="2"/>
  <c r="N1577" i="2"/>
  <c r="N1578" i="2"/>
  <c r="N1579" i="2"/>
  <c r="N1580" i="2"/>
  <c r="N1581" i="2"/>
  <c r="N1582" i="2"/>
  <c r="N1583" i="2"/>
  <c r="N1584" i="2"/>
  <c r="N1585" i="2"/>
  <c r="N1586" i="2"/>
  <c r="N1587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2" i="2"/>
  <c r="N1603" i="2"/>
  <c r="N1604" i="2"/>
  <c r="N1605" i="2"/>
  <c r="N1606" i="2"/>
  <c r="N1607" i="2"/>
  <c r="N1608" i="2"/>
  <c r="N1609" i="2"/>
  <c r="N1610" i="2"/>
  <c r="N1611" i="2"/>
  <c r="N1612" i="2"/>
  <c r="N1613" i="2"/>
  <c r="N1614" i="2"/>
  <c r="N1615" i="2"/>
  <c r="N1616" i="2"/>
  <c r="N1617" i="2"/>
  <c r="N1618" i="2"/>
  <c r="N1619" i="2"/>
  <c r="N1620" i="2"/>
  <c r="N1621" i="2"/>
  <c r="N1622" i="2"/>
  <c r="N1623" i="2"/>
  <c r="N1624" i="2"/>
  <c r="N1625" i="2"/>
  <c r="N1626" i="2"/>
  <c r="N1627" i="2"/>
  <c r="N1628" i="2"/>
  <c r="N1629" i="2"/>
  <c r="N1630" i="2"/>
  <c r="N1631" i="2"/>
  <c r="N1632" i="2"/>
  <c r="N1633" i="2"/>
  <c r="N1634" i="2"/>
  <c r="N1635" i="2"/>
  <c r="N1636" i="2"/>
  <c r="N1637" i="2"/>
  <c r="N1638" i="2"/>
  <c r="N1639" i="2"/>
  <c r="N1640" i="2"/>
  <c r="N1641" i="2"/>
  <c r="N1642" i="2"/>
  <c r="N1643" i="2"/>
  <c r="N1644" i="2"/>
  <c r="N1645" i="2"/>
  <c r="N1646" i="2"/>
  <c r="N1647" i="2"/>
  <c r="N1648" i="2"/>
  <c r="N1649" i="2"/>
  <c r="N1650" i="2"/>
  <c r="N1651" i="2"/>
  <c r="N1652" i="2"/>
  <c r="N1653" i="2"/>
  <c r="N1654" i="2"/>
  <c r="N1655" i="2"/>
  <c r="N1656" i="2"/>
  <c r="N1657" i="2"/>
  <c r="N1658" i="2"/>
  <c r="N1659" i="2"/>
  <c r="N1660" i="2"/>
  <c r="N1661" i="2"/>
  <c r="N1662" i="2"/>
  <c r="N1663" i="2"/>
  <c r="N1664" i="2"/>
  <c r="N1665" i="2"/>
  <c r="N1666" i="2"/>
  <c r="N1667" i="2"/>
  <c r="N1668" i="2"/>
  <c r="N1669" i="2"/>
  <c r="N1670" i="2"/>
  <c r="N1671" i="2"/>
  <c r="N1672" i="2"/>
  <c r="N1673" i="2"/>
  <c r="N1674" i="2"/>
  <c r="N1675" i="2"/>
  <c r="N1676" i="2"/>
  <c r="N1677" i="2"/>
  <c r="N1678" i="2"/>
  <c r="N1679" i="2"/>
  <c r="N1680" i="2"/>
  <c r="N1681" i="2"/>
  <c r="N1682" i="2"/>
  <c r="N1683" i="2"/>
  <c r="N1684" i="2"/>
  <c r="N1685" i="2"/>
  <c r="N1686" i="2"/>
  <c r="N1687" i="2"/>
  <c r="N1688" i="2"/>
  <c r="N1689" i="2"/>
  <c r="N1690" i="2"/>
  <c r="N1691" i="2"/>
  <c r="N1692" i="2"/>
  <c r="N1693" i="2"/>
  <c r="N1694" i="2"/>
  <c r="N1695" i="2"/>
  <c r="N1696" i="2"/>
  <c r="N1697" i="2"/>
  <c r="N1698" i="2"/>
  <c r="N1699" i="2"/>
  <c r="N1700" i="2"/>
  <c r="N1701" i="2"/>
  <c r="N1702" i="2"/>
  <c r="N1703" i="2"/>
  <c r="N1704" i="2"/>
  <c r="N1705" i="2"/>
  <c r="N1706" i="2"/>
  <c r="N1707" i="2"/>
  <c r="N1708" i="2"/>
  <c r="N1709" i="2"/>
  <c r="N1710" i="2"/>
  <c r="N1711" i="2"/>
  <c r="N1712" i="2"/>
  <c r="N1713" i="2"/>
  <c r="N1714" i="2"/>
  <c r="N1715" i="2"/>
  <c r="N1716" i="2"/>
  <c r="N1717" i="2"/>
  <c r="N1718" i="2"/>
  <c r="N1719" i="2"/>
  <c r="N1720" i="2"/>
  <c r="N1721" i="2"/>
  <c r="N1722" i="2"/>
  <c r="N1723" i="2"/>
  <c r="N1724" i="2"/>
  <c r="N1725" i="2"/>
  <c r="N1726" i="2"/>
  <c r="N1727" i="2"/>
  <c r="N1728" i="2"/>
  <c r="N1729" i="2"/>
  <c r="N1730" i="2"/>
  <c r="N1731" i="2"/>
  <c r="N1732" i="2"/>
  <c r="N1733" i="2"/>
  <c r="N1734" i="2"/>
  <c r="N1735" i="2"/>
  <c r="N1736" i="2"/>
  <c r="N1737" i="2"/>
  <c r="N1738" i="2"/>
  <c r="N1739" i="2"/>
  <c r="N1740" i="2"/>
  <c r="N1741" i="2"/>
  <c r="N1742" i="2"/>
  <c r="N1743" i="2"/>
  <c r="N1744" i="2"/>
  <c r="N1745" i="2"/>
  <c r="N1746" i="2"/>
  <c r="N1747" i="2"/>
  <c r="N1748" i="2"/>
  <c r="N1749" i="2"/>
  <c r="N1750" i="2"/>
  <c r="N1751" i="2"/>
  <c r="N1752" i="2"/>
  <c r="N1753" i="2"/>
  <c r="N1754" i="2"/>
  <c r="N1755" i="2"/>
  <c r="N1756" i="2"/>
  <c r="N1757" i="2"/>
  <c r="N1758" i="2"/>
  <c r="N1759" i="2"/>
  <c r="N1760" i="2"/>
  <c r="N1761" i="2"/>
  <c r="N1762" i="2"/>
  <c r="N1763" i="2"/>
  <c r="N1764" i="2"/>
  <c r="N1765" i="2"/>
  <c r="N1766" i="2"/>
  <c r="N1767" i="2"/>
  <c r="N1768" i="2"/>
  <c r="N1769" i="2"/>
  <c r="N1770" i="2"/>
  <c r="N1771" i="2"/>
  <c r="N1772" i="2"/>
  <c r="N1773" i="2"/>
  <c r="N1774" i="2"/>
  <c r="N1775" i="2"/>
  <c r="N1776" i="2"/>
  <c r="N1777" i="2"/>
  <c r="N1778" i="2"/>
  <c r="N1779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N13" i="2"/>
  <c r="N17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A33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2" i="2"/>
  <c r="A3" i="3"/>
  <c r="F4" i="2"/>
  <c r="I8" i="3" s="1"/>
  <c r="A6" i="3"/>
  <c r="I3" i="3"/>
  <c r="G1" i="3"/>
  <c r="A2" i="3"/>
  <c r="B7" i="2"/>
  <c r="N16" i="2" l="1"/>
  <c r="N14" i="2"/>
  <c r="F12" i="3"/>
  <c r="N18" i="2"/>
  <c r="N12" i="2"/>
  <c r="M43" i="2"/>
  <c r="M35" i="2"/>
  <c r="M27" i="2"/>
  <c r="M19" i="2"/>
  <c r="M50" i="2"/>
  <c r="M42" i="2"/>
  <c r="M34" i="2"/>
  <c r="M26" i="2"/>
  <c r="M18" i="2"/>
  <c r="M49" i="2"/>
  <c r="M41" i="2"/>
  <c r="M33" i="2"/>
  <c r="M25" i="2"/>
  <c r="M17" i="2"/>
  <c r="M48" i="2"/>
  <c r="M40" i="2"/>
  <c r="M32" i="2"/>
  <c r="M24" i="2"/>
  <c r="M16" i="2"/>
  <c r="M47" i="2"/>
  <c r="M39" i="2"/>
  <c r="M31" i="2"/>
  <c r="M23" i="2"/>
  <c r="M15" i="2"/>
  <c r="M46" i="2"/>
  <c r="M38" i="2"/>
  <c r="M30" i="2"/>
  <c r="M22" i="2"/>
  <c r="M14" i="2"/>
  <c r="M45" i="2"/>
  <c r="M37" i="2"/>
  <c r="M29" i="2"/>
  <c r="M21" i="2"/>
  <c r="M13" i="2"/>
  <c r="M12" i="2"/>
  <c r="M44" i="2"/>
  <c r="M36" i="2"/>
  <c r="M28" i="2"/>
  <c r="M20" i="2"/>
  <c r="B12" i="3" l="1"/>
  <c r="I12" i="3"/>
  <c r="A8" i="3" s="1"/>
  <c r="A13" i="3"/>
  <c r="F13" i="3" l="1"/>
  <c r="J13" i="3"/>
  <c r="A9" i="3"/>
  <c r="A14" i="3"/>
  <c r="I13" i="3"/>
  <c r="B13" i="3"/>
  <c r="F14" i="3" l="1"/>
  <c r="J14" i="3"/>
  <c r="A15" i="3"/>
  <c r="I14" i="3"/>
  <c r="B14" i="3"/>
  <c r="F15" i="3" l="1"/>
  <c r="J15" i="3"/>
  <c r="A16" i="3"/>
  <c r="B15" i="3"/>
  <c r="I15" i="3"/>
  <c r="F16" i="3" l="1"/>
  <c r="J16" i="3"/>
  <c r="A17" i="3"/>
  <c r="J17" i="3" s="1"/>
  <c r="I16" i="3"/>
  <c r="B16" i="3"/>
  <c r="A18" i="3" l="1"/>
  <c r="J18" i="3" s="1"/>
  <c r="I17" i="3"/>
  <c r="B17" i="3"/>
  <c r="F17" i="3"/>
  <c r="A19" i="3" l="1"/>
  <c r="J19" i="3" s="1"/>
  <c r="I18" i="3"/>
  <c r="B18" i="3"/>
  <c r="F18" i="3"/>
  <c r="A20" i="3" l="1"/>
  <c r="J20" i="3" s="1"/>
  <c r="F19" i="3"/>
  <c r="B19" i="3"/>
  <c r="I19" i="3"/>
  <c r="A21" i="3" l="1"/>
  <c r="J21" i="3" s="1"/>
  <c r="B20" i="3"/>
  <c r="F20" i="3"/>
  <c r="I20" i="3"/>
  <c r="A22" i="3" l="1"/>
  <c r="J22" i="3" s="1"/>
  <c r="B21" i="3"/>
  <c r="F21" i="3"/>
  <c r="I21" i="3"/>
  <c r="A23" i="3" l="1"/>
  <c r="J23" i="3" s="1"/>
  <c r="B22" i="3"/>
  <c r="I22" i="3"/>
  <c r="F22" i="3"/>
  <c r="A24" i="3" l="1"/>
  <c r="J24" i="3" s="1"/>
  <c r="I23" i="3"/>
  <c r="F23" i="3"/>
  <c r="B23" i="3"/>
  <c r="A25" i="3" l="1"/>
  <c r="J25" i="3" s="1"/>
  <c r="B24" i="3"/>
  <c r="F24" i="3"/>
  <c r="I24" i="3"/>
  <c r="A26" i="3" l="1"/>
  <c r="J26" i="3" s="1"/>
  <c r="F25" i="3"/>
  <c r="B25" i="3"/>
  <c r="I25" i="3"/>
  <c r="A27" i="3" l="1"/>
  <c r="J27" i="3" s="1"/>
  <c r="I26" i="3"/>
  <c r="B26" i="3"/>
  <c r="F26" i="3"/>
  <c r="A28" i="3" l="1"/>
  <c r="J28" i="3" s="1"/>
  <c r="I27" i="3"/>
  <c r="F27" i="3"/>
  <c r="B27" i="3"/>
  <c r="A29" i="3" l="1"/>
  <c r="J29" i="3" s="1"/>
  <c r="I28" i="3"/>
  <c r="B28" i="3"/>
  <c r="F28" i="3"/>
  <c r="A30" i="3" l="1"/>
  <c r="J30" i="3" s="1"/>
  <c r="B29" i="3"/>
  <c r="I29" i="3"/>
  <c r="F29" i="3"/>
  <c r="A31" i="3" l="1"/>
  <c r="J31" i="3" s="1"/>
  <c r="F30" i="3"/>
  <c r="I30" i="3"/>
  <c r="B30" i="3"/>
  <c r="A32" i="3" l="1"/>
  <c r="J32" i="3" s="1"/>
  <c r="B31" i="3"/>
  <c r="I31" i="3"/>
  <c r="F31" i="3"/>
  <c r="A33" i="3" l="1"/>
  <c r="J33" i="3" s="1"/>
  <c r="F32" i="3"/>
  <c r="I32" i="3"/>
  <c r="B32" i="3"/>
  <c r="A34" i="3" l="1"/>
  <c r="J34" i="3" s="1"/>
  <c r="F33" i="3"/>
  <c r="I33" i="3"/>
  <c r="B33" i="3"/>
  <c r="A35" i="3" l="1"/>
  <c r="J35" i="3" s="1"/>
  <c r="B34" i="3"/>
  <c r="I34" i="3"/>
  <c r="F34" i="3"/>
  <c r="A36" i="3" l="1"/>
  <c r="J36" i="3" s="1"/>
  <c r="F35" i="3"/>
  <c r="I35" i="3"/>
  <c r="B35" i="3"/>
  <c r="A37" i="3" l="1"/>
  <c r="J37" i="3" s="1"/>
  <c r="I36" i="3"/>
  <c r="B36" i="3"/>
  <c r="F36" i="3"/>
  <c r="A38" i="3" l="1"/>
  <c r="J38" i="3" s="1"/>
  <c r="I37" i="3"/>
  <c r="F37" i="3"/>
  <c r="B37" i="3"/>
  <c r="A39" i="3" l="1"/>
  <c r="J39" i="3" s="1"/>
  <c r="F38" i="3"/>
  <c r="B38" i="3"/>
  <c r="I38" i="3"/>
  <c r="A40" i="3" l="1"/>
  <c r="J40" i="3" s="1"/>
  <c r="F39" i="3"/>
  <c r="I39" i="3"/>
  <c r="B39" i="3"/>
  <c r="A41" i="3" l="1"/>
  <c r="J41" i="3" s="1"/>
  <c r="F40" i="3"/>
  <c r="I40" i="3"/>
  <c r="B40" i="3"/>
  <c r="B41" i="3" l="1"/>
  <c r="I41" i="3"/>
  <c r="F41" i="3"/>
  <c r="I42" i="3" l="1"/>
  <c r="F42" i="3"/>
</calcChain>
</file>

<file path=xl/sharedStrings.xml><?xml version="1.0" encoding="utf-8"?>
<sst xmlns="http://schemas.openxmlformats.org/spreadsheetml/2006/main" count="42" uniqueCount="40">
  <si>
    <t>CUSTOMER NAME:</t>
  </si>
  <si>
    <t>ORDER #:</t>
  </si>
  <si>
    <t>PICKUP LOCATION:</t>
  </si>
  <si>
    <t>DELIVERY ADDRESS:</t>
  </si>
  <si>
    <t>INSTALLATION:</t>
  </si>
  <si>
    <t>Item 
No.</t>
  </si>
  <si>
    <t>Set Description</t>
  </si>
  <si>
    <t>ILoom 
remain-QTY</t>
  </si>
  <si>
    <t>No.6
remain-QTY</t>
  </si>
  <si>
    <t>RMD remain-QTY</t>
  </si>
  <si>
    <t>Preferred Warehouse</t>
  </si>
  <si>
    <t>Customer Name :</t>
  </si>
  <si>
    <t>Installation:</t>
  </si>
  <si>
    <t>Address:</t>
  </si>
  <si>
    <t>RMD</t>
  </si>
  <si>
    <t>Items</t>
  </si>
  <si>
    <t>QTY</t>
  </si>
  <si>
    <t>Total</t>
  </si>
  <si>
    <t>Items:</t>
    <phoneticPr fontId="0" type="noConversion"/>
  </si>
  <si>
    <t>pcs:</t>
  </si>
  <si>
    <t>Enough? (Y/N)</t>
  </si>
  <si>
    <t>Set Code - Color</t>
  </si>
  <si>
    <t>Item Code - Color</t>
  </si>
  <si>
    <t>ILoom 
rack position</t>
  </si>
  <si>
    <t>No.6
rack position</t>
  </si>
  <si>
    <t>RMD rack position</t>
  </si>
  <si>
    <t>PICKUP/DELIVERY</t>
  </si>
  <si>
    <t>NO</t>
  </si>
  <si>
    <t>Required QTY to Set</t>
  </si>
  <si>
    <t>Preferred packed-QTY to Deliver</t>
  </si>
  <si>
    <t>Part# (Code-Color)</t>
  </si>
  <si>
    <t>For Administrative Use:</t>
  </si>
  <si>
    <t>selected item #</t>
  </si>
  <si>
    <t>TEL. NO</t>
  </si>
  <si>
    <t>ITEM For Packed DELIVERY</t>
  </si>
  <si>
    <t>lablel prefix control</t>
  </si>
  <si>
    <t>deliver ind.</t>
  </si>
  <si>
    <t>To be updated</t>
  </si>
  <si>
    <t>PLEASE SELECT</t>
  </si>
  <si>
    <t>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</si>
</sst>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9]d\-mmm\-yy;@"/>
    <numFmt numFmtId="165" formatCode="[$-F800]dddd\,\ mmmm\ dd\,\ yyyy"/>
    <numFmt numFmtId="166" formatCode="0_);[Red]\(0\)"/>
    <numFmt numFmtId="167" formatCode="[$-1009]mmmm\ d\,\ yyyy;@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b/>
      <sz val="10"/>
      <color theme="1"/>
      <name val="Calibri Light"/>
      <family val="2"/>
      <scheme val="major"/>
    </font>
    <font>
      <b/>
      <sz val="28"/>
      <color theme="0"/>
      <name val="Calibri"/>
      <family val="2"/>
    </font>
    <font>
      <sz val="26"/>
      <color theme="1"/>
      <name val="Calibri"/>
      <family val="2"/>
    </font>
    <font>
      <b/>
      <sz val="36"/>
      <color theme="0"/>
      <name val="Calibri"/>
      <family val="2"/>
    </font>
    <font>
      <sz val="12"/>
      <color theme="0"/>
      <name val="Calibri"/>
      <family val="2"/>
    </font>
    <font>
      <b/>
      <sz val="72"/>
      <color theme="1"/>
      <name val="Calibri"/>
      <family val="2"/>
    </font>
    <font>
      <b/>
      <sz val="48"/>
      <color theme="1"/>
      <name val="Calibri"/>
      <family val="2"/>
    </font>
    <font>
      <sz val="100"/>
      <color theme="1"/>
      <name val="Calibri"/>
      <family val="2"/>
    </font>
    <font>
      <b/>
      <sz val="40"/>
      <color theme="0"/>
      <name val="Calibri"/>
      <family val="2"/>
    </font>
    <font>
      <b/>
      <sz val="27"/>
      <color theme="0"/>
      <name val="Calibri"/>
      <family val="2"/>
    </font>
    <font>
      <b/>
      <sz val="60"/>
      <color theme="1"/>
      <name val="Calibri"/>
      <family val="2"/>
    </font>
    <font>
      <b/>
      <sz val="60"/>
      <color theme="0"/>
      <name val="Calibri"/>
      <family val="2"/>
    </font>
    <font>
      <sz val="26"/>
      <color theme="0"/>
      <name val="Calibri"/>
      <family val="2"/>
    </font>
    <font>
      <sz val="24"/>
      <color theme="1"/>
      <name val="Calibri"/>
      <family val="2"/>
    </font>
    <font>
      <b/>
      <sz val="24"/>
      <color theme="1"/>
      <name val="Calibri"/>
      <family val="2"/>
    </font>
    <font>
      <b/>
      <sz val="26"/>
      <color theme="1"/>
      <name val="Calibri"/>
      <family val="2"/>
    </font>
    <font>
      <b/>
      <sz val="36"/>
      <color theme="1"/>
      <name val="Calibri"/>
      <family val="2"/>
    </font>
    <font>
      <sz val="36"/>
      <color theme="1"/>
      <name val="Calibri"/>
      <family val="2"/>
    </font>
    <font>
      <sz val="10"/>
      <color theme="1"/>
      <name val="Calibri"/>
      <family val="2"/>
      <scheme val="minor"/>
    </font>
    <font>
      <sz val="15"/>
      <color theme="1"/>
      <name val="Calibri"/>
      <family val="2"/>
    </font>
    <font>
      <sz val="14"/>
      <color theme="1"/>
      <name val="Calibri"/>
      <family val="2"/>
    </font>
    <font>
      <sz val="11"/>
      <color theme="1"/>
      <name val="Calibri"/>
      <family val="2"/>
    </font>
    <font>
      <sz val="10"/>
      <color theme="1"/>
      <name val="Calibri Light"/>
      <family val="2"/>
      <scheme val="maj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gency FB"/>
      <family val="2"/>
    </font>
    <font>
      <b/>
      <sz val="48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sz val="24"/>
      <color theme="0"/>
      <name val="Calibri"/>
      <family val="2"/>
    </font>
    <font>
      <b/>
      <sz val="48"/>
      <color theme="0"/>
      <name val="Calibri"/>
      <family val="2"/>
    </font>
    <font>
      <b/>
      <sz val="6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 style="medium">
        <color theme="0"/>
      </right>
      <top style="medium">
        <color auto="1"/>
      </top>
      <bottom/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90">
    <xf numFmtId="0" fontId="0" fillId="0" borderId="0" xfId="0"/>
    <xf numFmtId="0" fontId="3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center"/>
    </xf>
    <xf numFmtId="0" fontId="4" fillId="3" borderId="3" xfId="0" applyFont="1" applyFill="1" applyBorder="1"/>
    <xf numFmtId="0" fontId="4" fillId="0" borderId="0" xfId="0" applyFont="1"/>
    <xf numFmtId="0" fontId="6" fillId="0" borderId="0" xfId="0" applyFont="1"/>
    <xf numFmtId="0" fontId="9" fillId="0" borderId="0" xfId="0" applyFont="1"/>
    <xf numFmtId="0" fontId="11" fillId="3" borderId="9" xfId="0" applyFont="1" applyFill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11" fillId="3" borderId="10" xfId="0" applyFont="1" applyFill="1" applyBorder="1" applyAlignment="1">
      <alignment horizontal="center" vertical="center"/>
    </xf>
    <xf numFmtId="165" fontId="3" fillId="3" borderId="3" xfId="0" applyNumberFormat="1" applyFont="1" applyFill="1" applyBorder="1" applyAlignment="1">
      <alignment vertical="center"/>
    </xf>
    <xf numFmtId="165" fontId="3" fillId="3" borderId="1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9" fillId="0" borderId="6" xfId="0" applyFont="1" applyBorder="1"/>
    <xf numFmtId="0" fontId="9" fillId="0" borderId="7" xfId="0" applyFont="1" applyBorder="1"/>
    <xf numFmtId="0" fontId="3" fillId="3" borderId="16" xfId="0" applyFont="1" applyFill="1" applyBorder="1" applyAlignment="1">
      <alignment horizontal="center" vertical="center"/>
    </xf>
    <xf numFmtId="165" fontId="3" fillId="3" borderId="16" xfId="0" applyNumberFormat="1" applyFont="1" applyFill="1" applyBorder="1" applyAlignment="1">
      <alignment horizontal="center" vertical="center"/>
    </xf>
    <xf numFmtId="165" fontId="3" fillId="3" borderId="17" xfId="0" applyNumberFormat="1" applyFont="1" applyFill="1" applyBorder="1" applyAlignment="1">
      <alignment horizontal="center" vertical="center"/>
    </xf>
    <xf numFmtId="0" fontId="15" fillId="0" borderId="0" xfId="0" applyFont="1"/>
    <xf numFmtId="0" fontId="18" fillId="0" borderId="9" xfId="0" applyFont="1" applyBorder="1" applyAlignment="1">
      <alignment horizontal="left" vertical="top"/>
    </xf>
    <xf numFmtId="0" fontId="18" fillId="0" borderId="9" xfId="0" applyFont="1" applyBorder="1" applyAlignment="1">
      <alignment horizontal="right" vertical="top"/>
    </xf>
    <xf numFmtId="0" fontId="18" fillId="0" borderId="9" xfId="0" applyFont="1" applyBorder="1" applyAlignment="1">
      <alignment horizontal="center" vertical="top"/>
    </xf>
    <xf numFmtId="0" fontId="19" fillId="0" borderId="0" xfId="0" applyFont="1"/>
    <xf numFmtId="0" fontId="2" fillId="0" borderId="0" xfId="0" applyFont="1" applyAlignment="1">
      <alignment horizontal="center" vertical="center"/>
    </xf>
    <xf numFmtId="0" fontId="3" fillId="3" borderId="16" xfId="0" applyFont="1" applyFill="1" applyBorder="1" applyAlignment="1">
      <alignment vertical="center"/>
    </xf>
    <xf numFmtId="166" fontId="4" fillId="0" borderId="0" xfId="0" applyNumberFormat="1" applyFont="1" applyAlignment="1">
      <alignment vertical="center"/>
    </xf>
    <xf numFmtId="166" fontId="22" fillId="0" borderId="1" xfId="0" applyNumberFormat="1" applyFont="1" applyBorder="1"/>
    <xf numFmtId="166" fontId="15" fillId="0" borderId="6" xfId="0" applyNumberFormat="1" applyFont="1" applyBorder="1" applyAlignment="1">
      <alignment horizontal="center"/>
    </xf>
    <xf numFmtId="166" fontId="15" fillId="0" borderId="12" xfId="0" applyNumberFormat="1" applyFont="1" applyBorder="1" applyAlignment="1">
      <alignment horizontal="center"/>
    </xf>
    <xf numFmtId="0" fontId="10" fillId="3" borderId="8" xfId="0" applyFont="1" applyFill="1" applyBorder="1" applyAlignment="1">
      <alignment horizontal="left" vertical="center"/>
    </xf>
    <xf numFmtId="0" fontId="10" fillId="3" borderId="9" xfId="0" applyFont="1" applyFill="1" applyBorder="1" applyAlignment="1">
      <alignment horizontal="left" vertical="center"/>
    </xf>
    <xf numFmtId="0" fontId="25" fillId="0" borderId="0" xfId="0" applyFont="1"/>
    <xf numFmtId="0" fontId="26" fillId="0" borderId="0" xfId="0" applyFont="1"/>
    <xf numFmtId="0" fontId="26" fillId="0" borderId="0" xfId="0" applyFont="1" applyAlignment="1">
      <alignment horizontal="left" vertical="center"/>
    </xf>
    <xf numFmtId="0" fontId="26" fillId="0" borderId="0" xfId="0" applyFont="1" applyAlignment="1">
      <alignment horizontal="left"/>
    </xf>
    <xf numFmtId="0" fontId="23" fillId="0" borderId="1" xfId="0" applyFont="1" applyBorder="1" applyAlignment="1">
      <alignment horizontal="left" vertical="top" wrapText="1"/>
    </xf>
    <xf numFmtId="0" fontId="2" fillId="0" borderId="0" xfId="0" applyFont="1" applyAlignment="1">
      <alignment horizontal="center"/>
    </xf>
    <xf numFmtId="0" fontId="2" fillId="2" borderId="1" xfId="1" applyFont="1" applyFill="1" applyBorder="1" applyAlignment="1">
      <alignment horizontal="center" vertical="top" wrapText="1"/>
    </xf>
    <xf numFmtId="0" fontId="24" fillId="5" borderId="0" xfId="0" applyFont="1" applyFill="1" applyAlignment="1">
      <alignment horizontal="center"/>
    </xf>
    <xf numFmtId="0" fontId="2" fillId="0" borderId="1" xfId="0" applyFont="1" applyBorder="1" applyAlignment="1">
      <alignment horizontal="left" vertical="top"/>
    </xf>
    <xf numFmtId="0" fontId="2" fillId="0" borderId="0" xfId="0" applyFont="1"/>
    <xf numFmtId="0" fontId="28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top" wrapText="1"/>
    </xf>
    <xf numFmtId="0" fontId="2" fillId="0" borderId="0" xfId="0" applyFont="1" applyAlignment="1">
      <alignment vertical="top"/>
    </xf>
    <xf numFmtId="0" fontId="2" fillId="5" borderId="0" xfId="0" applyFont="1" applyFill="1" applyAlignment="1">
      <alignment horizontal="center"/>
    </xf>
    <xf numFmtId="0" fontId="24" fillId="5" borderId="0" xfId="0" applyFont="1" applyFill="1" applyAlignment="1">
      <alignment horizontal="center" vertical="center"/>
    </xf>
    <xf numFmtId="0" fontId="24" fillId="5" borderId="0" xfId="0" applyFont="1" applyFill="1"/>
    <xf numFmtId="0" fontId="27" fillId="7" borderId="1" xfId="0" applyFont="1" applyFill="1" applyBorder="1" applyAlignment="1">
      <alignment horizontal="center"/>
    </xf>
    <xf numFmtId="0" fontId="27" fillId="7" borderId="1" xfId="0" quotePrefix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14" fontId="2" fillId="7" borderId="1" xfId="0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top" wrapText="1"/>
    </xf>
    <xf numFmtId="1" fontId="16" fillId="0" borderId="0" xfId="0" applyNumberFormat="1" applyFont="1"/>
    <xf numFmtId="1" fontId="15" fillId="0" borderId="0" xfId="0" applyNumberFormat="1" applyFont="1"/>
    <xf numFmtId="1" fontId="15" fillId="0" borderId="7" xfId="0" applyNumberFormat="1" applyFont="1" applyBorder="1" applyAlignment="1">
      <alignment horizontal="center"/>
    </xf>
    <xf numFmtId="1" fontId="15" fillId="0" borderId="13" xfId="0" applyNumberFormat="1" applyFont="1" applyBorder="1"/>
    <xf numFmtId="0" fontId="32" fillId="0" borderId="0" xfId="0" applyFont="1"/>
    <xf numFmtId="0" fontId="20" fillId="0" borderId="1" xfId="0" applyFont="1" applyBorder="1" applyAlignment="1">
      <alignment horizontal="center"/>
    </xf>
    <xf numFmtId="1" fontId="17" fillId="0" borderId="0" xfId="0" applyNumberFormat="1" applyFont="1" applyAlignment="1">
      <alignment horizontal="left"/>
    </xf>
    <xf numFmtId="16" fontId="5" fillId="3" borderId="4" xfId="0" applyNumberFormat="1" applyFont="1" applyFill="1" applyBorder="1" applyAlignment="1">
      <alignment horizontal="left" vertical="center"/>
    </xf>
    <xf numFmtId="16" fontId="5" fillId="3" borderId="5" xfId="0" applyNumberFormat="1" applyFont="1" applyFill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8" fillId="4" borderId="0" xfId="0" applyNumberFormat="1" applyFont="1" applyFill="1" applyAlignment="1">
      <alignment horizontal="left" vertical="center"/>
    </xf>
    <xf numFmtId="164" fontId="8" fillId="4" borderId="7" xfId="0" applyNumberFormat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18" fillId="0" borderId="9" xfId="0" applyFont="1" applyBorder="1" applyAlignment="1">
      <alignment horizontal="left" vertical="top"/>
    </xf>
    <xf numFmtId="166" fontId="34" fillId="4" borderId="18" xfId="0" applyNumberFormat="1" applyFont="1" applyFill="1" applyBorder="1" applyAlignment="1">
      <alignment horizontal="center" vertical="center" wrapText="1"/>
    </xf>
    <xf numFmtId="166" fontId="34" fillId="4" borderId="20" xfId="0" applyNumberFormat="1" applyFont="1" applyFill="1" applyBorder="1" applyAlignment="1">
      <alignment horizontal="center" vertical="center" wrapText="1"/>
    </xf>
    <xf numFmtId="166" fontId="13" fillId="3" borderId="11" xfId="0" applyNumberFormat="1" applyFont="1" applyFill="1" applyBorder="1" applyAlignment="1">
      <alignment horizontal="center" vertical="center" wrapText="1"/>
    </xf>
    <xf numFmtId="166" fontId="13" fillId="3" borderId="14" xfId="0" applyNumberFormat="1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left" vertical="center"/>
    </xf>
    <xf numFmtId="0" fontId="3" fillId="3" borderId="16" xfId="0" applyFont="1" applyFill="1" applyBorder="1" applyAlignment="1">
      <alignment horizontal="left" vertical="center"/>
    </xf>
    <xf numFmtId="0" fontId="3" fillId="3" borderId="16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left" wrapText="1"/>
    </xf>
    <xf numFmtId="0" fontId="13" fillId="3" borderId="3" xfId="0" applyFont="1" applyFill="1" applyBorder="1" applyAlignment="1">
      <alignment horizontal="left" wrapText="1"/>
    </xf>
    <xf numFmtId="0" fontId="13" fillId="3" borderId="19" xfId="0" applyFont="1" applyFill="1" applyBorder="1" applyAlignment="1">
      <alignment horizontal="left" wrapText="1"/>
    </xf>
    <xf numFmtId="0" fontId="3" fillId="3" borderId="12" xfId="0" applyFont="1" applyFill="1" applyBorder="1" applyAlignment="1">
      <alignment horizontal="left" vertical="top" wrapText="1"/>
    </xf>
    <xf numFmtId="0" fontId="3" fillId="3" borderId="13" xfId="0" applyFont="1" applyFill="1" applyBorder="1" applyAlignment="1">
      <alignment horizontal="left" vertical="top" wrapText="1"/>
    </xf>
    <xf numFmtId="0" fontId="3" fillId="3" borderId="21" xfId="0" applyFont="1" applyFill="1" applyBorder="1" applyAlignment="1">
      <alignment horizontal="left" vertical="top" wrapText="1"/>
    </xf>
    <xf numFmtId="167" fontId="33" fillId="3" borderId="3" xfId="0" applyNumberFormat="1" applyFont="1" applyFill="1" applyBorder="1" applyAlignment="1">
      <alignment horizontal="center" vertical="center" wrapText="1"/>
    </xf>
    <xf numFmtId="167" fontId="33" fillId="3" borderId="13" xfId="0" applyNumberFormat="1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/>
    </xf>
    <xf numFmtId="0" fontId="12" fillId="0" borderId="12" xfId="0" applyFont="1" applyBorder="1" applyAlignment="1">
      <alignment horizontal="left" vertical="center" wrapText="1"/>
    </xf>
    <xf numFmtId="0" fontId="12" fillId="0" borderId="13" xfId="0" applyFont="1" applyBorder="1" applyAlignment="1">
      <alignment horizontal="left" vertical="center" wrapText="1"/>
    </xf>
    <xf numFmtId="0" fontId="12" fillId="0" borderId="14" xfId="0" applyFont="1" applyBorder="1" applyAlignment="1">
      <alignment horizontal="left" vertical="center" wrapText="1"/>
    </xf>
  </cellXfs>
  <cellStyles count="2">
    <cellStyle name="Normal" xfId="0" builtinId="0"/>
    <cellStyle name="一般 2" xfId="1" xr:uid="{0FE1F433-A87D-43FA-9499-46455C556AB0}"/>
  </cellStyles>
  <dxfs count="11">
    <dxf>
      <font>
        <color theme="0"/>
      </font>
    </dxf>
    <dxf>
      <font>
        <color theme="0"/>
      </font>
    </dxf>
    <dxf>
      <font>
        <b/>
        <i val="0"/>
      </font>
    </dxf>
    <dxf>
      <font>
        <b/>
        <i val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</xdr:row>
          <xdr:rowOff>28575</xdr:rowOff>
        </xdr:from>
        <xdr:to>
          <xdr:col>12</xdr:col>
          <xdr:colOff>28575</xdr:colOff>
          <xdr:row>4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Ready To Deliver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5</xdr:row>
          <xdr:rowOff>152400</xdr:rowOff>
        </xdr:from>
        <xdr:to>
          <xdr:col>12</xdr:col>
          <xdr:colOff>28575</xdr:colOff>
          <xdr:row>8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Ready To 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1314450</xdr:colOff>
          <xdr:row>1</xdr:row>
          <xdr:rowOff>28575</xdr:rowOff>
        </xdr:from>
        <xdr:to>
          <xdr:col>7</xdr:col>
          <xdr:colOff>685800</xdr:colOff>
          <xdr:row>8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"SET Code-Color" for Customer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1019175</xdr:colOff>
          <xdr:row>5</xdr:row>
          <xdr:rowOff>142875</xdr:rowOff>
        </xdr:from>
        <xdr:to>
          <xdr:col>18</xdr:col>
          <xdr:colOff>161925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CA" sz="4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Current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1019175</xdr:colOff>
          <xdr:row>7</xdr:row>
          <xdr:rowOff>228600</xdr:rowOff>
        </xdr:from>
        <xdr:to>
          <xdr:col>13</xdr:col>
          <xdr:colOff>19050</xdr:colOff>
          <xdr:row>9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CA" sz="4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Item 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7</xdr:row>
          <xdr:rowOff>219075</xdr:rowOff>
        </xdr:from>
        <xdr:to>
          <xdr:col>18</xdr:col>
          <xdr:colOff>142875</xdr:colOff>
          <xdr:row>9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CA" sz="4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Item -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BBER-RMD-LAPTOP/Desktop/iloom%20inventory.lookup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3z_Master_DistributedData/Recent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loom warehouse"/>
      <sheetName val="iloom warehouse master"/>
      <sheetName val="工作表2"/>
      <sheetName val="工作表1"/>
      <sheetName val="工作表7"/>
      <sheetName val="工作表4"/>
      <sheetName val="lookup"/>
      <sheetName val="RMD"/>
      <sheetName val="smaill items"/>
    </sheetNames>
    <sheetDataSet>
      <sheetData sheetId="0" refreshError="1"/>
      <sheetData sheetId="1">
        <row r="2">
          <cell r="B2" t="str">
            <v>A1</v>
          </cell>
        </row>
      </sheetData>
      <sheetData sheetId="2">
        <row r="4">
          <cell r="B4" t="str">
            <v>LL</v>
          </cell>
          <cell r="C4" t="str">
            <v>all</v>
          </cell>
          <cell r="D4" t="str">
            <v>water</v>
          </cell>
          <cell r="E4" t="str">
            <v>hello</v>
          </cell>
        </row>
        <row r="5">
          <cell r="B5" t="str">
            <v>FF</v>
          </cell>
          <cell r="C5" t="str">
            <v>sun</v>
          </cell>
          <cell r="D5" t="str">
            <v>kook</v>
          </cell>
          <cell r="E5" t="str">
            <v>Loij</v>
          </cell>
        </row>
        <row r="6">
          <cell r="B6" t="str">
            <v>BB</v>
          </cell>
          <cell r="C6" t="str">
            <v>hajdfh</v>
          </cell>
          <cell r="D6" t="str">
            <v>bhuuaoh</v>
          </cell>
          <cell r="E6" t="str">
            <v>vzvxv</v>
          </cell>
        </row>
        <row r="7">
          <cell r="B7" t="str">
            <v>TT</v>
          </cell>
          <cell r="C7" t="str">
            <v>buwqp</v>
          </cell>
          <cell r="D7" t="str">
            <v>jsdk;</v>
          </cell>
          <cell r="E7" t="str">
            <v>jhidq</v>
          </cell>
        </row>
      </sheetData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VBA_Parameters"/>
      <sheetName val="Set-Item Master"/>
      <sheetName val="stock-take"/>
    </sheetNames>
    <sheetDataSet>
      <sheetData sheetId="0"/>
      <sheetData sheetId="1"/>
      <sheetData sheetId="2"/>
      <sheetData sheetId="3">
        <row r="1">
          <cell r="A1" t="str">
            <v>WAREHOUSE-ILOOM</v>
          </cell>
          <cell r="B1"/>
          <cell r="C1"/>
          <cell r="D1"/>
          <cell r="E1"/>
          <cell r="G1" t="str">
            <v>WAREHOUSE-NO6</v>
          </cell>
          <cell r="H1"/>
          <cell r="I1"/>
          <cell r="J1"/>
          <cell r="K1"/>
          <cell r="M1" t="str">
            <v>WAREHOUSE-RMD</v>
          </cell>
          <cell r="N1"/>
          <cell r="O1"/>
          <cell r="P1"/>
          <cell r="Q1"/>
        </row>
        <row r="2">
          <cell r="A2" t="str">
            <v>ITEM CODE</v>
          </cell>
          <cell r="B2" t="str">
            <v>ITEM DESCRIPTION</v>
          </cell>
          <cell r="C2" t="str">
            <v>STOCK-TAKE QTY</v>
          </cell>
          <cell r="D2" t="str">
            <v>RACK POSITION</v>
          </cell>
          <cell r="E2" t="str">
            <v>RACK LABEL</v>
          </cell>
          <cell r="G2" t="str">
            <v>ITEM CODE</v>
          </cell>
          <cell r="H2" t="str">
            <v>ITEM DESCRIPTION</v>
          </cell>
          <cell r="I2" t="str">
            <v>STOCK-TAKE QTY</v>
          </cell>
          <cell r="J2" t="str">
            <v>RACK POSITION</v>
          </cell>
          <cell r="K2" t="str">
            <v>RACK LABEL</v>
          </cell>
          <cell r="M2" t="str">
            <v>ITEM CODE</v>
          </cell>
          <cell r="N2" t="str">
            <v>ITEM DESCRIPTION</v>
          </cell>
          <cell r="O2" t="str">
            <v>STOCK-TAKE QTY</v>
          </cell>
          <cell r="P2" t="str">
            <v>RACK POSITION</v>
          </cell>
          <cell r="Q2" t="str">
            <v>RACK LABEL</v>
          </cell>
        </row>
        <row r="3">
          <cell r="A3">
            <v>4058511708911</v>
          </cell>
          <cell r="B3" t="str">
            <v>CYBEX SOLUTION Z-FIX MIDNIGHT BLUE</v>
          </cell>
          <cell r="C3">
            <v>3</v>
          </cell>
          <cell r="D3" t="str">
            <v>A1B0</v>
          </cell>
          <cell r="E3" t="str">
            <v>Cybex</v>
          </cell>
          <cell r="G3">
            <v>769894694091</v>
          </cell>
          <cell r="H3"/>
          <cell r="I3">
            <v>20</v>
          </cell>
          <cell r="J3" t="str">
            <v>[#6-A1B0]</v>
          </cell>
          <cell r="K3" t="str">
            <v>Nemi-bookshelf</v>
          </cell>
          <cell r="M3" t="str">
            <v>Dummy</v>
          </cell>
          <cell r="N3"/>
          <cell r="O3">
            <v>2</v>
          </cell>
          <cell r="P3" t="str">
            <v>A1A0</v>
          </cell>
          <cell r="Q3" t="str">
            <v>Open</v>
          </cell>
        </row>
        <row r="4">
          <cell r="A4">
            <v>4063846054473</v>
          </cell>
          <cell r="B4" t="str">
            <v>CYBEX BEEZY STROLLER NAVY BLUE</v>
          </cell>
          <cell r="C4">
            <v>1</v>
          </cell>
          <cell r="D4" t="str">
            <v>A1C0</v>
          </cell>
          <cell r="E4" t="str">
            <v>Cybex</v>
          </cell>
          <cell r="G4">
            <v>769894693964</v>
          </cell>
          <cell r="H4" t="str">
            <v>NEMIBABY FOLDABLE BABY/TODDLER MULTI-FUNCTION BATHTUB BLUE</v>
          </cell>
          <cell r="I4">
            <v>112</v>
          </cell>
          <cell r="J4" t="str">
            <v>[#6-A1C0]</v>
          </cell>
          <cell r="K4" t="str">
            <v>Nemi-bathtub</v>
          </cell>
          <cell r="M4"/>
          <cell r="N4"/>
          <cell r="O4"/>
          <cell r="P4"/>
          <cell r="Q4"/>
        </row>
        <row r="5">
          <cell r="A5">
            <v>4058511379234</v>
          </cell>
          <cell r="B5" t="str">
            <v>CYBEX ETERNIS S SENSORSAFE CONVERTIBLE CAR SEAT MANHATTAN GREY</v>
          </cell>
          <cell r="C5">
            <v>2</v>
          </cell>
          <cell r="D5" t="str">
            <v>A2B0</v>
          </cell>
          <cell r="E5" t="str">
            <v>Cybex</v>
          </cell>
          <cell r="G5">
            <v>769894693971</v>
          </cell>
          <cell r="H5" t="str">
            <v>NEMIBABY FOLDABLE BABY/TODDLER MULTI-FUNCTION BATHTUB GREY</v>
          </cell>
          <cell r="I5">
            <v>56</v>
          </cell>
          <cell r="J5" t="str">
            <v>[#6-A2B0]</v>
          </cell>
          <cell r="K5" t="str">
            <v>Nemi-bathtub</v>
          </cell>
          <cell r="M5"/>
          <cell r="N5"/>
          <cell r="O5"/>
          <cell r="P5"/>
          <cell r="Q5"/>
        </row>
        <row r="6">
          <cell r="A6">
            <v>4063846053575</v>
          </cell>
          <cell r="B6" t="str">
            <v>CYBEX LIBELLE STROLLER NAVY BLUE</v>
          </cell>
          <cell r="C6">
            <v>4</v>
          </cell>
          <cell r="D6" t="str">
            <v>A3B0</v>
          </cell>
          <cell r="E6" t="str">
            <v>Cybex</v>
          </cell>
          <cell r="G6">
            <v>769894694176</v>
          </cell>
          <cell r="H6" t="str">
            <v>NEMIBABY SAFE GUARD STEP STOOL WITH HANDRAILS (GREY)</v>
          </cell>
          <cell r="I6">
            <v>41</v>
          </cell>
          <cell r="J6" t="str">
            <v>[#6-A3B0]</v>
          </cell>
          <cell r="K6" t="str">
            <v>Nemi-Step Stool</v>
          </cell>
          <cell r="M6"/>
          <cell r="N6"/>
          <cell r="O6"/>
          <cell r="P6"/>
          <cell r="Q6"/>
        </row>
        <row r="7">
          <cell r="A7">
            <v>4063846097715</v>
          </cell>
          <cell r="B7" t="str">
            <v>CYBEX BALIOS S LUX STROLLER &amp; ATON2 TRAVEL SYSTEM (ONE BOX) SOHO GREY + ATON2SS ATON2SS LAVASTONE BLACK</v>
          </cell>
          <cell r="C7">
            <v>3</v>
          </cell>
          <cell r="D7" t="str">
            <v>A3C0</v>
          </cell>
          <cell r="E7" t="str">
            <v>Cybex</v>
          </cell>
          <cell r="G7">
            <v>769894694169</v>
          </cell>
          <cell r="H7" t="str">
            <v>NEMIBABY SAFE GUARD STEP STOOL WITH HANDRAILS (MINT)</v>
          </cell>
          <cell r="I7">
            <v>62</v>
          </cell>
          <cell r="J7" t="str">
            <v>[#6-A3B0]</v>
          </cell>
          <cell r="K7" t="str">
            <v>Nemi-Step Stool</v>
          </cell>
          <cell r="M7"/>
          <cell r="N7"/>
          <cell r="O7"/>
          <cell r="P7"/>
          <cell r="Q7"/>
        </row>
        <row r="8">
          <cell r="A8">
            <v>4058511379241</v>
          </cell>
          <cell r="B8" t="str">
            <v>CYBEX ETERNIS S SENSORSAFE CONVERTIBLE CAR SEAT PEPPER BLACK</v>
          </cell>
          <cell r="C8">
            <v>4</v>
          </cell>
          <cell r="D8" t="str">
            <v>A4B0</v>
          </cell>
          <cell r="E8" t="str">
            <v>Cybex</v>
          </cell>
          <cell r="G8">
            <v>769894693957</v>
          </cell>
          <cell r="H8" t="str">
            <v>NEMIBABY FOLDABLE BABY/TODDLER MULTI-FUNCTION BATHTUB PINK</v>
          </cell>
          <cell r="I8">
            <v>62</v>
          </cell>
          <cell r="J8" t="str">
            <v>[#6-A2C0]</v>
          </cell>
          <cell r="K8" t="str">
            <v>Nemi-bathtub</v>
          </cell>
          <cell r="M8"/>
          <cell r="N8"/>
          <cell r="O8"/>
          <cell r="P8"/>
          <cell r="Q8"/>
        </row>
        <row r="9">
          <cell r="A9">
            <v>677726157006</v>
          </cell>
          <cell r="B9"/>
          <cell r="C9">
            <v>3</v>
          </cell>
          <cell r="D9" t="str">
            <v>A4C0</v>
          </cell>
          <cell r="E9" t="str">
            <v>Cybex</v>
          </cell>
          <cell r="G9">
            <v>4902011842159</v>
          </cell>
          <cell r="H9"/>
          <cell r="I9">
            <v>96</v>
          </cell>
          <cell r="J9" t="str">
            <v>[#6-A4B0]</v>
          </cell>
          <cell r="K9" t="str">
            <v>Goo.n NB88</v>
          </cell>
          <cell r="M9"/>
          <cell r="N9"/>
          <cell r="O9"/>
          <cell r="P9"/>
          <cell r="Q9"/>
        </row>
        <row r="10">
          <cell r="A10">
            <v>4058511379227</v>
          </cell>
          <cell r="B10" t="str">
            <v>CYBEX ETERNIS S SENSORSAFE CONVERTIBLE CAR SEAT DENIM BLUE</v>
          </cell>
          <cell r="C10">
            <v>5</v>
          </cell>
          <cell r="D10" t="str">
            <v>A5B0</v>
          </cell>
          <cell r="E10" t="str">
            <v>Cybex</v>
          </cell>
          <cell r="G10">
            <v>4582394787317</v>
          </cell>
          <cell r="H10" t="str">
            <v>IIMO BALANCE BIKE ETERNITY RED</v>
          </cell>
          <cell r="I10">
            <v>4</v>
          </cell>
          <cell r="J10" t="str">
            <v>[#6-A4C0]</v>
          </cell>
          <cell r="K10" t="str">
            <v>iimo</v>
          </cell>
          <cell r="M10"/>
          <cell r="N10"/>
          <cell r="O10"/>
          <cell r="P10"/>
          <cell r="Q10"/>
        </row>
        <row r="11">
          <cell r="A11">
            <v>4063846189717</v>
          </cell>
          <cell r="B11" t="str">
            <v>CYBEX ATON 2 INFANT CAR SEAT LAVASTONE BLACK</v>
          </cell>
          <cell r="C11">
            <v>10</v>
          </cell>
          <cell r="D11" t="str">
            <v>A3C0</v>
          </cell>
          <cell r="E11" t="str">
            <v>Cybex</v>
          </cell>
          <cell r="G11">
            <v>4902011842326</v>
          </cell>
          <cell r="H11"/>
          <cell r="I11">
            <v>96</v>
          </cell>
          <cell r="J11" t="str">
            <v>[#6-A5A0]</v>
          </cell>
          <cell r="K11" t="str">
            <v>Goo.n L44</v>
          </cell>
          <cell r="M11"/>
          <cell r="N11"/>
          <cell r="O11"/>
          <cell r="P11"/>
          <cell r="Q11"/>
        </row>
        <row r="12">
          <cell r="A12">
            <v>4058511379210</v>
          </cell>
          <cell r="B12" t="str">
            <v>CYBEX ETERNIS S SENSORSAFE CONVERTIBLE CAR SEAT LAVASTONE BLACK</v>
          </cell>
          <cell r="C12">
            <v>6</v>
          </cell>
          <cell r="D12" t="str">
            <v>A6B0</v>
          </cell>
          <cell r="E12" t="str">
            <v>Cybex</v>
          </cell>
          <cell r="G12">
            <v>4902011842173</v>
          </cell>
          <cell r="H12"/>
          <cell r="I12">
            <v>128</v>
          </cell>
          <cell r="J12" t="str">
            <v>[#6-A5C0]</v>
          </cell>
          <cell r="K12" t="str">
            <v>Goo.n M64</v>
          </cell>
          <cell r="M12"/>
          <cell r="N12"/>
          <cell r="O12"/>
          <cell r="P12"/>
          <cell r="Q12"/>
        </row>
        <row r="13">
          <cell r="A13">
            <v>4063846189731</v>
          </cell>
          <cell r="B13" t="str">
            <v>CYBEX ATON 2 INFANT CAR SEAT MANHATTAN GREY</v>
          </cell>
          <cell r="C13">
            <v>12</v>
          </cell>
          <cell r="D13" t="str">
            <v>A6C0</v>
          </cell>
          <cell r="E13" t="str">
            <v>Cybex</v>
          </cell>
          <cell r="G13">
            <v>626232109108</v>
          </cell>
          <cell r="H13"/>
          <cell r="I13">
            <v>564</v>
          </cell>
          <cell r="J13" t="str">
            <v>[#6-A6A0]</v>
          </cell>
          <cell r="K13" t="str">
            <v>Attitude-10910</v>
          </cell>
          <cell r="M13"/>
          <cell r="N13"/>
          <cell r="O13"/>
          <cell r="P13"/>
          <cell r="Q13"/>
        </row>
        <row r="14">
          <cell r="A14">
            <v>5060462691340</v>
          </cell>
          <cell r="B14" t="str">
            <v>JAR MELO SUPER SOFT MODELING DOUGH KIT- DINOSAUR CASE</v>
          </cell>
          <cell r="C14">
            <v>400</v>
          </cell>
          <cell r="D14" t="str">
            <v>A7A0</v>
          </cell>
          <cell r="E14" t="str">
            <v>JAR MELO</v>
          </cell>
          <cell r="G14">
            <v>210000044975</v>
          </cell>
          <cell r="H14"/>
          <cell r="I14">
            <v>40</v>
          </cell>
          <cell r="J14" t="str">
            <v>[#6-A6C0]</v>
          </cell>
          <cell r="K14" t="str">
            <v>Nemi-animal chair</v>
          </cell>
          <cell r="M14"/>
          <cell r="N14"/>
          <cell r="O14"/>
          <cell r="P14"/>
          <cell r="Q14"/>
        </row>
        <row r="15">
          <cell r="A15" t="str">
            <v>6955693028128 - Pink</v>
          </cell>
          <cell r="B15"/>
          <cell r="C15">
            <v>54</v>
          </cell>
          <cell r="D15" t="str">
            <v>A8A0</v>
          </cell>
          <cell r="E15" t="str">
            <v>Oudon, Tasteabite</v>
          </cell>
          <cell r="G15">
            <v>769894694152</v>
          </cell>
          <cell r="H15" t="str">
            <v>NEMIBABY SAFE GUARD STEP STOOL WITH HANDRAILS (PINK)</v>
          </cell>
          <cell r="I15">
            <v>48</v>
          </cell>
          <cell r="J15" t="str">
            <v>[#6-A3B0]</v>
          </cell>
          <cell r="K15" t="str">
            <v>Nemi-Step Stool</v>
          </cell>
          <cell r="M15"/>
          <cell r="N15"/>
          <cell r="O15"/>
          <cell r="P15"/>
          <cell r="Q15"/>
        </row>
        <row r="16">
          <cell r="A16" t="str">
            <v>HSQE1020X-LU</v>
          </cell>
          <cell r="B16" t="str">
            <v>Bed Frame</v>
          </cell>
          <cell r="C16">
            <v>1</v>
          </cell>
          <cell r="D16" t="str">
            <v>A9A0</v>
          </cell>
          <cell r="E16" t="str">
            <v>iloom</v>
          </cell>
          <cell r="G16">
            <v>769894694084</v>
          </cell>
          <cell r="H16"/>
          <cell r="I16">
            <v>23</v>
          </cell>
          <cell r="J16" t="str">
            <v>[#6-A6B0]</v>
          </cell>
          <cell r="K16" t="str">
            <v>Nemi-bookshelf</v>
          </cell>
          <cell r="M16"/>
          <cell r="N16"/>
          <cell r="O16"/>
          <cell r="P16"/>
          <cell r="Q16"/>
        </row>
        <row r="17">
          <cell r="A17" t="str">
            <v>HMSL10ECE-XX</v>
          </cell>
          <cell r="B17"/>
          <cell r="C17">
            <v>9</v>
          </cell>
          <cell r="D17" t="str">
            <v>A9B0</v>
          </cell>
          <cell r="E17" t="str">
            <v>iloom</v>
          </cell>
          <cell r="G17">
            <v>6920372101102</v>
          </cell>
          <cell r="H17"/>
          <cell r="I17">
            <v>16</v>
          </cell>
          <cell r="J17" t="str">
            <v>[#6-B3B0]</v>
          </cell>
          <cell r="K17" t="str">
            <v>Table Plus</v>
          </cell>
          <cell r="M17"/>
          <cell r="N17"/>
          <cell r="O17"/>
          <cell r="P17"/>
          <cell r="Q17"/>
        </row>
        <row r="18">
          <cell r="A18" t="str">
            <v>HA51M10EAE-XX</v>
          </cell>
          <cell r="B18" t="str">
            <v>Bono Mattress S03 (S)</v>
          </cell>
          <cell r="C18">
            <v>12</v>
          </cell>
          <cell r="D18" t="str">
            <v>A10A0</v>
          </cell>
          <cell r="E18" t="str">
            <v>iloom</v>
          </cell>
          <cell r="G18">
            <v>769894694077</v>
          </cell>
          <cell r="H18"/>
          <cell r="I18">
            <v>19</v>
          </cell>
          <cell r="J18" t="str">
            <v>[#6-A6B0]</v>
          </cell>
          <cell r="K18" t="str">
            <v>Nemi-bookshelf</v>
          </cell>
          <cell r="M18"/>
          <cell r="N18"/>
          <cell r="O18"/>
          <cell r="P18"/>
          <cell r="Q18"/>
        </row>
        <row r="19">
          <cell r="A19" t="str">
            <v>HSNE0010XA-IIV</v>
          </cell>
          <cell r="B19" t="str">
            <v>Steel Frame</v>
          </cell>
          <cell r="C19">
            <v>17</v>
          </cell>
          <cell r="D19" t="str">
            <v>B1A0</v>
          </cell>
          <cell r="E19" t="str">
            <v>iloom</v>
          </cell>
          <cell r="G19">
            <v>6943478021464</v>
          </cell>
          <cell r="H19" t="str">
            <v>POLYM CREATIVE STARTER KIT</v>
          </cell>
          <cell r="I19">
            <v>24</v>
          </cell>
          <cell r="J19" t="str">
            <v>[#6-X0]</v>
          </cell>
          <cell r="K19" t="str">
            <v>Hape</v>
          </cell>
          <cell r="M19"/>
          <cell r="N19"/>
          <cell r="O19"/>
          <cell r="P19"/>
          <cell r="Q19"/>
        </row>
        <row r="20">
          <cell r="A20" t="str">
            <v>HSLE1010XNB-TS</v>
          </cell>
          <cell r="B20" t="str">
            <v>Steel Frame</v>
          </cell>
          <cell r="C20">
            <v>21</v>
          </cell>
          <cell r="D20" t="str">
            <v>B2A0</v>
          </cell>
          <cell r="E20" t="str">
            <v>iloom</v>
          </cell>
          <cell r="G20">
            <v>4582394787324</v>
          </cell>
          <cell r="H20" t="str">
            <v>IIMO BALANCE BIKE GENTLE WHITE</v>
          </cell>
          <cell r="I20">
            <v>4</v>
          </cell>
          <cell r="J20" t="str">
            <v>[#6-A4C0]</v>
          </cell>
          <cell r="K20" t="str">
            <v>iimo</v>
          </cell>
          <cell r="M20"/>
          <cell r="N20"/>
          <cell r="O20"/>
          <cell r="P20"/>
          <cell r="Q20"/>
        </row>
        <row r="21">
          <cell r="A21" t="str">
            <v>HSLA0040H-GY</v>
          </cell>
          <cell r="B21" t="str">
            <v>400W High PL BOX</v>
          </cell>
          <cell r="C21">
            <v>173</v>
          </cell>
          <cell r="D21" t="str">
            <v>B2B0</v>
          </cell>
          <cell r="E21" t="str">
            <v>iloom</v>
          </cell>
          <cell r="G21">
            <v>769894694060</v>
          </cell>
          <cell r="H21"/>
          <cell r="I21">
            <v>8</v>
          </cell>
          <cell r="J21" t="str">
            <v>[#6-B4A0]</v>
          </cell>
          <cell r="K21" t="str">
            <v>Nemi-bookshelf</v>
          </cell>
          <cell r="M21"/>
          <cell r="N21"/>
          <cell r="O21"/>
          <cell r="P21"/>
          <cell r="Q21"/>
        </row>
        <row r="22">
          <cell r="A22" t="str">
            <v>HSQE0010VN-FIVLU</v>
          </cell>
          <cell r="B22" t="str">
            <v>Side Panel</v>
          </cell>
          <cell r="C22">
            <v>2</v>
          </cell>
          <cell r="D22" t="str">
            <v>B3A0</v>
          </cell>
          <cell r="E22" t="str">
            <v>iloom</v>
          </cell>
          <cell r="G22">
            <v>6943478026230</v>
          </cell>
          <cell r="H22" t="str">
            <v>POLYM CONSTRUCTION SITE</v>
          </cell>
          <cell r="I22">
            <v>12</v>
          </cell>
          <cell r="J22" t="str">
            <v>[#6-X0]</v>
          </cell>
          <cell r="K22" t="str">
            <v>Hape</v>
          </cell>
          <cell r="M22"/>
          <cell r="N22"/>
          <cell r="O22"/>
          <cell r="P22"/>
          <cell r="Q22"/>
        </row>
        <row r="23">
          <cell r="A23" t="str">
            <v>HSQE1010B-OS</v>
          </cell>
          <cell r="B23"/>
          <cell r="C23">
            <v>4</v>
          </cell>
          <cell r="D23" t="str">
            <v>B3A1</v>
          </cell>
          <cell r="E23" t="str">
            <v>iloom</v>
          </cell>
          <cell r="G23">
            <v>6943478026254</v>
          </cell>
          <cell r="H23" t="str">
            <v>POLYM CITY AIRPORT</v>
          </cell>
          <cell r="I23">
            <v>18</v>
          </cell>
          <cell r="J23" t="str">
            <v>[#6-X0]</v>
          </cell>
          <cell r="K23" t="str">
            <v>Hape</v>
          </cell>
          <cell r="M23"/>
          <cell r="N23"/>
          <cell r="O23"/>
          <cell r="P23"/>
          <cell r="Q23"/>
        </row>
        <row r="24">
          <cell r="A24" t="str">
            <v>HSTE0011V-GYM</v>
          </cell>
          <cell r="B24" t="str">
            <v>Side panels</v>
          </cell>
          <cell r="C24">
            <v>4</v>
          </cell>
          <cell r="D24" t="str">
            <v>B3B0</v>
          </cell>
          <cell r="E24" t="str">
            <v>iloom</v>
          </cell>
          <cell r="G24">
            <v>6943478026278</v>
          </cell>
          <cell r="H24" t="str">
            <v>POLYM ADVENTURE ROCKET</v>
          </cell>
          <cell r="I24">
            <v>12</v>
          </cell>
          <cell r="J24" t="str">
            <v>[#6-X0]</v>
          </cell>
          <cell r="K24" t="str">
            <v>Hape</v>
          </cell>
          <cell r="M24"/>
          <cell r="N24"/>
          <cell r="O24"/>
          <cell r="P24"/>
          <cell r="Q24"/>
        </row>
        <row r="25">
          <cell r="A25" t="str">
            <v>HSQE1020A-OS</v>
          </cell>
          <cell r="B25"/>
          <cell r="C25">
            <v>1</v>
          </cell>
          <cell r="D25" t="str">
            <v>B3B1</v>
          </cell>
          <cell r="E25" t="str">
            <v>iloom</v>
          </cell>
          <cell r="G25">
            <v>6943478002289</v>
          </cell>
          <cell r="H25" t="str">
            <v>HAPE GROW-WITH-ME ROCKING HORSE</v>
          </cell>
          <cell r="I25">
            <v>4</v>
          </cell>
          <cell r="J25" t="str">
            <v>[#6-X0]</v>
          </cell>
          <cell r="K25" t="str">
            <v>Hape</v>
          </cell>
          <cell r="M25"/>
          <cell r="N25"/>
          <cell r="O25"/>
          <cell r="P25"/>
          <cell r="Q25"/>
        </row>
        <row r="26">
          <cell r="A26" t="str">
            <v>HCH2711A-A449P</v>
          </cell>
          <cell r="B26" t="str">
            <v>Wing Chair Artificial Leather</v>
          </cell>
          <cell r="C26">
            <v>7</v>
          </cell>
          <cell r="D26" t="str">
            <v>B5C0</v>
          </cell>
          <cell r="E26" t="str">
            <v>iloom</v>
          </cell>
          <cell r="G26">
            <v>6943478016873</v>
          </cell>
          <cell r="H26" t="str">
            <v>Hape Swimmer Teddy Wind-Up Toy</v>
          </cell>
          <cell r="I26">
            <v>12</v>
          </cell>
          <cell r="J26" t="str">
            <v>[#6-X0]</v>
          </cell>
          <cell r="K26" t="str">
            <v>Hape</v>
          </cell>
          <cell r="M26"/>
          <cell r="N26"/>
          <cell r="O26"/>
          <cell r="P26"/>
          <cell r="Q26"/>
        </row>
        <row r="27">
          <cell r="A27" t="str">
            <v>HSLA0040H-KB</v>
          </cell>
          <cell r="B27" t="str">
            <v>400W High PL Box</v>
          </cell>
          <cell r="C27">
            <v>44</v>
          </cell>
          <cell r="D27" t="str">
            <v>B6A0</v>
          </cell>
          <cell r="E27" t="str">
            <v>iloom</v>
          </cell>
          <cell r="G27">
            <v>6943478016880</v>
          </cell>
          <cell r="H27" t="str">
            <v>Hape Happy Buckets Set</v>
          </cell>
          <cell r="I27">
            <v>18</v>
          </cell>
          <cell r="J27" t="str">
            <v>[#6-X0]</v>
          </cell>
          <cell r="K27" t="str">
            <v>Hape</v>
          </cell>
          <cell r="M27"/>
          <cell r="N27"/>
          <cell r="O27"/>
          <cell r="P27"/>
          <cell r="Q27"/>
        </row>
        <row r="28">
          <cell r="A28" t="str">
            <v>HCH2810AN-A441L</v>
          </cell>
          <cell r="B28"/>
          <cell r="C28">
            <v>3</v>
          </cell>
          <cell r="D28" t="str">
            <v>B6C0</v>
          </cell>
          <cell r="E28" t="str">
            <v>iloom</v>
          </cell>
          <cell r="G28">
            <v>6943478018990</v>
          </cell>
          <cell r="H28" t="str">
            <v>HAPE SHAPE SORTER XYLOPHONE</v>
          </cell>
          <cell r="I28">
            <v>12</v>
          </cell>
          <cell r="J28" t="str">
            <v>[#6-X0]</v>
          </cell>
          <cell r="K28" t="str">
            <v>Hape</v>
          </cell>
          <cell r="M28"/>
          <cell r="N28"/>
          <cell r="O28"/>
          <cell r="P28"/>
          <cell r="Q28"/>
        </row>
        <row r="29">
          <cell r="A29" t="str">
            <v>HSQE0010VC-OS</v>
          </cell>
          <cell r="B29"/>
          <cell r="C29">
            <v>9</v>
          </cell>
          <cell r="D29" t="str">
            <v>B7A0</v>
          </cell>
          <cell r="E29" t="str">
            <v>iloom</v>
          </cell>
          <cell r="G29">
            <v>6943478032729</v>
          </cell>
          <cell r="H29" t="str">
            <v>HAPE ROCKET BALL AIR STACKER</v>
          </cell>
          <cell r="I29">
            <v>16</v>
          </cell>
          <cell r="J29" t="str">
            <v>[#6-X0]</v>
          </cell>
          <cell r="K29" t="str">
            <v>Hape</v>
          </cell>
          <cell r="M29"/>
          <cell r="N29"/>
          <cell r="O29"/>
          <cell r="P29"/>
          <cell r="Q29"/>
        </row>
        <row r="30">
          <cell r="A30" t="str">
            <v>HSQE1010BAN-OS</v>
          </cell>
          <cell r="B30"/>
          <cell r="C30">
            <v>1</v>
          </cell>
          <cell r="D30" t="str">
            <v>B7A1</v>
          </cell>
          <cell r="E30" t="str">
            <v>iloom</v>
          </cell>
          <cell r="G30">
            <v>6943478011571</v>
          </cell>
          <cell r="H30" t="str">
            <v>HAPE TAKE-ALONG ACTIVITY BOX</v>
          </cell>
          <cell r="I30">
            <v>12</v>
          </cell>
          <cell r="J30" t="str">
            <v>[#6-X0]</v>
          </cell>
          <cell r="K30" t="str">
            <v>Hape</v>
          </cell>
          <cell r="M30"/>
          <cell r="N30"/>
          <cell r="O30"/>
          <cell r="P30"/>
          <cell r="Q30"/>
        </row>
        <row r="31">
          <cell r="A31" t="str">
            <v>HSQE0010BC-IV</v>
          </cell>
          <cell r="B31" t="str">
            <v>Frame Cover</v>
          </cell>
          <cell r="C31">
            <v>13</v>
          </cell>
          <cell r="D31" t="str">
            <v>B7A2</v>
          </cell>
          <cell r="E31" t="str">
            <v>iloom</v>
          </cell>
          <cell r="G31">
            <v>6943478024960</v>
          </cell>
          <cell r="H31" t="str">
            <v>HAPE SHAPE SORTING BOX</v>
          </cell>
          <cell r="I31">
            <v>12</v>
          </cell>
          <cell r="J31" t="str">
            <v>[#6-X0]</v>
          </cell>
          <cell r="K31" t="str">
            <v>Hape</v>
          </cell>
          <cell r="M31"/>
          <cell r="N31"/>
          <cell r="O31"/>
          <cell r="P31"/>
          <cell r="Q31"/>
        </row>
        <row r="32">
          <cell r="A32" t="str">
            <v>HSQE0010B-IV</v>
          </cell>
          <cell r="B32" t="str">
            <v>Bed Bottom Panel</v>
          </cell>
          <cell r="C32">
            <v>13</v>
          </cell>
          <cell r="D32" t="str">
            <v>B7B0</v>
          </cell>
          <cell r="E32" t="str">
            <v>iloom</v>
          </cell>
          <cell r="G32">
            <v>6943478029682</v>
          </cell>
          <cell r="H32" t="str">
            <v>HAPE MONSTER MATH SCALE</v>
          </cell>
          <cell r="I32">
            <v>8</v>
          </cell>
          <cell r="J32" t="str">
            <v>[#6-X0]</v>
          </cell>
          <cell r="K32" t="str">
            <v>Hape</v>
          </cell>
          <cell r="M32"/>
          <cell r="N32"/>
          <cell r="O32"/>
          <cell r="P32"/>
          <cell r="Q32"/>
        </row>
        <row r="33">
          <cell r="A33" t="str">
            <v>HSQE0010VC-FIV</v>
          </cell>
          <cell r="B33" t="str">
            <v>Lower Side Panel C</v>
          </cell>
          <cell r="C33">
            <v>7</v>
          </cell>
          <cell r="D33" t="str">
            <v>B7A0</v>
          </cell>
          <cell r="E33" t="str">
            <v>iloom</v>
          </cell>
          <cell r="G33">
            <v>6943478025479</v>
          </cell>
          <cell r="H33" t="str">
            <v>HAPE MIGHTY MINI BAND</v>
          </cell>
          <cell r="I33">
            <v>12</v>
          </cell>
          <cell r="J33" t="str">
            <v>[#6-X0]</v>
          </cell>
          <cell r="K33" t="str">
            <v>Hape</v>
          </cell>
        </row>
        <row r="34">
          <cell r="A34" t="str">
            <v>IGAHCS4009A-A446</v>
          </cell>
          <cell r="B34" t="str">
            <v>Kid's Sofa (Minnie Aco)</v>
          </cell>
          <cell r="C34">
            <v>4</v>
          </cell>
          <cell r="D34" t="str">
            <v>B7C0</v>
          </cell>
          <cell r="E34" t="str">
            <v>iloom</v>
          </cell>
          <cell r="G34">
            <v>6943478031111</v>
          </cell>
          <cell r="H34" t="str">
            <v>HAPE MUSICAL CLOUD LIGHT</v>
          </cell>
          <cell r="I34">
            <v>48</v>
          </cell>
          <cell r="J34" t="str">
            <v>[#6-X0]</v>
          </cell>
          <cell r="K34" t="str">
            <v>Hape</v>
          </cell>
        </row>
        <row r="35">
          <cell r="A35" t="str">
            <v>HSQE0010VB-OS</v>
          </cell>
          <cell r="B35"/>
          <cell r="C35">
            <v>9</v>
          </cell>
          <cell r="D35" t="str">
            <v>B8B0</v>
          </cell>
          <cell r="E35" t="str">
            <v>iloom</v>
          </cell>
          <cell r="G35">
            <v>6943478031135</v>
          </cell>
          <cell r="H35" t="str">
            <v>HAPE DJ MIX&amp; SPIN STUDIO</v>
          </cell>
          <cell r="I35">
            <v>20</v>
          </cell>
          <cell r="J35" t="str">
            <v>[#6-X0]</v>
          </cell>
          <cell r="K35" t="str">
            <v>Hape</v>
          </cell>
        </row>
        <row r="36">
          <cell r="A36" t="str">
            <v>HSLE1010VN-KP</v>
          </cell>
          <cell r="B36" t="str">
            <v>Side Panel</v>
          </cell>
          <cell r="C36">
            <v>1</v>
          </cell>
          <cell r="D36" t="str">
            <v>B9A0</v>
          </cell>
          <cell r="E36" t="str">
            <v>iloom</v>
          </cell>
          <cell r="G36">
            <v>6943478033092</v>
          </cell>
          <cell r="H36" t="str">
            <v>HAPE  LEARN WITH LIGHTS UKULELE-RED</v>
          </cell>
          <cell r="I36">
            <v>18</v>
          </cell>
          <cell r="J36" t="str">
            <v>[#6-X0]</v>
          </cell>
          <cell r="K36" t="str">
            <v>Hape</v>
          </cell>
        </row>
        <row r="37">
          <cell r="A37" t="str">
            <v>HSLE1010VN-IV</v>
          </cell>
          <cell r="B37" t="str">
            <v>Side Panel</v>
          </cell>
          <cell r="C37">
            <v>9</v>
          </cell>
          <cell r="D37" t="str">
            <v>B9A0</v>
          </cell>
          <cell r="E37" t="str">
            <v>iloom</v>
          </cell>
          <cell r="G37">
            <v>6943478034617</v>
          </cell>
          <cell r="H37" t="str">
            <v>HAPE LEARN WITH LIGHTS PIANO &amp; STOOL - BLACK</v>
          </cell>
          <cell r="I37">
            <v>56</v>
          </cell>
          <cell r="J37" t="str">
            <v>[#6-X0]</v>
          </cell>
          <cell r="K37" t="str">
            <v>Hape</v>
          </cell>
        </row>
        <row r="38">
          <cell r="A38" t="str">
            <v>HSQE1020-OS</v>
          </cell>
          <cell r="B38"/>
          <cell r="C38">
            <v>1</v>
          </cell>
          <cell r="D38" t="str">
            <v>B9A2</v>
          </cell>
          <cell r="E38" t="str">
            <v>iloom</v>
          </cell>
          <cell r="G38">
            <v>6943478034624</v>
          </cell>
          <cell r="H38" t="str">
            <v>HAPE LEARN WITH LIGHTS PIANO &amp; STOOL - RED</v>
          </cell>
          <cell r="I38">
            <v>21</v>
          </cell>
          <cell r="J38" t="str">
            <v>[#6-X0]</v>
          </cell>
          <cell r="K38" t="str">
            <v>Hape</v>
          </cell>
        </row>
        <row r="39">
          <cell r="A39" t="str">
            <v>HSKD0512BF-IV</v>
          </cell>
          <cell r="B39" t="str">
            <v>smartdesk 1200W back panel,lower shelf,hanger</v>
          </cell>
          <cell r="C39">
            <v>19</v>
          </cell>
          <cell r="D39" t="str">
            <v>B9B0</v>
          </cell>
          <cell r="E39" t="str">
            <v>iloom</v>
          </cell>
          <cell r="G39">
            <v>6943478010024</v>
          </cell>
          <cell r="H39" t="str">
            <v>HAPE ALL-IN-1 EASEL</v>
          </cell>
          <cell r="I39">
            <v>6</v>
          </cell>
          <cell r="J39" t="str">
            <v>[#6-X0]</v>
          </cell>
          <cell r="K39" t="str">
            <v>Hape</v>
          </cell>
        </row>
        <row r="40">
          <cell r="A40" t="str">
            <v>IGAHCS4011A-A443P</v>
          </cell>
          <cell r="B40" t="str">
            <v>Piglet Aco Sofa</v>
          </cell>
          <cell r="C40">
            <v>8</v>
          </cell>
          <cell r="D40" t="str">
            <v>A9A0</v>
          </cell>
          <cell r="E40" t="str">
            <v>iloom</v>
          </cell>
          <cell r="G40">
            <v>6943478011595</v>
          </cell>
          <cell r="H40" t="str">
            <v>HAPE DYNAMO KID'S WOODEN DOMINO SET</v>
          </cell>
          <cell r="I40">
            <v>4</v>
          </cell>
          <cell r="J40" t="str">
            <v>[#6-X0]</v>
          </cell>
          <cell r="K40" t="str">
            <v>Hape</v>
          </cell>
        </row>
        <row r="41">
          <cell r="A41" t="str">
            <v>HSKD0514F-IVTSS</v>
          </cell>
          <cell r="B41" t="str">
            <v>smartdesk 1400W top panel</v>
          </cell>
          <cell r="C41">
            <v>8</v>
          </cell>
          <cell r="D41" t="str">
            <v>B10B0</v>
          </cell>
          <cell r="E41" t="str">
            <v>iloom</v>
          </cell>
          <cell r="G41">
            <v>6943478012028</v>
          </cell>
          <cell r="H41" t="str">
            <v>Hape ABC Magnetic Letters</v>
          </cell>
          <cell r="I41">
            <v>24</v>
          </cell>
          <cell r="J41" t="str">
            <v>[#6-X0]</v>
          </cell>
          <cell r="K41" t="str">
            <v>Hape</v>
          </cell>
        </row>
        <row r="42">
          <cell r="A42" t="str">
            <v>IGAHCS4003A-A440P</v>
          </cell>
          <cell r="B42" t="str">
            <v>Dino Aco</v>
          </cell>
          <cell r="C42">
            <v>17</v>
          </cell>
          <cell r="D42" t="str">
            <v>A9A0</v>
          </cell>
          <cell r="E42" t="str">
            <v>iloom</v>
          </cell>
          <cell r="G42">
            <v>6943478023611</v>
          </cell>
          <cell r="H42" t="str">
            <v>HAPE ROBOT FACTORY DOMINO</v>
          </cell>
          <cell r="I42">
            <v>6</v>
          </cell>
          <cell r="J42" t="str">
            <v>[#6-X0]</v>
          </cell>
          <cell r="K42" t="str">
            <v>Hape</v>
          </cell>
        </row>
        <row r="43">
          <cell r="A43" t="str">
            <v>HSKD0114F-FIVTSS</v>
          </cell>
          <cell r="B43"/>
          <cell r="C43">
            <v>4</v>
          </cell>
          <cell r="D43" t="str">
            <v>B11A0</v>
          </cell>
          <cell r="E43" t="str">
            <v>iloom</v>
          </cell>
          <cell r="G43">
            <v>6943478024007</v>
          </cell>
          <cell r="H43" t="str">
            <v>HAPE 2-IN-1 WORLD TOUR PUZZLE AND GAME</v>
          </cell>
          <cell r="I43">
            <v>16</v>
          </cell>
          <cell r="J43" t="str">
            <v>[#6-X0]</v>
          </cell>
          <cell r="K43" t="str">
            <v>Hape</v>
          </cell>
        </row>
        <row r="44">
          <cell r="A44" t="str">
            <v>HA51M11EAE-XX</v>
          </cell>
          <cell r="B44" t="str">
            <v>Bono Mattress S03 (SS,1100W)</v>
          </cell>
          <cell r="C44">
            <v>8</v>
          </cell>
          <cell r="D44" t="str">
            <v>A10A0</v>
          </cell>
          <cell r="E44" t="str">
            <v>iloom</v>
          </cell>
          <cell r="G44">
            <v>6943478026995</v>
          </cell>
          <cell r="H44" t="str">
            <v>HAPE ANIMATED CITY PUZZLE</v>
          </cell>
          <cell r="I44">
            <v>36</v>
          </cell>
          <cell r="J44" t="str">
            <v>[#6-X0]</v>
          </cell>
          <cell r="K44" t="str">
            <v>Hape</v>
          </cell>
        </row>
        <row r="45">
          <cell r="A45" t="str">
            <v>IGAHCS4002A-A440P</v>
          </cell>
          <cell r="B45" t="str">
            <v>Bunny Aco</v>
          </cell>
          <cell r="C45">
            <v>11</v>
          </cell>
          <cell r="D45" t="str">
            <v>A9A0</v>
          </cell>
          <cell r="E45" t="str">
            <v>iloom</v>
          </cell>
          <cell r="G45">
            <v>6943478009912</v>
          </cell>
          <cell r="H45" t="str">
            <v>HAPE BEST BUGS MAGNETIC</v>
          </cell>
          <cell r="I45">
            <v>12</v>
          </cell>
          <cell r="J45" t="str">
            <v>[#6-X0]</v>
          </cell>
          <cell r="K45" t="str">
            <v>Hape</v>
          </cell>
        </row>
        <row r="46">
          <cell r="A46" t="str">
            <v>HSKD0112BFN-FIV</v>
          </cell>
          <cell r="B46"/>
          <cell r="C46">
            <v>11</v>
          </cell>
          <cell r="D46" t="str">
            <v>B12A0</v>
          </cell>
          <cell r="E46" t="str">
            <v>iloom</v>
          </cell>
          <cell r="G46">
            <v>6943478003965</v>
          </cell>
          <cell r="H46" t="str">
            <v>HAPE DOUBLE BUBBLE</v>
          </cell>
          <cell r="I46">
            <v>12</v>
          </cell>
          <cell r="J46" t="str">
            <v>[#6-X0]</v>
          </cell>
          <cell r="K46" t="str">
            <v>Hape</v>
          </cell>
        </row>
        <row r="47">
          <cell r="A47" t="str">
            <v>HSFM0093B-IV</v>
          </cell>
          <cell r="B47" t="str">
            <v>950W 3-story Storage Bookshelf Back Panel</v>
          </cell>
          <cell r="C47">
            <v>17</v>
          </cell>
          <cell r="D47" t="str">
            <v>C1A0</v>
          </cell>
          <cell r="E47" t="str">
            <v>iloom</v>
          </cell>
          <cell r="G47">
            <v>6943478029729</v>
          </cell>
          <cell r="H47" t="str">
            <v>HAPE LIGHT UP CIRCUS ACTIVITY CUBE</v>
          </cell>
          <cell r="I47">
            <v>4</v>
          </cell>
          <cell r="J47" t="str">
            <v>[#6-X0]</v>
          </cell>
          <cell r="K47" t="str">
            <v>Hape</v>
          </cell>
        </row>
        <row r="48">
          <cell r="A48" t="str">
            <v>HSKC0086BR-IV</v>
          </cell>
          <cell r="B48" t="str">
            <v>6-storybookshelf back panel 800W</v>
          </cell>
          <cell r="C48">
            <v>9</v>
          </cell>
          <cell r="D48" t="str">
            <v>C1A1</v>
          </cell>
          <cell r="E48" t="str">
            <v>iloom</v>
          </cell>
          <cell r="G48">
            <v>6943478012066</v>
          </cell>
          <cell r="H48" t="str">
            <v>HAPE BEAUTY BELONGINGS PINK</v>
          </cell>
          <cell r="I48">
            <v>12</v>
          </cell>
          <cell r="J48" t="str">
            <v>[#6-X0]</v>
          </cell>
          <cell r="K48" t="str">
            <v>Hape</v>
          </cell>
        </row>
        <row r="49">
          <cell r="A49" t="str">
            <v>HSKC0086B-FIVML</v>
          </cell>
          <cell r="B49"/>
          <cell r="C49">
            <v>3</v>
          </cell>
          <cell r="D49" t="str">
            <v>C1A2</v>
          </cell>
          <cell r="E49" t="str">
            <v>iloom</v>
          </cell>
          <cell r="G49">
            <v>6943478015609</v>
          </cell>
          <cell r="H49" t="str">
            <v>HAPE FOUR-STAGE ROCKET SHIP</v>
          </cell>
          <cell r="I49">
            <v>4</v>
          </cell>
          <cell r="J49" t="str">
            <v>[#6-X0]</v>
          </cell>
          <cell r="K49" t="str">
            <v>Hape</v>
          </cell>
        </row>
        <row r="50">
          <cell r="A50" t="str">
            <v>HSFS0123B-IV</v>
          </cell>
          <cell r="B50" t="str">
            <v>Sliding Bookshelf Body Back Panel</v>
          </cell>
          <cell r="C50">
            <v>8</v>
          </cell>
          <cell r="D50" t="str">
            <v>C1A3</v>
          </cell>
          <cell r="E50" t="str">
            <v>iloom</v>
          </cell>
          <cell r="G50">
            <v>6943478021600</v>
          </cell>
          <cell r="H50" t="str">
            <v>HAPE FIRE STATION</v>
          </cell>
          <cell r="I50">
            <v>6</v>
          </cell>
          <cell r="J50" t="str">
            <v>[#6-X0]</v>
          </cell>
          <cell r="K50" t="str">
            <v>Hape</v>
          </cell>
        </row>
        <row r="51">
          <cell r="A51" t="str">
            <v>HSKC0085B-FIVML</v>
          </cell>
          <cell r="B51"/>
          <cell r="C51">
            <v>8</v>
          </cell>
          <cell r="D51" t="str">
            <v>C1A4</v>
          </cell>
          <cell r="E51" t="str">
            <v>iloom</v>
          </cell>
          <cell r="G51">
            <v>6943478031081</v>
          </cell>
          <cell r="H51" t="str">
            <v>HAPE METRO POLICE DEPT. PLAYSET</v>
          </cell>
          <cell r="I51">
            <v>8</v>
          </cell>
          <cell r="J51" t="str">
            <v>[#6-X0]</v>
          </cell>
          <cell r="K51" t="str">
            <v>Hape</v>
          </cell>
        </row>
        <row r="52">
          <cell r="A52" t="str">
            <v>HSFP0093B-IV</v>
          </cell>
          <cell r="B52" t="str">
            <v>950W 3-story Storage Bookshelf Back Panel</v>
          </cell>
          <cell r="C52">
            <v>16</v>
          </cell>
          <cell r="D52" t="str">
            <v>C2A0</v>
          </cell>
          <cell r="E52" t="str">
            <v>iloom</v>
          </cell>
          <cell r="G52">
            <v>6943478018426</v>
          </cell>
          <cell r="H52" t="str">
            <v>HAPE ALL IN 1 KITCHEN</v>
          </cell>
          <cell r="I52">
            <v>3</v>
          </cell>
          <cell r="J52" t="str">
            <v>[#6-X0]</v>
          </cell>
          <cell r="K52" t="str">
            <v>Hape</v>
          </cell>
        </row>
        <row r="53">
          <cell r="A53" t="str">
            <v>HSLC5080B-IVML</v>
          </cell>
          <cell r="B53" t="str">
            <v>800W Wardrobe Shelves</v>
          </cell>
          <cell r="C53">
            <v>8</v>
          </cell>
          <cell r="D53" t="str">
            <v>C2A1</v>
          </cell>
          <cell r="E53" t="str">
            <v>iloom</v>
          </cell>
          <cell r="G53">
            <v>6943478025332</v>
          </cell>
          <cell r="H53" t="str">
            <v>HAPE COOKING ESSENTIALS</v>
          </cell>
          <cell r="I53">
            <v>12</v>
          </cell>
          <cell r="J53" t="str">
            <v>[#6-X0]</v>
          </cell>
          <cell r="K53" t="str">
            <v>Hape</v>
          </cell>
        </row>
        <row r="54">
          <cell r="A54" t="str">
            <v>HSFP0143B-IV</v>
          </cell>
          <cell r="B54" t="str">
            <v>1400W 3-story Storage Bookshelf Back Panel</v>
          </cell>
          <cell r="C54">
            <v>16</v>
          </cell>
          <cell r="D54" t="str">
            <v>C2A2</v>
          </cell>
          <cell r="E54" t="str">
            <v>iloom</v>
          </cell>
          <cell r="G54">
            <v>6943478023840</v>
          </cell>
          <cell r="H54" t="str">
            <v>HAPE POP-UP SHOP</v>
          </cell>
          <cell r="I54">
            <v>4</v>
          </cell>
          <cell r="J54" t="str">
            <v>[#6-X0]</v>
          </cell>
          <cell r="K54" t="str">
            <v>Hape</v>
          </cell>
        </row>
        <row r="55">
          <cell r="A55" t="str">
            <v>HSKC0065B-FIVML</v>
          </cell>
          <cell r="B55"/>
          <cell r="C55">
            <v>11</v>
          </cell>
          <cell r="D55" t="str">
            <v>C2A3</v>
          </cell>
          <cell r="E55" t="str">
            <v>iloom</v>
          </cell>
          <cell r="G55">
            <v>6943478032699</v>
          </cell>
          <cell r="H55" t="str">
            <v>HAPE DELUXE KITCHEN WITH FUN FAN STOVE</v>
          </cell>
          <cell r="I55">
            <v>5</v>
          </cell>
          <cell r="J55" t="str">
            <v>[#6-X0]</v>
          </cell>
          <cell r="K55" t="str">
            <v>Hape</v>
          </cell>
        </row>
        <row r="56">
          <cell r="A56" t="str">
            <v>HSFS0103B-IV</v>
          </cell>
          <cell r="B56" t="str">
            <v xml:space="preserve">Kids Storage Bookshelf Back Panel </v>
          </cell>
          <cell r="C56">
            <v>10</v>
          </cell>
          <cell r="D56" t="str">
            <v>C2A4</v>
          </cell>
          <cell r="E56" t="str">
            <v>iloom</v>
          </cell>
          <cell r="G56">
            <v>6943478021723</v>
          </cell>
          <cell r="H56" t="str">
            <v>HAPE GRAND CITY STATION</v>
          </cell>
          <cell r="I56">
            <v>10</v>
          </cell>
          <cell r="J56" t="str">
            <v>[#6-X0]</v>
          </cell>
          <cell r="K56" t="str">
            <v>Hape</v>
          </cell>
        </row>
        <row r="57">
          <cell r="A57" t="str">
            <v>HSRE1010G-3W3</v>
          </cell>
          <cell r="B57"/>
          <cell r="C57">
            <v>8</v>
          </cell>
          <cell r="D57" t="str">
            <v>C2B0</v>
          </cell>
          <cell r="E57" t="str">
            <v>iloom</v>
          </cell>
          <cell r="G57">
            <v>6943478021662</v>
          </cell>
          <cell r="H57" t="str">
            <v>HAPE BUSY CITY RAIL SET</v>
          </cell>
          <cell r="I57">
            <v>26</v>
          </cell>
          <cell r="J57" t="str">
            <v>[#6-X0]</v>
          </cell>
          <cell r="K57" t="str">
            <v>Hape</v>
          </cell>
        </row>
        <row r="58">
          <cell r="A58" t="str">
            <v>HSFP0093V-IV</v>
          </cell>
          <cell r="B58" t="str">
            <v>950W 3-story Storage Bookshelf Side Panels</v>
          </cell>
          <cell r="C58">
            <v>18</v>
          </cell>
          <cell r="D58" t="str">
            <v>C3A0</v>
          </cell>
          <cell r="E58" t="str">
            <v>iloom</v>
          </cell>
          <cell r="G58">
            <v>6943478018259</v>
          </cell>
          <cell r="H58" t="str">
            <v>HAPE MIGHTY MOUNTAIN MINE</v>
          </cell>
          <cell r="I58">
            <v>8</v>
          </cell>
          <cell r="J58" t="str">
            <v>[#6-X0]</v>
          </cell>
          <cell r="K58" t="str">
            <v>Hape</v>
          </cell>
        </row>
        <row r="59">
          <cell r="A59" t="str">
            <v>HSFM0143B-IV</v>
          </cell>
          <cell r="B59" t="str">
            <v>1400W 3-story Storage Bookshelf Back Panel</v>
          </cell>
          <cell r="C59">
            <v>11</v>
          </cell>
          <cell r="D59" t="str">
            <v>C3A1</v>
          </cell>
          <cell r="E59" t="str">
            <v>iloom</v>
          </cell>
          <cell r="G59">
            <v>6943478006348</v>
          </cell>
          <cell r="H59" t="str">
            <v>HAPE WALK A-LONG TOY PUPPY</v>
          </cell>
          <cell r="I59">
            <v>8</v>
          </cell>
          <cell r="J59" t="str">
            <v>[#6-X0]</v>
          </cell>
          <cell r="K59" t="str">
            <v>Hape</v>
          </cell>
        </row>
        <row r="60">
          <cell r="A60" t="str">
            <v>HSKP0313-IVGYM</v>
          </cell>
          <cell r="B60" t="str">
            <v>3-story desk drawer</v>
          </cell>
          <cell r="C60">
            <v>2</v>
          </cell>
          <cell r="D60" t="str">
            <v>C3B0</v>
          </cell>
          <cell r="E60" t="str">
            <v>iloom</v>
          </cell>
        </row>
        <row r="61">
          <cell r="A61" t="str">
            <v>IGAHCS4002A-A443P</v>
          </cell>
          <cell r="B61" t="str">
            <v>Bunny Aco</v>
          </cell>
          <cell r="C61">
            <v>10</v>
          </cell>
          <cell r="D61" t="str">
            <v>C3C0</v>
          </cell>
          <cell r="E61" t="str">
            <v>iloom</v>
          </cell>
        </row>
        <row r="62">
          <cell r="A62" t="str">
            <v>HSFM0093V-IV</v>
          </cell>
          <cell r="B62" t="str">
            <v>950W 3-story Storage Bookshelf Side Panels</v>
          </cell>
          <cell r="C62">
            <v>17</v>
          </cell>
          <cell r="D62" t="str">
            <v>C4A0</v>
          </cell>
          <cell r="E62" t="str">
            <v>Open</v>
          </cell>
        </row>
        <row r="63">
          <cell r="A63" t="str">
            <v>HSFC0123B-IV</v>
          </cell>
          <cell r="B63" t="str">
            <v xml:space="preserve">1200W 3-story Bookshelf Back Panel </v>
          </cell>
          <cell r="C63">
            <v>3</v>
          </cell>
          <cell r="D63" t="str">
            <v>C4A1</v>
          </cell>
          <cell r="E63" t="str">
            <v>iloom</v>
          </cell>
        </row>
        <row r="64">
          <cell r="A64" t="str">
            <v>HSKM0096BR-IV</v>
          </cell>
          <cell r="B64" t="str">
            <v>6-story storage bookshelf back panel</v>
          </cell>
          <cell r="C64">
            <v>5</v>
          </cell>
          <cell r="D64" t="str">
            <v>C4A2</v>
          </cell>
          <cell r="E64" t="str">
            <v>iloom</v>
          </cell>
        </row>
        <row r="65">
          <cell r="A65" t="str">
            <v>HSFS0090F-3J2</v>
          </cell>
          <cell r="B65" t="str">
            <v>Sofa type reading house seat</v>
          </cell>
          <cell r="C65">
            <v>6</v>
          </cell>
          <cell r="D65" t="str">
            <v>C4B0</v>
          </cell>
          <cell r="E65" t="str">
            <v>iloom</v>
          </cell>
        </row>
        <row r="66">
          <cell r="A66" t="str">
            <v>HSFM0093H-IV</v>
          </cell>
          <cell r="B66" t="str">
            <v>950W 3-story Storage Bookshelf Shelves</v>
          </cell>
          <cell r="C66">
            <v>17</v>
          </cell>
          <cell r="D66" t="str">
            <v>C5A0</v>
          </cell>
          <cell r="E66" t="str">
            <v>iloom</v>
          </cell>
        </row>
        <row r="67">
          <cell r="A67" t="str">
            <v>HSFS0123D-GYM</v>
          </cell>
          <cell r="B67" t="str">
            <v>Sliding Bookshelf Door</v>
          </cell>
          <cell r="C67">
            <v>9</v>
          </cell>
          <cell r="D67" t="str">
            <v>C5A1</v>
          </cell>
          <cell r="E67" t="str">
            <v>iloom</v>
          </cell>
        </row>
        <row r="68">
          <cell r="A68" t="str">
            <v>HSKD0500-IV</v>
          </cell>
          <cell r="B68" t="str">
            <v>smart/side panel desk side panel</v>
          </cell>
          <cell r="C68">
            <v>27</v>
          </cell>
          <cell r="D68" t="str">
            <v>C5B0</v>
          </cell>
          <cell r="E68" t="str">
            <v>iloom</v>
          </cell>
        </row>
        <row r="69">
          <cell r="A69" t="str">
            <v>HSFS0123H-IV</v>
          </cell>
          <cell r="B69" t="str">
            <v>Sliding Bookshelf Body Shelves</v>
          </cell>
          <cell r="C69">
            <v>10</v>
          </cell>
          <cell r="D69" t="str">
            <v>C6A0</v>
          </cell>
          <cell r="E69" t="str">
            <v>iloom</v>
          </cell>
        </row>
        <row r="70">
          <cell r="A70" t="str">
            <v>HSFS0123V-IV</v>
          </cell>
          <cell r="B70" t="str">
            <v>Sliding Bookshelf Body Side Panels</v>
          </cell>
          <cell r="C70">
            <v>9</v>
          </cell>
          <cell r="D70" t="str">
            <v>C6A1</v>
          </cell>
          <cell r="E70" t="str">
            <v>iloom</v>
          </cell>
        </row>
        <row r="71">
          <cell r="A71" t="str">
            <v>HCH2810FSC-A443D</v>
          </cell>
          <cell r="B71" t="str">
            <v>iloom Kids Chair Ringo-i (Beige)</v>
          </cell>
          <cell r="C71">
            <v>3</v>
          </cell>
          <cell r="D71" t="str">
            <v>C6B0</v>
          </cell>
          <cell r="E71" t="str">
            <v>Open</v>
          </cell>
        </row>
        <row r="72">
          <cell r="A72" t="str">
            <v>HSKC0086H-FIV</v>
          </cell>
          <cell r="B72"/>
          <cell r="C72">
            <v>3</v>
          </cell>
          <cell r="D72" t="str">
            <v>C7A0</v>
          </cell>
          <cell r="E72" t="str">
            <v>iloom</v>
          </cell>
        </row>
        <row r="73">
          <cell r="A73" t="str">
            <v>HSLC5080V-IV</v>
          </cell>
          <cell r="B73" t="str">
            <v>800W Wardrobe Side Panels</v>
          </cell>
          <cell r="C73">
            <v>8</v>
          </cell>
          <cell r="D73" t="str">
            <v>C7A1</v>
          </cell>
          <cell r="E73" t="str">
            <v>iloom</v>
          </cell>
        </row>
        <row r="74">
          <cell r="A74" t="str">
            <v>HCH2000A-A444P</v>
          </cell>
          <cell r="B74" t="str">
            <v>Atti-i Chair</v>
          </cell>
          <cell r="C74">
            <v>6</v>
          </cell>
          <cell r="D74" t="str">
            <v>C7B0</v>
          </cell>
          <cell r="E74" t="str">
            <v>iloom</v>
          </cell>
        </row>
        <row r="75">
          <cell r="A75" t="str">
            <v>HCH2900WRA-459</v>
          </cell>
          <cell r="B75"/>
          <cell r="C75">
            <v>3</v>
          </cell>
          <cell r="D75" t="str">
            <v>C7C0</v>
          </cell>
          <cell r="E75" t="str">
            <v>iloom</v>
          </cell>
        </row>
        <row r="76">
          <cell r="A76" t="str">
            <v>HSKC0060S-LPW</v>
          </cell>
          <cell r="B76"/>
          <cell r="C76">
            <v>3</v>
          </cell>
          <cell r="D76" t="str">
            <v>C8A0</v>
          </cell>
          <cell r="E76" t="str">
            <v>iloom</v>
          </cell>
        </row>
        <row r="77">
          <cell r="A77" t="str">
            <v>HSFS1103V-IV</v>
          </cell>
          <cell r="B77" t="str">
            <v>Kids Daily Wardrobe Side Panels</v>
          </cell>
          <cell r="C77">
            <v>1</v>
          </cell>
          <cell r="D77" t="str">
            <v>C8A1</v>
          </cell>
          <cell r="E77" t="str">
            <v>iloom</v>
          </cell>
        </row>
        <row r="78">
          <cell r="A78" t="str">
            <v>HSFS0090V-GYM</v>
          </cell>
          <cell r="B78" t="str">
            <v>Sofa type reading house side panels</v>
          </cell>
          <cell r="C78">
            <v>6</v>
          </cell>
          <cell r="D78" t="str">
            <v>C8B0</v>
          </cell>
          <cell r="E78" t="str">
            <v>iloom</v>
          </cell>
        </row>
        <row r="79">
          <cell r="A79" t="str">
            <v>HSFS0080T-IV</v>
          </cell>
          <cell r="B79" t="str">
            <v>Corner type reading house front panel</v>
          </cell>
          <cell r="C79">
            <v>2</v>
          </cell>
          <cell r="D79" t="str">
            <v>C9A0</v>
          </cell>
          <cell r="E79" t="str">
            <v>iloom</v>
          </cell>
        </row>
        <row r="80">
          <cell r="A80" t="str">
            <v>HSFP0091V-IV</v>
          </cell>
          <cell r="B80" t="str">
            <v>950W 1-story Storage Bookshelf Side Panels</v>
          </cell>
          <cell r="C80">
            <v>16</v>
          </cell>
          <cell r="D80" t="str">
            <v>C9A1</v>
          </cell>
          <cell r="E80" t="str">
            <v>iloom</v>
          </cell>
        </row>
        <row r="81">
          <cell r="A81" t="str">
            <v>HSFA0062-IV</v>
          </cell>
          <cell r="B81" t="str">
            <v>Bookshelf Body</v>
          </cell>
          <cell r="C81">
            <v>6</v>
          </cell>
          <cell r="D81" t="str">
            <v>C9B0</v>
          </cell>
          <cell r="E81" t="str">
            <v>iloom</v>
          </cell>
        </row>
        <row r="82">
          <cell r="A82" t="str">
            <v>HSLC7083NA-IVKP</v>
          </cell>
          <cell r="B82" t="str">
            <v>800W 3-story Drawer</v>
          </cell>
          <cell r="C82">
            <v>3</v>
          </cell>
          <cell r="D82" t="str">
            <v>C9C0</v>
          </cell>
          <cell r="E82" t="str">
            <v>iloom</v>
          </cell>
        </row>
        <row r="83">
          <cell r="A83" t="str">
            <v>HSFC5080D-IV</v>
          </cell>
          <cell r="B83" t="str">
            <v>doors of closet(w800)</v>
          </cell>
          <cell r="C83">
            <v>9</v>
          </cell>
          <cell r="D83" t="str">
            <v>C10A0</v>
          </cell>
          <cell r="E83" t="str">
            <v>iloom</v>
          </cell>
        </row>
        <row r="84">
          <cell r="A84" t="str">
            <v>HSFP0035V-IV</v>
          </cell>
          <cell r="B84" t="str">
            <v>Side panel of 3-story deeper cabinet (W350)</v>
          </cell>
          <cell r="C84">
            <v>8</v>
          </cell>
          <cell r="D84" t="str">
            <v>C10A1</v>
          </cell>
          <cell r="E84" t="str">
            <v>iloom</v>
          </cell>
        </row>
        <row r="85">
          <cell r="A85" t="str">
            <v>HSLA1051NA-IVKP</v>
          </cell>
          <cell r="B85" t="str">
            <v>Makeup Table Bodies</v>
          </cell>
          <cell r="C85">
            <v>3</v>
          </cell>
          <cell r="D85" t="str">
            <v>C10B0</v>
          </cell>
          <cell r="E85" t="str">
            <v>iloom</v>
          </cell>
        </row>
        <row r="86">
          <cell r="A86" t="str">
            <v>HSBA0006-A607</v>
          </cell>
          <cell r="B86" t="str">
            <v>Play Mat Dual</v>
          </cell>
          <cell r="C86">
            <v>3</v>
          </cell>
          <cell r="D86" t="str">
            <v>C10C0</v>
          </cell>
          <cell r="E86" t="str">
            <v>iloom</v>
          </cell>
        </row>
        <row r="87">
          <cell r="A87" t="str">
            <v>HSLE2010GC-IV</v>
          </cell>
          <cell r="B87" t="str">
            <v>2-story Bed Side Guard (Stair type)</v>
          </cell>
          <cell r="C87">
            <v>16</v>
          </cell>
          <cell r="D87" t="str">
            <v>D1A0</v>
          </cell>
          <cell r="E87" t="str">
            <v>iloom</v>
          </cell>
        </row>
        <row r="88">
          <cell r="A88" t="str">
            <v>HSLA3080N-WHT</v>
          </cell>
          <cell r="B88" t="str">
            <v>Whiteboard</v>
          </cell>
          <cell r="C88">
            <v>8</v>
          </cell>
          <cell r="D88" t="str">
            <v>D1A1</v>
          </cell>
          <cell r="E88" t="str">
            <v>iloom</v>
          </cell>
        </row>
        <row r="89">
          <cell r="A89" t="str">
            <v>HSLE2010C-IV</v>
          </cell>
          <cell r="B89" t="str">
            <v>2-story Bed Corner</v>
          </cell>
          <cell r="C89">
            <v>10</v>
          </cell>
          <cell r="D89" t="str">
            <v>D2A0</v>
          </cell>
          <cell r="E89" t="str">
            <v>iloom</v>
          </cell>
        </row>
        <row r="90">
          <cell r="A90" t="str">
            <v>HSLE1010N-IV</v>
          </cell>
          <cell r="B90" t="str">
            <v>Footboard</v>
          </cell>
          <cell r="C90">
            <v>9</v>
          </cell>
          <cell r="D90" t="str">
            <v>D2A1</v>
          </cell>
          <cell r="E90" t="str">
            <v>iloom</v>
          </cell>
        </row>
        <row r="91">
          <cell r="A91" t="str">
            <v>HSFP0143H-IV</v>
          </cell>
          <cell r="B91" t="str">
            <v>1400W 3-story Storage Bookshelf Shelves</v>
          </cell>
          <cell r="C91">
            <v>16</v>
          </cell>
          <cell r="D91" t="str">
            <v>D3A0</v>
          </cell>
          <cell r="E91" t="str">
            <v>iloom</v>
          </cell>
        </row>
        <row r="92">
          <cell r="A92" t="str">
            <v>HSKC0143SB-FIV</v>
          </cell>
          <cell r="B92"/>
          <cell r="C92">
            <v>1</v>
          </cell>
          <cell r="D92" t="str">
            <v>D3A1</v>
          </cell>
          <cell r="E92" t="str">
            <v>iloom</v>
          </cell>
        </row>
        <row r="93">
          <cell r="A93" t="str">
            <v>HSQE0010BN-IV</v>
          </cell>
          <cell r="B93" t="str">
            <v>Bottom Panel</v>
          </cell>
          <cell r="C93">
            <v>4</v>
          </cell>
          <cell r="D93" t="str">
            <v>D3B1</v>
          </cell>
          <cell r="E93" t="str">
            <v>iloom</v>
          </cell>
        </row>
        <row r="94">
          <cell r="A94" t="str">
            <v>HSFP0143V-IV</v>
          </cell>
          <cell r="B94" t="str">
            <v>1400W 3-story Storage Bookshelf Side Panels</v>
          </cell>
          <cell r="C94">
            <v>16</v>
          </cell>
          <cell r="D94" t="str">
            <v>D4A0</v>
          </cell>
          <cell r="E94" t="str">
            <v>iloom</v>
          </cell>
        </row>
        <row r="95">
          <cell r="A95" t="str">
            <v>HSKC0144SB-FIV</v>
          </cell>
          <cell r="B95"/>
          <cell r="C95">
            <v>3</v>
          </cell>
          <cell r="D95" t="str">
            <v>D4A1</v>
          </cell>
          <cell r="E95" t="str">
            <v>iloom</v>
          </cell>
        </row>
        <row r="96">
          <cell r="A96" t="str">
            <v>HSLD0000H-KB</v>
          </cell>
          <cell r="B96"/>
          <cell r="C96">
            <v>17</v>
          </cell>
          <cell r="D96" t="str">
            <v>D4B0</v>
          </cell>
          <cell r="E96" t="str">
            <v>iloom</v>
          </cell>
        </row>
        <row r="97">
          <cell r="A97" t="str">
            <v>HSQE2010B-OS</v>
          </cell>
          <cell r="B97"/>
          <cell r="C97">
            <v>2</v>
          </cell>
          <cell r="D97" t="str">
            <v>D4B1</v>
          </cell>
          <cell r="E97" t="str">
            <v>iloom</v>
          </cell>
        </row>
        <row r="98">
          <cell r="A98" t="str">
            <v>HSLE1010HN-IV</v>
          </cell>
          <cell r="B98" t="str">
            <v>Headboard</v>
          </cell>
          <cell r="C98">
            <v>9</v>
          </cell>
          <cell r="D98" t="str">
            <v>D5B0</v>
          </cell>
          <cell r="E98" t="str">
            <v>Open</v>
          </cell>
        </row>
        <row r="99">
          <cell r="A99" t="str">
            <v>HSLE1010HN-KR</v>
          </cell>
          <cell r="B99" t="str">
            <v>Headboard</v>
          </cell>
          <cell r="C99">
            <v>5</v>
          </cell>
          <cell r="D99" t="str">
            <v>D6B0</v>
          </cell>
          <cell r="E99" t="str">
            <v>Open</v>
          </cell>
        </row>
        <row r="100">
          <cell r="A100" t="str">
            <v>HSLD1012N-IVKB</v>
          </cell>
          <cell r="B100" t="str">
            <v>1200W Peanut Desk Top Panel (Foaming Bumper)</v>
          </cell>
          <cell r="C100">
            <v>2</v>
          </cell>
          <cell r="D100" t="str">
            <v>D7A0</v>
          </cell>
          <cell r="E100" t="str">
            <v>iloom</v>
          </cell>
        </row>
        <row r="101">
          <cell r="A101" t="str">
            <v>HSLD1008B-OSCA</v>
          </cell>
          <cell r="B101"/>
          <cell r="C101">
            <v>8</v>
          </cell>
          <cell r="D101" t="str">
            <v>D7A1</v>
          </cell>
          <cell r="E101" t="str">
            <v>iloom</v>
          </cell>
        </row>
        <row r="102">
          <cell r="A102" t="str">
            <v>HSQE0010VBN-FIV</v>
          </cell>
          <cell r="B102" t="str">
            <v>Lower Side Panel B</v>
          </cell>
          <cell r="C102">
            <v>4</v>
          </cell>
          <cell r="D102" t="str">
            <v>D7A2</v>
          </cell>
          <cell r="E102" t="str">
            <v>iloom</v>
          </cell>
        </row>
        <row r="103">
          <cell r="A103" t="str">
            <v>HCH1008W-454A</v>
          </cell>
          <cell r="B103" t="str">
            <v>Fungus Chair</v>
          </cell>
          <cell r="C103">
            <v>3</v>
          </cell>
          <cell r="D103" t="str">
            <v>A9A0</v>
          </cell>
          <cell r="E103" t="str">
            <v>iloom</v>
          </cell>
        </row>
        <row r="104">
          <cell r="A104" t="str">
            <v>HSLD1012A-IVKR</v>
          </cell>
          <cell r="B104" t="str">
            <v>1200W rectangle Desk Top Panel (Foaming Bumper)</v>
          </cell>
          <cell r="C104">
            <v>7</v>
          </cell>
          <cell r="D104" t="str">
            <v>D8A0</v>
          </cell>
          <cell r="E104" t="str">
            <v>iloom</v>
          </cell>
        </row>
        <row r="105">
          <cell r="A105" t="str">
            <v>HSLD1008B-IVKR</v>
          </cell>
          <cell r="B105"/>
          <cell r="C105">
            <v>15</v>
          </cell>
          <cell r="D105" t="str">
            <v>D8A1</v>
          </cell>
          <cell r="E105" t="str">
            <v>iloom</v>
          </cell>
        </row>
        <row r="106">
          <cell r="A106" t="str">
            <v>HSQE0010HNA-FIV</v>
          </cell>
          <cell r="B106"/>
          <cell r="C106">
            <v>1</v>
          </cell>
          <cell r="D106" t="str">
            <v>D8B0</v>
          </cell>
          <cell r="E106" t="str">
            <v>iloom</v>
          </cell>
        </row>
        <row r="107">
          <cell r="A107" t="str">
            <v>HSKD0100F-FIV</v>
          </cell>
          <cell r="B107"/>
          <cell r="C107">
            <v>15</v>
          </cell>
          <cell r="D107" t="str">
            <v>D9A0</v>
          </cell>
          <cell r="E107" t="str">
            <v>iloom</v>
          </cell>
        </row>
        <row r="108">
          <cell r="A108" t="str">
            <v>HSKC0006V-FIV</v>
          </cell>
          <cell r="B108"/>
          <cell r="C108">
            <v>3</v>
          </cell>
          <cell r="D108" t="str">
            <v>D9A1</v>
          </cell>
          <cell r="E108" t="str">
            <v>iloom</v>
          </cell>
        </row>
        <row r="109">
          <cell r="A109" t="str">
            <v>HSKD0512F-IVTSS</v>
          </cell>
          <cell r="B109" t="str">
            <v>smartdesk 1200W top panel</v>
          </cell>
          <cell r="C109">
            <v>19</v>
          </cell>
          <cell r="D109" t="str">
            <v>D9B0</v>
          </cell>
          <cell r="E109" t="str">
            <v>iloom</v>
          </cell>
        </row>
        <row r="110">
          <cell r="A110" t="str">
            <v>HSFS0103V-IV</v>
          </cell>
          <cell r="B110" t="str">
            <v>Kids Storage Bookshelf Side Panels</v>
          </cell>
          <cell r="C110">
            <v>10</v>
          </cell>
          <cell r="D110" t="str">
            <v>D10A0</v>
          </cell>
          <cell r="E110" t="str">
            <v>iloom</v>
          </cell>
        </row>
        <row r="111">
          <cell r="A111" t="str">
            <v>HSKC0005V-FIV</v>
          </cell>
          <cell r="B111"/>
          <cell r="C111">
            <v>19</v>
          </cell>
          <cell r="D111" t="str">
            <v>D10A1</v>
          </cell>
          <cell r="E111" t="str">
            <v>iloom</v>
          </cell>
        </row>
        <row r="112">
          <cell r="A112" t="str">
            <v>HSKD0612-IVGYM</v>
          </cell>
          <cell r="B112" t="str">
            <v>motiondesk 1200W top panel</v>
          </cell>
          <cell r="C112">
            <v>2</v>
          </cell>
          <cell r="D112" t="str">
            <v>D10B0</v>
          </cell>
          <cell r="E112" t="str">
            <v>iloom</v>
          </cell>
        </row>
        <row r="113">
          <cell r="A113">
            <v>885637071995</v>
          </cell>
          <cell r="B113" t="str">
            <v>DWINGULER CASTLE EXTENSION SET RAINBOW</v>
          </cell>
          <cell r="C113">
            <v>1</v>
          </cell>
          <cell r="D113" t="str">
            <v>D10C0</v>
          </cell>
          <cell r="E113" t="str">
            <v>DWINGULER</v>
          </cell>
        </row>
        <row r="114">
          <cell r="A114" t="str">
            <v>HSQE0010HN-FIV</v>
          </cell>
          <cell r="B114" t="str">
            <v>Headboard</v>
          </cell>
          <cell r="C114">
            <v>9</v>
          </cell>
          <cell r="D114" t="str">
            <v>E1A0</v>
          </cell>
          <cell r="E114" t="str">
            <v>iloom</v>
          </cell>
        </row>
        <row r="115">
          <cell r="A115" t="str">
            <v>HSKC0003SV-FIV</v>
          </cell>
          <cell r="B115"/>
          <cell r="C115">
            <v>9</v>
          </cell>
          <cell r="D115" t="str">
            <v>E1A1</v>
          </cell>
          <cell r="E115" t="str">
            <v>iloom</v>
          </cell>
        </row>
        <row r="116">
          <cell r="A116" t="str">
            <v>HSLE1010BNA-IV</v>
          </cell>
          <cell r="B116" t="str">
            <v>Bed Bottom Panel</v>
          </cell>
          <cell r="C116">
            <v>21</v>
          </cell>
          <cell r="D116" t="str">
            <v>E1B0</v>
          </cell>
          <cell r="E116" t="str">
            <v>Open</v>
          </cell>
        </row>
        <row r="117">
          <cell r="A117" t="str">
            <v>HSFC0123V-IV</v>
          </cell>
          <cell r="B117" t="str">
            <v xml:space="preserve">1200W 3-story Bookshelf Side Panels </v>
          </cell>
          <cell r="C117">
            <v>3</v>
          </cell>
          <cell r="D117" t="str">
            <v>E2A0</v>
          </cell>
          <cell r="E117" t="str">
            <v>iloom</v>
          </cell>
        </row>
        <row r="118">
          <cell r="A118" t="str">
            <v>HSNA1010-LU</v>
          </cell>
          <cell r="B118" t="str">
            <v>Kids Tent</v>
          </cell>
          <cell r="C118">
            <v>6</v>
          </cell>
          <cell r="D118" t="str">
            <v>E2A1</v>
          </cell>
          <cell r="E118" t="str">
            <v>iloom</v>
          </cell>
        </row>
        <row r="119">
          <cell r="A119" t="str">
            <v>IGAHCS4006A-A440P</v>
          </cell>
          <cell r="B119" t="str">
            <v xml:space="preserve">Polar Aco Sofa </v>
          </cell>
          <cell r="C119">
            <v>5</v>
          </cell>
          <cell r="D119" t="str">
            <v>E2B0</v>
          </cell>
          <cell r="E119" t="str">
            <v>iloom</v>
          </cell>
        </row>
        <row r="120">
          <cell r="A120" t="str">
            <v>HSKA0800B-IIV</v>
          </cell>
          <cell r="B120"/>
          <cell r="C120">
            <v>16</v>
          </cell>
          <cell r="D120" t="str">
            <v>E3A0</v>
          </cell>
          <cell r="E120" t="str">
            <v>iloom</v>
          </cell>
        </row>
        <row r="121">
          <cell r="A121" t="str">
            <v>HSQS0043H-OS</v>
          </cell>
          <cell r="B121"/>
          <cell r="C121">
            <v>5</v>
          </cell>
          <cell r="D121" t="str">
            <v>E3A1</v>
          </cell>
          <cell r="E121" t="str">
            <v>iloom</v>
          </cell>
        </row>
        <row r="122">
          <cell r="A122" t="str">
            <v>HSWD0010X-WW</v>
          </cell>
          <cell r="B122"/>
          <cell r="C122">
            <v>3</v>
          </cell>
          <cell r="D122" t="str">
            <v>E3B0</v>
          </cell>
          <cell r="E122" t="str">
            <v>iloom</v>
          </cell>
        </row>
        <row r="123">
          <cell r="A123" t="str">
            <v>HSKC0244SB-IVGYM</v>
          </cell>
          <cell r="B123" t="str">
            <v>4-story stacking bookshelf 1400W back panels</v>
          </cell>
          <cell r="C123">
            <v>2</v>
          </cell>
          <cell r="D123" t="str">
            <v>E4A0</v>
          </cell>
          <cell r="E123" t="str">
            <v>iloom</v>
          </cell>
        </row>
        <row r="124">
          <cell r="A124" t="str">
            <v>HSLS0044BN-IVKP</v>
          </cell>
          <cell r="B124" t="str">
            <v xml:space="preserve">Stair Storage Door </v>
          </cell>
          <cell r="C124">
            <v>12</v>
          </cell>
          <cell r="D124" t="str">
            <v>E4A1</v>
          </cell>
          <cell r="E124" t="str">
            <v>iloom</v>
          </cell>
        </row>
        <row r="125">
          <cell r="A125" t="str">
            <v>HCH2810FC-A443D</v>
          </cell>
          <cell r="B125" t="str">
            <v>Ringo-I Chair Artificial Leather</v>
          </cell>
          <cell r="C125">
            <v>7</v>
          </cell>
          <cell r="D125" t="str">
            <v>A9A0</v>
          </cell>
          <cell r="E125" t="str">
            <v>iloom</v>
          </cell>
        </row>
        <row r="126">
          <cell r="A126" t="str">
            <v>HSQE0003G-FIV</v>
          </cell>
          <cell r="B126" t="str">
            <v xml:space="preserve">330W Lower Guard </v>
          </cell>
          <cell r="C126">
            <v>5</v>
          </cell>
          <cell r="D126" t="str">
            <v>E5A0</v>
          </cell>
          <cell r="E126" t="str">
            <v>iloom</v>
          </cell>
        </row>
        <row r="127">
          <cell r="A127" t="str">
            <v>HSFM0143V-IV</v>
          </cell>
          <cell r="B127" t="str">
            <v>1400W 3-story Storage Bookshelf Side Panels</v>
          </cell>
          <cell r="C127">
            <v>11</v>
          </cell>
          <cell r="D127" t="str">
            <v>E5A1</v>
          </cell>
          <cell r="E127" t="str">
            <v>iloom</v>
          </cell>
        </row>
        <row r="128">
          <cell r="A128" t="str">
            <v>HSTE0011HF-IV</v>
          </cell>
          <cell r="B128" t="str">
            <v>Headboard(Kids bed type)</v>
          </cell>
          <cell r="C128">
            <v>4</v>
          </cell>
          <cell r="D128" t="str">
            <v>E5B0</v>
          </cell>
          <cell r="E128" t="str">
            <v>iloom</v>
          </cell>
        </row>
        <row r="129">
          <cell r="A129" t="str">
            <v>HSKC0224SB-IVGYM</v>
          </cell>
          <cell r="B129" t="str">
            <v>4-story stacking bookshelf 1200W back panels</v>
          </cell>
          <cell r="C129">
            <v>3</v>
          </cell>
          <cell r="D129" t="str">
            <v>E6A0</v>
          </cell>
          <cell r="E129" t="str">
            <v>iloom</v>
          </cell>
        </row>
        <row r="130">
          <cell r="A130" t="str">
            <v>HSKC0341SH-IV</v>
          </cell>
          <cell r="B130" t="str">
            <v>1-story stacking bookshelf 1400W</v>
          </cell>
          <cell r="C130">
            <v>4</v>
          </cell>
          <cell r="D130" t="str">
            <v>E6A1</v>
          </cell>
          <cell r="E130" t="str">
            <v>iloom</v>
          </cell>
        </row>
        <row r="131">
          <cell r="A131" t="str">
            <v>HSTE0011PF-GYM</v>
          </cell>
          <cell r="B131" t="str">
            <v xml:space="preserve">Drawers </v>
          </cell>
          <cell r="C131">
            <v>4</v>
          </cell>
          <cell r="D131" t="str">
            <v>E6B0</v>
          </cell>
          <cell r="E131" t="str">
            <v>iloom</v>
          </cell>
        </row>
        <row r="132">
          <cell r="A132">
            <v>4582394787423</v>
          </cell>
          <cell r="B132" t="str">
            <v>LONDON TAXI 14-INCH KID'S BIKE WITH HAND-HELD PUTTER BLACK</v>
          </cell>
          <cell r="C132">
            <v>11</v>
          </cell>
          <cell r="D132" t="str">
            <v>E6C0</v>
          </cell>
          <cell r="E132" t="str">
            <v>London Taxi</v>
          </cell>
        </row>
        <row r="133">
          <cell r="A133" t="str">
            <v>HSKM0096HN-IV</v>
          </cell>
          <cell r="B133" t="str">
            <v>6-Story Bookshelf w Storage Shelves</v>
          </cell>
          <cell r="C133">
            <v>5</v>
          </cell>
          <cell r="D133" t="str">
            <v>E7A0</v>
          </cell>
          <cell r="E133" t="str">
            <v>iloom</v>
          </cell>
        </row>
        <row r="134">
          <cell r="A134" t="str">
            <v>HSKA0004-TM</v>
          </cell>
          <cell r="B134" t="str">
            <v>plastic drawer(2EA)</v>
          </cell>
          <cell r="C134">
            <v>6</v>
          </cell>
          <cell r="D134" t="str">
            <v>E7A1</v>
          </cell>
          <cell r="E134" t="str">
            <v>iloom</v>
          </cell>
        </row>
        <row r="135">
          <cell r="A135">
            <v>4582394787102</v>
          </cell>
          <cell r="B135" t="str">
            <v>IIMO KIDS BICYCLE 18" GENTLE WHITE</v>
          </cell>
          <cell r="C135">
            <v>4</v>
          </cell>
          <cell r="D135" t="str">
            <v>E7B0</v>
          </cell>
          <cell r="E135" t="str">
            <v>iimo</v>
          </cell>
        </row>
        <row r="136">
          <cell r="A136" t="str">
            <v>HSQL0011G-LA</v>
          </cell>
          <cell r="B136" t="str">
            <v>Ladder Handle</v>
          </cell>
          <cell r="C136">
            <v>3</v>
          </cell>
          <cell r="D136" t="str">
            <v>E8A0</v>
          </cell>
          <cell r="E136" t="str">
            <v>iloom</v>
          </cell>
        </row>
        <row r="137">
          <cell r="A137" t="str">
            <v>HSKA0201R-GY</v>
          </cell>
          <cell r="B137" t="str">
            <v>deskpad</v>
          </cell>
          <cell r="C137">
            <v>30</v>
          </cell>
          <cell r="D137" t="str">
            <v>E8A1</v>
          </cell>
          <cell r="E137" t="str">
            <v>iloom</v>
          </cell>
        </row>
        <row r="138">
          <cell r="A138">
            <v>4582394786815</v>
          </cell>
          <cell r="B138" t="str">
            <v>IIMO KIDS BICYCLE 16" ETERNITY RED</v>
          </cell>
          <cell r="C138">
            <v>10</v>
          </cell>
          <cell r="D138" t="str">
            <v>E8B0</v>
          </cell>
          <cell r="E138" t="str">
            <v>iimo</v>
          </cell>
        </row>
        <row r="139">
          <cell r="A139">
            <v>4582394787430</v>
          </cell>
          <cell r="B139" t="str">
            <v>LONDON TAXI 14-INCH KID'S BIKE WITH HAND-HELD PUTTER RED</v>
          </cell>
          <cell r="C139">
            <v>10</v>
          </cell>
          <cell r="D139" t="str">
            <v>E8C0</v>
          </cell>
          <cell r="E139" t="str">
            <v>London Taxi</v>
          </cell>
        </row>
        <row r="140">
          <cell r="A140" t="str">
            <v>HSKA0002-DG</v>
          </cell>
          <cell r="B140"/>
          <cell r="C140">
            <v>12</v>
          </cell>
          <cell r="D140" t="str">
            <v>E9A0</v>
          </cell>
          <cell r="E140" t="str">
            <v>iloom</v>
          </cell>
        </row>
        <row r="141">
          <cell r="A141" t="str">
            <v>HSQE1010XA-LU</v>
          </cell>
          <cell r="B141" t="str">
            <v>Cylinder Guide</v>
          </cell>
          <cell r="C141">
            <v>1</v>
          </cell>
          <cell r="D141" t="str">
            <v>E9A1</v>
          </cell>
          <cell r="E141" t="str">
            <v>iloom</v>
          </cell>
        </row>
        <row r="142">
          <cell r="A142" t="str">
            <v>HSKA0302B-FIVLA</v>
          </cell>
          <cell r="B142"/>
          <cell r="C142">
            <v>5</v>
          </cell>
          <cell r="D142" t="str">
            <v>E10A0</v>
          </cell>
          <cell r="E142" t="str">
            <v>iloom</v>
          </cell>
        </row>
        <row r="143">
          <cell r="A143" t="str">
            <v>MINI CRAYONS</v>
          </cell>
          <cell r="B143"/>
          <cell r="C143">
            <v>150</v>
          </cell>
          <cell r="D143" t="str">
            <v>E10A1</v>
          </cell>
          <cell r="E143" t="str">
            <v>iloom</v>
          </cell>
        </row>
        <row r="144">
          <cell r="A144">
            <v>628110705686</v>
          </cell>
          <cell r="B144" t="str">
            <v>KOOL KARZ RIDE ON LAMBORGHINI URUS WHITE</v>
          </cell>
          <cell r="C144">
            <v>9</v>
          </cell>
          <cell r="D144" t="str">
            <v>F1B0</v>
          </cell>
          <cell r="E144" t="str">
            <v>Kool Karz</v>
          </cell>
        </row>
        <row r="145">
          <cell r="A145">
            <v>628110705679</v>
          </cell>
          <cell r="B145" t="str">
            <v>KOOL KARZ RIDE ON LAMBORGHINI URUS RED</v>
          </cell>
          <cell r="C145">
            <v>9</v>
          </cell>
          <cell r="D145" t="str">
            <v>F2B0</v>
          </cell>
          <cell r="E145" t="str">
            <v>Kool Karz</v>
          </cell>
        </row>
        <row r="146">
          <cell r="A146">
            <v>628110705648</v>
          </cell>
          <cell r="B146" t="str">
            <v>KOOL KARZ RIDE ON LAMBORGHINI HURACAN YELLOW</v>
          </cell>
          <cell r="C146">
            <v>3</v>
          </cell>
          <cell r="D146" t="str">
            <v>F4B0</v>
          </cell>
          <cell r="E146" t="str">
            <v>Kool Karz</v>
          </cell>
        </row>
        <row r="147">
          <cell r="A147">
            <v>628110705952</v>
          </cell>
          <cell r="B147" t="str">
            <v>KOOL KARZ RIDE ON MERCEDES BENZ TYPE 540K BLACK</v>
          </cell>
          <cell r="C147">
            <v>9</v>
          </cell>
          <cell r="D147" t="str">
            <v>F4C0</v>
          </cell>
          <cell r="E147" t="str">
            <v>Kool Karz</v>
          </cell>
        </row>
        <row r="148">
          <cell r="A148">
            <v>885637000407</v>
          </cell>
          <cell r="B148" t="str">
            <v>DWINGULER PLAYMAT MUSIC PARADE</v>
          </cell>
          <cell r="C148">
            <v>1</v>
          </cell>
          <cell r="D148" t="str">
            <v>F6A0</v>
          </cell>
          <cell r="E148" t="str">
            <v>DWINGULER</v>
          </cell>
        </row>
        <row r="149">
          <cell r="A149">
            <v>628110705969</v>
          </cell>
          <cell r="B149" t="str">
            <v>KOOL KARZ RIDE ON MERCEDES BENZ TYPE 540K RED</v>
          </cell>
          <cell r="C149">
            <v>7</v>
          </cell>
          <cell r="D149" t="str">
            <v>F6B0</v>
          </cell>
          <cell r="E149" t="str">
            <v>Kool Karz</v>
          </cell>
        </row>
        <row r="150">
          <cell r="A150" t="str">
            <v>X002JOBPBX</v>
          </cell>
          <cell r="B150" t="str">
            <v>CUTE STONE KIDS PLAY KITCHEN TOY SHOPPING CART PLAYSET</v>
          </cell>
          <cell r="C150">
            <v>28</v>
          </cell>
          <cell r="D150" t="str">
            <v>G1A0</v>
          </cell>
          <cell r="E150" t="str">
            <v>CUTE STONE, EAGLE STONE</v>
          </cell>
        </row>
        <row r="151">
          <cell r="A151">
            <v>5060462692811</v>
          </cell>
          <cell r="B151" t="str">
            <v>JAR MELO MODELING DOUGH 24 COLORS</v>
          </cell>
          <cell r="C151">
            <v>192</v>
          </cell>
          <cell r="D151" t="str">
            <v>G1B0</v>
          </cell>
          <cell r="E151" t="str">
            <v>JAR MELO</v>
          </cell>
        </row>
        <row r="152">
          <cell r="A152">
            <v>769894693964</v>
          </cell>
          <cell r="B152" t="str">
            <v>NEMIBABY FOLDABLE BABY/TODDLER MULTI-FUNCTION BATHTUB BLUE</v>
          </cell>
          <cell r="C152">
            <v>18</v>
          </cell>
          <cell r="D152" t="str">
            <v>G1C0</v>
          </cell>
          <cell r="E152" t="str">
            <v>Namibaby</v>
          </cell>
        </row>
        <row r="153">
          <cell r="A153" t="str">
            <v>X002RR0WRV</v>
          </cell>
          <cell r="B153" t="str">
            <v>CUTE STONE 2 IN 1 POLICE CAR TOYS</v>
          </cell>
          <cell r="C153">
            <v>12</v>
          </cell>
          <cell r="D153" t="str">
            <v>G2A0</v>
          </cell>
          <cell r="E153" t="str">
            <v>CUTE STONE</v>
          </cell>
        </row>
        <row r="154">
          <cell r="A154">
            <v>769894693957</v>
          </cell>
          <cell r="B154" t="str">
            <v>NEMIBABY FOLDABLE BABY/TODDLER MULTI-FUNCTION BATHTUB PINK</v>
          </cell>
          <cell r="C154">
            <v>17</v>
          </cell>
          <cell r="D154" t="str">
            <v>G2C0</v>
          </cell>
          <cell r="E154" t="str">
            <v>Namibaby</v>
          </cell>
        </row>
        <row r="155">
          <cell r="A155" t="str">
            <v>X002TM8VYP</v>
          </cell>
          <cell r="B155" t="str">
            <v>CUTE STONE FLASHING COLORED DOLLHOUSE HOUSE</v>
          </cell>
          <cell r="C155">
            <v>12</v>
          </cell>
          <cell r="D155" t="str">
            <v>G3A0</v>
          </cell>
          <cell r="E155" t="str">
            <v>CUTE STONE</v>
          </cell>
        </row>
        <row r="156">
          <cell r="A156" t="str">
            <v>x002x4hh0d</v>
          </cell>
          <cell r="B156" t="str">
            <v>EAGLE STONE KIDS BASKETBALL HOOP SET INDOOR &amp; OUTDOOR</v>
          </cell>
          <cell r="C156">
            <v>8</v>
          </cell>
          <cell r="D156" t="str">
            <v>G4A0</v>
          </cell>
          <cell r="E156" t="str">
            <v>CUTE STONE, EAGLE STONE</v>
          </cell>
        </row>
        <row r="157">
          <cell r="A157">
            <v>769894694152</v>
          </cell>
          <cell r="B157" t="str">
            <v>NEMIBABY SAFE GUARD STEP STOOL WITH HANDRAILS (PINK)</v>
          </cell>
          <cell r="C157">
            <v>17</v>
          </cell>
          <cell r="D157" t="str">
            <v>G4B0</v>
          </cell>
          <cell r="E157" t="str">
            <v>Namibaby</v>
          </cell>
        </row>
        <row r="158">
          <cell r="A158">
            <v>5060462693009</v>
          </cell>
          <cell r="B158" t="str">
            <v>JAR MELO SHADOW THEATER FAIRY TALE</v>
          </cell>
          <cell r="C158">
            <v>168</v>
          </cell>
          <cell r="D158" t="str">
            <v>G5A0</v>
          </cell>
          <cell r="E158" t="str">
            <v>JAR MELO</v>
          </cell>
        </row>
        <row r="159">
          <cell r="A159">
            <v>5060462691326</v>
          </cell>
          <cell r="B159" t="str">
            <v>JAR MELO BIRTHDAY CAKE PLAYDOUGH BAKERY KIT</v>
          </cell>
          <cell r="C159">
            <v>350</v>
          </cell>
          <cell r="D159" t="str">
            <v>G2B0</v>
          </cell>
          <cell r="E159" t="str">
            <v>JAR MELO</v>
          </cell>
        </row>
        <row r="160">
          <cell r="A160">
            <v>4582394787324</v>
          </cell>
          <cell r="B160" t="str">
            <v>IIMO BALANCE BIKE GENTLE WHITE</v>
          </cell>
          <cell r="C160">
            <v>2</v>
          </cell>
          <cell r="D160" t="str">
            <v>G7A0</v>
          </cell>
          <cell r="E160" t="str">
            <v>BENTLEY, KOOL KARZ, IIMO</v>
          </cell>
        </row>
        <row r="161">
          <cell r="A161">
            <v>850021449155</v>
          </cell>
          <cell r="B161" t="str">
            <v>MR MARIA MIFFY XL LAMP</v>
          </cell>
          <cell r="C161">
            <v>2</v>
          </cell>
          <cell r="D161" t="str">
            <v>G8A0</v>
          </cell>
          <cell r="E161" t="str">
            <v>MR MARIA</v>
          </cell>
        </row>
        <row r="162">
          <cell r="A162" t="str">
            <v>HSLL0011-IV</v>
          </cell>
          <cell r="B162" t="str">
            <v>Ladder Body</v>
          </cell>
          <cell r="C162">
            <v>5</v>
          </cell>
          <cell r="D162" t="str">
            <v>H1C0</v>
          </cell>
          <cell r="E162" t="str">
            <v>iloom</v>
          </cell>
        </row>
        <row r="163">
          <cell r="A163">
            <v>520151309653</v>
          </cell>
          <cell r="B163"/>
          <cell r="C163">
            <v>8</v>
          </cell>
          <cell r="D163" t="str">
            <v>G9A0</v>
          </cell>
          <cell r="E163" t="str">
            <v>NEMIBABY, BABYHOOD</v>
          </cell>
        </row>
        <row r="164">
          <cell r="A164" t="str">
            <v>HSKA0901XN-XX</v>
          </cell>
          <cell r="B164"/>
          <cell r="C164">
            <v>13</v>
          </cell>
          <cell r="D164" t="str">
            <v>X0</v>
          </cell>
          <cell r="E164" t="str">
            <v>iloom</v>
          </cell>
        </row>
        <row r="165">
          <cell r="A165" t="str">
            <v>HSKC0000C-WH</v>
          </cell>
          <cell r="B165" t="str">
            <v>multi-tap(2,2ports,stopper type)</v>
          </cell>
          <cell r="C165">
            <v>28</v>
          </cell>
          <cell r="D165" t="str">
            <v>X1</v>
          </cell>
          <cell r="E165" t="str">
            <v>iloom</v>
          </cell>
        </row>
        <row r="166">
          <cell r="A166" t="str">
            <v>HSQA4050-FIV</v>
          </cell>
          <cell r="B166" t="str">
            <v>Hanging Hanger</v>
          </cell>
          <cell r="C166">
            <v>4</v>
          </cell>
          <cell r="D166" t="str">
            <v>X2</v>
          </cell>
          <cell r="E166" t="str">
            <v>iloom</v>
          </cell>
        </row>
        <row r="167">
          <cell r="A167" t="str">
            <v>HSAA0204R-HY</v>
          </cell>
          <cell r="B167"/>
          <cell r="C167">
            <v>8</v>
          </cell>
          <cell r="D167" t="str">
            <v>X3</v>
          </cell>
          <cell r="E167" t="str">
            <v>iloom</v>
          </cell>
        </row>
        <row r="168">
          <cell r="A168">
            <v>4063846054497</v>
          </cell>
          <cell r="B168" t="str">
            <v>CYBEX BEEZY STROLLER MAGNOLIA PINK</v>
          </cell>
          <cell r="C168">
            <v>1</v>
          </cell>
          <cell r="D168" t="str">
            <v>A1C0</v>
          </cell>
          <cell r="E168" t="str">
            <v>Cybex</v>
          </cell>
        </row>
        <row r="169">
          <cell r="A169">
            <v>4063846245567</v>
          </cell>
          <cell r="B169" t="str">
            <v>CYBEX BALIOS S LUX STROLLER &amp; ATON2 TRAVEL SYSTEM (ONE BOX) DEEP BLACK + ATON2SS LAVASTONE BLACK</v>
          </cell>
          <cell r="C169">
            <v>2</v>
          </cell>
          <cell r="D169" t="str">
            <v>A3C0</v>
          </cell>
          <cell r="E169" t="str">
            <v>Cybex</v>
          </cell>
        </row>
        <row r="170">
          <cell r="A170">
            <v>677726157020</v>
          </cell>
          <cell r="B170"/>
          <cell r="C170">
            <v>1</v>
          </cell>
          <cell r="D170" t="str">
            <v>A4C0</v>
          </cell>
          <cell r="E170" t="str">
            <v>Cybex</v>
          </cell>
        </row>
        <row r="171">
          <cell r="A171" t="str">
            <v>HSRE2010X-TS</v>
          </cell>
          <cell r="B171"/>
          <cell r="C171">
            <v>4</v>
          </cell>
          <cell r="D171" t="str">
            <v>A9A0</v>
          </cell>
          <cell r="E171" t="str">
            <v>iloom</v>
          </cell>
        </row>
        <row r="172">
          <cell r="A172" t="str">
            <v>HSQE0010VN-OSLU</v>
          </cell>
          <cell r="B172"/>
          <cell r="C172">
            <v>4</v>
          </cell>
          <cell r="D172" t="str">
            <v>B3A0</v>
          </cell>
          <cell r="E172" t="str">
            <v>iloom</v>
          </cell>
        </row>
        <row r="173">
          <cell r="A173" t="str">
            <v>HSQE1016GA-A359P</v>
          </cell>
          <cell r="B173"/>
          <cell r="C173">
            <v>1</v>
          </cell>
          <cell r="D173" t="str">
            <v>B3B1</v>
          </cell>
          <cell r="E173" t="str">
            <v>iloom</v>
          </cell>
        </row>
        <row r="174">
          <cell r="A174" t="str">
            <v>HCH2711A-A443D</v>
          </cell>
          <cell r="B174"/>
          <cell r="C174">
            <v>7</v>
          </cell>
          <cell r="D174" t="str">
            <v>A10A0</v>
          </cell>
          <cell r="E174" t="str">
            <v>iloom</v>
          </cell>
        </row>
        <row r="175">
          <cell r="A175" t="str">
            <v>HCH2711A-A441D</v>
          </cell>
          <cell r="B175"/>
          <cell r="C175">
            <v>8</v>
          </cell>
          <cell r="D175" t="str">
            <v>A10A0</v>
          </cell>
          <cell r="E175" t="str">
            <v>iloom</v>
          </cell>
        </row>
        <row r="176">
          <cell r="A176" t="str">
            <v>HSLE2010BC-IV</v>
          </cell>
          <cell r="B176" t="str">
            <v>Frame Cover</v>
          </cell>
          <cell r="C176">
            <v>10</v>
          </cell>
          <cell r="D176" t="str">
            <v>B9A2</v>
          </cell>
          <cell r="E176" t="str">
            <v>iloom</v>
          </cell>
        </row>
        <row r="177">
          <cell r="A177" t="str">
            <v>HCH2711A-A444P</v>
          </cell>
          <cell r="B177" t="str">
            <v>Wing Chair Artificial Leather</v>
          </cell>
          <cell r="C177">
            <v>3</v>
          </cell>
          <cell r="D177" t="str">
            <v>B5C0</v>
          </cell>
          <cell r="E177" t="str">
            <v>iloom</v>
          </cell>
        </row>
        <row r="178">
          <cell r="A178" t="str">
            <v>HSRE1010G-3W7</v>
          </cell>
          <cell r="B178"/>
          <cell r="C178">
            <v>8</v>
          </cell>
          <cell r="D178" t="str">
            <v>C2B0</v>
          </cell>
          <cell r="E178" t="str">
            <v>iloom</v>
          </cell>
        </row>
        <row r="179">
          <cell r="A179" t="str">
            <v>HSKP0313-IVTM</v>
          </cell>
          <cell r="B179" t="str">
            <v>3-story desk drawer</v>
          </cell>
          <cell r="C179">
            <v>3</v>
          </cell>
          <cell r="D179" t="str">
            <v>C3B0</v>
          </cell>
          <cell r="E179" t="str">
            <v>iloom</v>
          </cell>
        </row>
        <row r="180">
          <cell r="A180" t="str">
            <v>HCH2900WRA-454D</v>
          </cell>
          <cell r="B180"/>
          <cell r="C180">
            <v>3</v>
          </cell>
          <cell r="D180" t="str">
            <v>C7C0</v>
          </cell>
          <cell r="E180" t="str">
            <v>iloom</v>
          </cell>
        </row>
        <row r="181">
          <cell r="A181" t="str">
            <v>HSFS1103H-IV</v>
          </cell>
          <cell r="B181" t="str">
            <v>Kids Daily Wardrobe Shelves</v>
          </cell>
          <cell r="C181">
            <v>1</v>
          </cell>
          <cell r="D181" t="str">
            <v>C8A1</v>
          </cell>
          <cell r="E181" t="str">
            <v>iloom</v>
          </cell>
        </row>
        <row r="182">
          <cell r="A182" t="str">
            <v>HSFC5080B-IV</v>
          </cell>
          <cell r="B182" t="str">
            <v>back panel of closet(w800)</v>
          </cell>
          <cell r="C182">
            <v>9</v>
          </cell>
          <cell r="D182" t="str">
            <v>C9A0</v>
          </cell>
          <cell r="E182" t="str">
            <v>iloom</v>
          </cell>
        </row>
        <row r="183">
          <cell r="A183" t="str">
            <v>HSBA0006-A609</v>
          </cell>
          <cell r="B183" t="str">
            <v>Play Mat Dual</v>
          </cell>
          <cell r="C183">
            <v>6</v>
          </cell>
          <cell r="D183" t="str">
            <v>C10C0</v>
          </cell>
          <cell r="E183" t="str">
            <v>iloom</v>
          </cell>
        </row>
        <row r="184">
          <cell r="A184" t="str">
            <v>HSKC0123SB-FIV</v>
          </cell>
          <cell r="B184"/>
          <cell r="C184">
            <v>8</v>
          </cell>
          <cell r="D184" t="str">
            <v>D3A1</v>
          </cell>
          <cell r="E184" t="str">
            <v>iloom</v>
          </cell>
        </row>
        <row r="185">
          <cell r="A185" t="str">
            <v>HSLD1012N-IVKR</v>
          </cell>
          <cell r="B185" t="str">
            <v>1200W Peanut Desk Top Panel (Foaming Bumper)</v>
          </cell>
          <cell r="C185">
            <v>8</v>
          </cell>
          <cell r="D185" t="str">
            <v>D7A0</v>
          </cell>
          <cell r="E185" t="str">
            <v>iloom</v>
          </cell>
        </row>
        <row r="186">
          <cell r="A186" t="str">
            <v>HCH1008W-451L</v>
          </cell>
          <cell r="B186" t="str">
            <v>Fungus Chair</v>
          </cell>
          <cell r="C186">
            <v>3</v>
          </cell>
          <cell r="D186" t="str">
            <v>A9A0</v>
          </cell>
          <cell r="E186" t="str">
            <v>iloom</v>
          </cell>
        </row>
        <row r="187">
          <cell r="A187" t="str">
            <v>HCH2810FC-A441D</v>
          </cell>
          <cell r="B187" t="str">
            <v>Ringo-I Chair Artificial Leather</v>
          </cell>
          <cell r="C187">
            <v>9</v>
          </cell>
          <cell r="D187" t="str">
            <v>A10A0</v>
          </cell>
          <cell r="E187" t="str">
            <v>iloom</v>
          </cell>
        </row>
        <row r="188">
          <cell r="A188" t="str">
            <v>HSQE0010NA-FIV</v>
          </cell>
          <cell r="B188"/>
          <cell r="C188">
            <v>1</v>
          </cell>
          <cell r="D188" t="str">
            <v>D8B0</v>
          </cell>
          <cell r="E188" t="str">
            <v>iloom</v>
          </cell>
        </row>
        <row r="189">
          <cell r="A189" t="str">
            <v>HSKD0612-IVLUW</v>
          </cell>
          <cell r="B189" t="str">
            <v>motiondesk 1200W top panel</v>
          </cell>
          <cell r="C189">
            <v>1</v>
          </cell>
          <cell r="D189" t="str">
            <v>D10B0</v>
          </cell>
          <cell r="E189" t="str">
            <v>iloom</v>
          </cell>
        </row>
        <row r="190">
          <cell r="A190">
            <v>885637070004</v>
          </cell>
          <cell r="B190" t="str">
            <v>DWINGULER CASTLE PLAY ROOM SET RAINBOW</v>
          </cell>
          <cell r="C190">
            <v>2</v>
          </cell>
          <cell r="D190" t="str">
            <v>D10C0</v>
          </cell>
          <cell r="E190" t="str">
            <v>DWINGULER</v>
          </cell>
        </row>
        <row r="191">
          <cell r="A191" t="str">
            <v>HSQL0011G-LU</v>
          </cell>
          <cell r="B191" t="str">
            <v>Ladder Handle</v>
          </cell>
          <cell r="C191">
            <v>3</v>
          </cell>
          <cell r="D191" t="str">
            <v>E8A0</v>
          </cell>
          <cell r="E191" t="str">
            <v>iloom</v>
          </cell>
        </row>
        <row r="192">
          <cell r="A192" t="str">
            <v>HSLE2001X-IV</v>
          </cell>
          <cell r="B192" t="str">
            <v>2-story Bed Stair Type Handle</v>
          </cell>
          <cell r="C192">
            <v>5</v>
          </cell>
          <cell r="D192" t="str">
            <v>E9A1</v>
          </cell>
          <cell r="E192" t="str">
            <v>iloom</v>
          </cell>
        </row>
        <row r="193">
          <cell r="A193" t="str">
            <v>HSKA0302B-FIVBG</v>
          </cell>
          <cell r="B193"/>
          <cell r="C193">
            <v>3</v>
          </cell>
          <cell r="D193" t="str">
            <v>E10A0</v>
          </cell>
          <cell r="E193" t="str">
            <v>iloom</v>
          </cell>
        </row>
        <row r="194">
          <cell r="A194">
            <v>628110705662</v>
          </cell>
          <cell r="B194" t="str">
            <v>KOOL KARZ RIDE ON LAMBORGHINI URUS BLACK</v>
          </cell>
          <cell r="C194">
            <v>5</v>
          </cell>
          <cell r="D194" t="str">
            <v>F3B0</v>
          </cell>
          <cell r="E194" t="str">
            <v>Kool Karz</v>
          </cell>
        </row>
        <row r="195">
          <cell r="A195">
            <v>885637000254</v>
          </cell>
          <cell r="B195" t="str">
            <v>DWINGULER PLAYMAT ZOO</v>
          </cell>
          <cell r="C195">
            <v>3</v>
          </cell>
          <cell r="D195" t="str">
            <v>F6A0</v>
          </cell>
          <cell r="E195" t="str">
            <v>DWINGULER</v>
          </cell>
        </row>
        <row r="196">
          <cell r="A196">
            <v>4058511708928</v>
          </cell>
          <cell r="B196" t="str">
            <v>CYBEX SOLUTION Z-FIX MANHATTAN GREY</v>
          </cell>
          <cell r="C196">
            <v>1</v>
          </cell>
          <cell r="D196" t="str">
            <v>A1B0</v>
          </cell>
          <cell r="E196" t="str">
            <v>Cybex</v>
          </cell>
        </row>
        <row r="197">
          <cell r="A197">
            <v>4063846054503</v>
          </cell>
          <cell r="B197" t="str">
            <v>CYBEX BEEZY STROLLER SOHO GREY</v>
          </cell>
          <cell r="C197">
            <v>1</v>
          </cell>
          <cell r="D197" t="str">
            <v>A1C0</v>
          </cell>
          <cell r="E197" t="str">
            <v>Cybex</v>
          </cell>
        </row>
        <row r="198">
          <cell r="A198" t="str">
            <v>HA11M10EAE-XX</v>
          </cell>
          <cell r="B198" t="str">
            <v>Bono Kids Mattress K01 (S)</v>
          </cell>
          <cell r="C198">
            <v>2</v>
          </cell>
          <cell r="D198" t="str">
            <v>A10A0</v>
          </cell>
          <cell r="E198" t="str">
            <v>iloom</v>
          </cell>
        </row>
        <row r="199">
          <cell r="A199" t="str">
            <v>HSQE1016G-A359P</v>
          </cell>
          <cell r="B199"/>
          <cell r="C199">
            <v>1</v>
          </cell>
          <cell r="D199" t="str">
            <v>B3B1</v>
          </cell>
          <cell r="E199" t="str">
            <v>iloom</v>
          </cell>
        </row>
        <row r="200">
          <cell r="A200" t="str">
            <v>HCH2810AN-A443P</v>
          </cell>
          <cell r="B200"/>
          <cell r="C200">
            <v>3</v>
          </cell>
          <cell r="D200" t="str">
            <v>B6C0</v>
          </cell>
          <cell r="E200" t="str">
            <v>iloom</v>
          </cell>
        </row>
        <row r="201">
          <cell r="A201" t="str">
            <v>IGAHCS4008A-A446</v>
          </cell>
          <cell r="B201" t="str">
            <v>Kid's Sofa (Mickey Aco)</v>
          </cell>
          <cell r="C201">
            <v>7</v>
          </cell>
          <cell r="D201" t="str">
            <v>B7C0</v>
          </cell>
          <cell r="E201" t="str">
            <v>iloom</v>
          </cell>
        </row>
        <row r="202">
          <cell r="A202" t="str">
            <v>HSLE1010VN-KB</v>
          </cell>
          <cell r="B202" t="str">
            <v>Side Panel</v>
          </cell>
          <cell r="C202">
            <v>6</v>
          </cell>
          <cell r="D202" t="str">
            <v>B9A0</v>
          </cell>
          <cell r="E202" t="str">
            <v>iloom</v>
          </cell>
        </row>
        <row r="203">
          <cell r="A203" t="str">
            <v>IGAHCS4010A-A442L</v>
          </cell>
          <cell r="B203" t="str">
            <v>Pooh Aco Sofa</v>
          </cell>
          <cell r="C203">
            <v>5</v>
          </cell>
          <cell r="D203" t="str">
            <v>B9C0</v>
          </cell>
          <cell r="E203" t="str">
            <v>iloom</v>
          </cell>
        </row>
        <row r="204">
          <cell r="A204" t="str">
            <v>HSKP0313-IVRM</v>
          </cell>
          <cell r="B204" t="str">
            <v>3-story desk drawer</v>
          </cell>
          <cell r="C204">
            <v>2</v>
          </cell>
          <cell r="D204" t="str">
            <v>C3B0</v>
          </cell>
          <cell r="E204" t="str">
            <v>iloom</v>
          </cell>
        </row>
        <row r="205">
          <cell r="A205" t="str">
            <v>IGAHCS4018A-A442L</v>
          </cell>
          <cell r="B205" t="str">
            <v>Baby Shark Aco</v>
          </cell>
          <cell r="C205">
            <v>2</v>
          </cell>
          <cell r="D205" t="str">
            <v>A9A0</v>
          </cell>
          <cell r="E205" t="str">
            <v>iloom</v>
          </cell>
        </row>
        <row r="206">
          <cell r="A206" t="str">
            <v>HCH2000A-A443P</v>
          </cell>
          <cell r="B206" t="str">
            <v>Atti-i Chair</v>
          </cell>
          <cell r="C206">
            <v>6</v>
          </cell>
          <cell r="D206" t="str">
            <v>C7B0</v>
          </cell>
          <cell r="E206" t="str">
            <v>iloom</v>
          </cell>
        </row>
        <row r="207">
          <cell r="A207" t="str">
            <v>HCH2900WXR-456</v>
          </cell>
          <cell r="B207"/>
          <cell r="C207">
            <v>3</v>
          </cell>
          <cell r="D207" t="str">
            <v>C7C0</v>
          </cell>
          <cell r="E207" t="str">
            <v>iloom</v>
          </cell>
        </row>
        <row r="208">
          <cell r="A208" t="str">
            <v>HSLB5080N-IVKS</v>
          </cell>
          <cell r="B208" t="str">
            <v>800W Wardrobe Door</v>
          </cell>
          <cell r="C208">
            <v>3</v>
          </cell>
          <cell r="D208" t="str">
            <v>C8A1</v>
          </cell>
          <cell r="E208" t="str">
            <v>iloom</v>
          </cell>
        </row>
        <row r="209">
          <cell r="A209" t="str">
            <v>HSRE2010B-OS</v>
          </cell>
          <cell r="B209"/>
          <cell r="C209">
            <v>3</v>
          </cell>
          <cell r="D209" t="str">
            <v>D4B1</v>
          </cell>
          <cell r="E209" t="str">
            <v>iloom</v>
          </cell>
        </row>
        <row r="210">
          <cell r="A210" t="str">
            <v>HCH1008W-459</v>
          </cell>
          <cell r="B210" t="str">
            <v>Fungus Chair</v>
          </cell>
          <cell r="C210">
            <v>4</v>
          </cell>
          <cell r="D210" t="str">
            <v>A9A0</v>
          </cell>
          <cell r="E210" t="str">
            <v>iloom</v>
          </cell>
        </row>
        <row r="211">
          <cell r="A211" t="str">
            <v>HCH2810FC-A449P</v>
          </cell>
          <cell r="B211" t="str">
            <v>Ringo-I Chair Artificial Leather</v>
          </cell>
          <cell r="C211">
            <v>2</v>
          </cell>
          <cell r="D211" t="str">
            <v>A10A0</v>
          </cell>
          <cell r="E211" t="str">
            <v>iloom</v>
          </cell>
        </row>
        <row r="212">
          <cell r="A212" t="str">
            <v>HSQE0010N-FIV</v>
          </cell>
          <cell r="B212" t="str">
            <v>Footboard</v>
          </cell>
          <cell r="C212">
            <v>5</v>
          </cell>
          <cell r="D212" t="str">
            <v>D8B0</v>
          </cell>
          <cell r="E212" t="str">
            <v>iloom</v>
          </cell>
        </row>
        <row r="213">
          <cell r="A213" t="str">
            <v>HSKC0244SB-IVRM</v>
          </cell>
          <cell r="B213" t="str">
            <v>4-story stacking bookshelf 1400W back panels</v>
          </cell>
          <cell r="C213">
            <v>2</v>
          </cell>
          <cell r="D213" t="str">
            <v>E4A0</v>
          </cell>
          <cell r="E213" t="str">
            <v>iloom</v>
          </cell>
        </row>
        <row r="214">
          <cell r="A214" t="str">
            <v>HCH2810FC-A444D</v>
          </cell>
          <cell r="B214" t="str">
            <v>Ringo-I Chair Artificial Leather</v>
          </cell>
          <cell r="C214">
            <v>5</v>
          </cell>
          <cell r="D214" t="str">
            <v>A9A0</v>
          </cell>
          <cell r="E214" t="str">
            <v>iloom</v>
          </cell>
        </row>
        <row r="215">
          <cell r="A215" t="str">
            <v>HSKC0224SB-IVLUW</v>
          </cell>
          <cell r="B215" t="str">
            <v>4-story stacking bookshelf 1200W back panels</v>
          </cell>
          <cell r="C215">
            <v>3</v>
          </cell>
          <cell r="D215" t="str">
            <v>E6A0</v>
          </cell>
          <cell r="E215" t="str">
            <v>iloom</v>
          </cell>
        </row>
        <row r="216">
          <cell r="A216">
            <v>885637000575</v>
          </cell>
          <cell r="B216" t="str">
            <v>DWINGULER PLAYMAT BIG TOWN</v>
          </cell>
          <cell r="C216">
            <v>4</v>
          </cell>
          <cell r="D216" t="str">
            <v>F6A0</v>
          </cell>
          <cell r="E216" t="str">
            <v>DWINGULER</v>
          </cell>
        </row>
        <row r="217">
          <cell r="A217">
            <v>4582394787317</v>
          </cell>
          <cell r="B217" t="str">
            <v>IIMO BALANCE BIKE ETERNITY RED</v>
          </cell>
          <cell r="C217">
            <v>1</v>
          </cell>
          <cell r="D217" t="str">
            <v>G7A0</v>
          </cell>
          <cell r="E217" t="str">
            <v>BENTLEY, KOOL KARZ, IIMO</v>
          </cell>
        </row>
        <row r="218">
          <cell r="A218">
            <v>850021449025</v>
          </cell>
          <cell r="B218" t="str">
            <v>MR MARIA LION BUNDLE OF LIGHT</v>
          </cell>
          <cell r="C218">
            <v>10</v>
          </cell>
          <cell r="D218" t="str">
            <v>G8A0</v>
          </cell>
          <cell r="E218" t="str">
            <v>MR MARIA</v>
          </cell>
        </row>
        <row r="219">
          <cell r="A219">
            <v>4063846054510</v>
          </cell>
          <cell r="B219" t="str">
            <v>CYBEX BEEZY STROLLER DEEP BLACK</v>
          </cell>
          <cell r="C219">
            <v>2</v>
          </cell>
          <cell r="D219" t="str">
            <v>A1C0</v>
          </cell>
          <cell r="E219" t="str">
            <v>Cybex</v>
          </cell>
        </row>
        <row r="220">
          <cell r="A220" t="str">
            <v>HSQE0010VN-FIVLA</v>
          </cell>
          <cell r="B220" t="str">
            <v>Side Panel</v>
          </cell>
          <cell r="C220">
            <v>2</v>
          </cell>
          <cell r="D220" t="str">
            <v>B3A0</v>
          </cell>
          <cell r="E220" t="str">
            <v>iloom</v>
          </cell>
        </row>
        <row r="221">
          <cell r="A221" t="str">
            <v>HSRE2010S-OS</v>
          </cell>
          <cell r="B221"/>
          <cell r="C221">
            <v>4</v>
          </cell>
          <cell r="D221" t="str">
            <v>B3B1</v>
          </cell>
          <cell r="E221" t="str">
            <v>iloom</v>
          </cell>
        </row>
        <row r="222">
          <cell r="A222" t="str">
            <v>HCH2711A-A443C</v>
          </cell>
          <cell r="B222" t="str">
            <v>Wing Chair Artificial Leather</v>
          </cell>
          <cell r="C222">
            <v>5</v>
          </cell>
          <cell r="D222" t="str">
            <v>A10A0</v>
          </cell>
          <cell r="E222" t="str">
            <v>iloom</v>
          </cell>
        </row>
        <row r="223">
          <cell r="A223" t="str">
            <v>HSKC0066BR-IV</v>
          </cell>
          <cell r="B223" t="str">
            <v>6-story bookshelf back panel 600W</v>
          </cell>
          <cell r="C223">
            <v>4</v>
          </cell>
          <cell r="D223" t="str">
            <v>C1A2</v>
          </cell>
          <cell r="E223" t="str">
            <v>iloom</v>
          </cell>
        </row>
        <row r="224">
          <cell r="A224" t="str">
            <v>IGAHCS4003A-A444P</v>
          </cell>
          <cell r="B224" t="str">
            <v>Dino Aco</v>
          </cell>
          <cell r="C224">
            <v>8</v>
          </cell>
          <cell r="D224" t="str">
            <v>A9A0</v>
          </cell>
          <cell r="E224" t="str">
            <v>iloom</v>
          </cell>
        </row>
        <row r="225">
          <cell r="A225" t="str">
            <v>HSKC0085H-FIV</v>
          </cell>
          <cell r="B225"/>
          <cell r="C225">
            <v>8</v>
          </cell>
          <cell r="D225" t="str">
            <v>C7A0</v>
          </cell>
          <cell r="E225" t="str">
            <v>iloom</v>
          </cell>
        </row>
        <row r="226">
          <cell r="A226" t="str">
            <v>HSKC0060S-BGM</v>
          </cell>
          <cell r="B226"/>
          <cell r="C226">
            <v>2</v>
          </cell>
          <cell r="D226" t="str">
            <v>C8A0</v>
          </cell>
          <cell r="E226" t="str">
            <v>iloom</v>
          </cell>
        </row>
        <row r="227">
          <cell r="A227" t="str">
            <v>HSLC7083NA-IVKS</v>
          </cell>
          <cell r="B227" t="str">
            <v>800W 3-story Drawer</v>
          </cell>
          <cell r="C227">
            <v>1</v>
          </cell>
          <cell r="D227" t="str">
            <v>C9C0</v>
          </cell>
          <cell r="E227" t="str">
            <v>iloom</v>
          </cell>
        </row>
        <row r="228">
          <cell r="A228" t="str">
            <v>HSFC8083-IVGY</v>
          </cell>
          <cell r="B228" t="str">
            <v>3-story drawer  (w800, handles)</v>
          </cell>
          <cell r="C228">
            <v>2</v>
          </cell>
          <cell r="D228" t="str">
            <v>C10B0</v>
          </cell>
          <cell r="E228" t="str">
            <v>iloom</v>
          </cell>
        </row>
        <row r="229">
          <cell r="A229" t="str">
            <v>HSKC0140SH-BGM</v>
          </cell>
          <cell r="B229"/>
          <cell r="C229">
            <v>2</v>
          </cell>
          <cell r="D229" t="str">
            <v>D4A1</v>
          </cell>
          <cell r="E229" t="str">
            <v>iloom</v>
          </cell>
        </row>
        <row r="230">
          <cell r="A230" t="str">
            <v>HSQE0013GL-GYM</v>
          </cell>
          <cell r="B230" t="str">
            <v xml:space="preserve">1330W Side Guard </v>
          </cell>
          <cell r="C230">
            <v>6</v>
          </cell>
          <cell r="D230" t="str">
            <v>D9A1</v>
          </cell>
          <cell r="E230" t="str">
            <v>iloom</v>
          </cell>
        </row>
        <row r="231">
          <cell r="A231">
            <v>885637070035</v>
          </cell>
          <cell r="B231" t="str">
            <v>DWINGULER CASTLE PLAY ROOM SET DOWNY GREY</v>
          </cell>
          <cell r="C231">
            <v>1</v>
          </cell>
          <cell r="D231" t="str">
            <v>D10C0</v>
          </cell>
          <cell r="E231" t="str">
            <v>DWINGULER</v>
          </cell>
        </row>
        <row r="232">
          <cell r="A232" t="str">
            <v>HSFC0123H-IV</v>
          </cell>
          <cell r="B232" t="str">
            <v>1200W 3-story Bookshelf Shelves</v>
          </cell>
          <cell r="C232">
            <v>3</v>
          </cell>
          <cell r="D232" t="str">
            <v>E2A0</v>
          </cell>
          <cell r="E232" t="str">
            <v>iloom</v>
          </cell>
        </row>
        <row r="233">
          <cell r="A233" t="str">
            <v>IGAHCS4005A-A440P</v>
          </cell>
          <cell r="B233" t="str">
            <v xml:space="preserve">Panda Aco Sofa </v>
          </cell>
          <cell r="C233">
            <v>5</v>
          </cell>
          <cell r="D233" t="str">
            <v>A9A0</v>
          </cell>
          <cell r="E233" t="str">
            <v>iloom</v>
          </cell>
        </row>
        <row r="234">
          <cell r="A234" t="str">
            <v>HSQS0043H-FIV</v>
          </cell>
          <cell r="B234" t="str">
            <v>Stair Cabinet shelves</v>
          </cell>
          <cell r="C234">
            <v>6</v>
          </cell>
          <cell r="D234" t="str">
            <v>E3A1</v>
          </cell>
          <cell r="E234" t="str">
            <v>iloom</v>
          </cell>
        </row>
        <row r="235">
          <cell r="A235" t="str">
            <v>HSWD0010-FIV</v>
          </cell>
          <cell r="B235"/>
          <cell r="C235">
            <v>3</v>
          </cell>
          <cell r="D235" t="str">
            <v>E3B0</v>
          </cell>
          <cell r="E235" t="str">
            <v>iloom</v>
          </cell>
        </row>
        <row r="236">
          <cell r="A236" t="str">
            <v>HSKC0244SB-IVTM</v>
          </cell>
          <cell r="B236" t="str">
            <v>4-story stacking bookshelf 1400W back panels</v>
          </cell>
          <cell r="C236">
            <v>2</v>
          </cell>
          <cell r="D236" t="str">
            <v>E4A0</v>
          </cell>
          <cell r="E236" t="str">
            <v>iloom</v>
          </cell>
        </row>
        <row r="237">
          <cell r="A237" t="str">
            <v>HSLE2001X-LA</v>
          </cell>
          <cell r="B237" t="str">
            <v>2-story Bed Stair Type Handle</v>
          </cell>
          <cell r="C237">
            <v>6</v>
          </cell>
          <cell r="D237" t="str">
            <v>E9A1</v>
          </cell>
          <cell r="E237" t="str">
            <v>iloom</v>
          </cell>
        </row>
        <row r="238">
          <cell r="A238" t="str">
            <v>HSKA0302B-IVGY</v>
          </cell>
          <cell r="B238" t="str">
            <v>Mini Drawer (4ea)</v>
          </cell>
          <cell r="C238">
            <v>1</v>
          </cell>
          <cell r="D238" t="str">
            <v>E10A0</v>
          </cell>
          <cell r="E238" t="str">
            <v>iloom</v>
          </cell>
        </row>
        <row r="239">
          <cell r="A239">
            <v>628110705976</v>
          </cell>
          <cell r="B239" t="str">
            <v>KOOL KARZ RIDE ON MERCEDES BENZ TYPE 540K WHITE</v>
          </cell>
          <cell r="C239">
            <v>3</v>
          </cell>
          <cell r="D239" t="str">
            <v>F6B0</v>
          </cell>
          <cell r="E239" t="str">
            <v>Kool Karz</v>
          </cell>
        </row>
        <row r="240">
          <cell r="A240">
            <v>4063846053582</v>
          </cell>
          <cell r="B240" t="str">
            <v>CYBEX LIBELLE STROLLER RIVER BLUE</v>
          </cell>
          <cell r="C240">
            <v>8</v>
          </cell>
          <cell r="D240" t="str">
            <v>A3B0</v>
          </cell>
          <cell r="E240" t="str">
            <v>Cybex</v>
          </cell>
        </row>
        <row r="241">
          <cell r="A241">
            <v>677726157044</v>
          </cell>
          <cell r="B241"/>
          <cell r="C241">
            <v>1</v>
          </cell>
          <cell r="D241" t="str">
            <v>A4C0</v>
          </cell>
          <cell r="E241" t="str">
            <v>Cybex</v>
          </cell>
        </row>
        <row r="242">
          <cell r="A242" t="str">
            <v>HSQE1010B-FIV</v>
          </cell>
          <cell r="B242" t="str">
            <v>Lower Bed Bottom Panel</v>
          </cell>
          <cell r="C242">
            <v>3</v>
          </cell>
          <cell r="D242" t="str">
            <v>B3A1</v>
          </cell>
          <cell r="E242" t="str">
            <v>iloom</v>
          </cell>
        </row>
        <row r="243">
          <cell r="A243" t="str">
            <v>HSKM0096VR-IV</v>
          </cell>
          <cell r="B243" t="str">
            <v>6-story storage bookshelf side panels</v>
          </cell>
          <cell r="C243">
            <v>5</v>
          </cell>
          <cell r="D243" t="str">
            <v>B3B0</v>
          </cell>
          <cell r="E243" t="str">
            <v>iloom</v>
          </cell>
        </row>
        <row r="244">
          <cell r="A244" t="str">
            <v>HSTE0011B-GYM</v>
          </cell>
          <cell r="B244" t="str">
            <v>Bottom panels</v>
          </cell>
          <cell r="C244">
            <v>4</v>
          </cell>
          <cell r="D244" t="str">
            <v>B7B1</v>
          </cell>
          <cell r="E244" t="str">
            <v>iloom</v>
          </cell>
        </row>
        <row r="245">
          <cell r="A245" t="str">
            <v>HSKD0114BF-FIV</v>
          </cell>
          <cell r="B245"/>
          <cell r="C245">
            <v>4</v>
          </cell>
          <cell r="D245" t="str">
            <v>B11A0</v>
          </cell>
          <cell r="E245" t="str">
            <v>iloom</v>
          </cell>
        </row>
        <row r="246">
          <cell r="A246" t="str">
            <v>HSKP0313-IVLUW</v>
          </cell>
          <cell r="B246" t="str">
            <v>3-story desk drawer</v>
          </cell>
          <cell r="C246">
            <v>2</v>
          </cell>
          <cell r="D246" t="str">
            <v>C3B0</v>
          </cell>
          <cell r="E246" t="str">
            <v>iloom</v>
          </cell>
        </row>
        <row r="247">
          <cell r="A247" t="str">
            <v>HCH2810FSC-A444D</v>
          </cell>
          <cell r="B247" t="str">
            <v>iloom Kids Chair Ringo-i (Beige)</v>
          </cell>
          <cell r="C247">
            <v>4</v>
          </cell>
          <cell r="D247" t="str">
            <v>A10A0</v>
          </cell>
          <cell r="E247" t="str">
            <v>iloom</v>
          </cell>
        </row>
        <row r="248">
          <cell r="A248" t="str">
            <v>HSFS0090B-GYM</v>
          </cell>
          <cell r="B248" t="str">
            <v>Sofa type reading house Back,bottom panel</v>
          </cell>
          <cell r="C248">
            <v>6</v>
          </cell>
          <cell r="D248" t="str">
            <v>C8B0</v>
          </cell>
          <cell r="E248" t="str">
            <v>iloom</v>
          </cell>
        </row>
        <row r="249">
          <cell r="A249" t="str">
            <v>HSQE0010N-OS</v>
          </cell>
          <cell r="B249"/>
          <cell r="C249">
            <v>5</v>
          </cell>
          <cell r="D249" t="str">
            <v>D8B0</v>
          </cell>
          <cell r="E249" t="str">
            <v>iloom</v>
          </cell>
        </row>
        <row r="250">
          <cell r="A250" t="str">
            <v>HSQE0010HN-OS</v>
          </cell>
          <cell r="B250"/>
          <cell r="C250">
            <v>13</v>
          </cell>
          <cell r="D250" t="str">
            <v>E1A0</v>
          </cell>
          <cell r="E250" t="str">
            <v>iloom</v>
          </cell>
        </row>
        <row r="251">
          <cell r="A251" t="str">
            <v>IGAHCS4006A-A444P</v>
          </cell>
          <cell r="B251" t="str">
            <v xml:space="preserve">Polar Aco Sofa </v>
          </cell>
          <cell r="C251">
            <v>3</v>
          </cell>
          <cell r="D251" t="str">
            <v>A9A0</v>
          </cell>
          <cell r="E251" t="str">
            <v>iloom</v>
          </cell>
        </row>
        <row r="252">
          <cell r="A252" t="str">
            <v>HCS4400S-F263</v>
          </cell>
          <cell r="B252" t="str">
            <v xml:space="preserve">Pebble Mini Makeup Table Stool </v>
          </cell>
          <cell r="C252">
            <v>4</v>
          </cell>
          <cell r="D252" t="str">
            <v>E5B0</v>
          </cell>
          <cell r="E252" t="str">
            <v>iloom</v>
          </cell>
        </row>
        <row r="253">
          <cell r="A253" t="str">
            <v>HSKC0224SB-IVTM</v>
          </cell>
          <cell r="B253" t="str">
            <v>4-story stacking bookshelf 1200W back panels</v>
          </cell>
          <cell r="C253">
            <v>3</v>
          </cell>
          <cell r="D253" t="str">
            <v>E6A0</v>
          </cell>
          <cell r="E253" t="str">
            <v>iloom</v>
          </cell>
        </row>
        <row r="254">
          <cell r="A254" t="str">
            <v>HSFM0143H-IV</v>
          </cell>
          <cell r="B254" t="str">
            <v>1400W 3-story Storage Bookshelf Side Panels</v>
          </cell>
          <cell r="C254">
            <v>11</v>
          </cell>
          <cell r="D254" t="str">
            <v>E6A1</v>
          </cell>
          <cell r="E254" t="str">
            <v>iloom</v>
          </cell>
        </row>
        <row r="255">
          <cell r="A255" t="str">
            <v>HSTE0011P-IV</v>
          </cell>
          <cell r="B255" t="str">
            <v xml:space="preserve">Drawers </v>
          </cell>
          <cell r="C255">
            <v>12</v>
          </cell>
          <cell r="D255" t="str">
            <v>E6B0</v>
          </cell>
          <cell r="E255" t="str">
            <v>iloom</v>
          </cell>
        </row>
        <row r="256">
          <cell r="A256">
            <v>4582394787119</v>
          </cell>
          <cell r="B256" t="str">
            <v>IIMO KIDS BICYCLE 18" ETERNITY RED</v>
          </cell>
          <cell r="C256">
            <v>3</v>
          </cell>
          <cell r="D256" t="str">
            <v>E7B0</v>
          </cell>
          <cell r="E256" t="str">
            <v>iimo</v>
          </cell>
        </row>
        <row r="257">
          <cell r="A257" t="str">
            <v>HSLL0011G-IV</v>
          </cell>
          <cell r="B257" t="str">
            <v>Ladder Guard</v>
          </cell>
          <cell r="C257">
            <v>5</v>
          </cell>
          <cell r="D257" t="str">
            <v>E8A0</v>
          </cell>
          <cell r="E257" t="str">
            <v>iloom</v>
          </cell>
        </row>
        <row r="258">
          <cell r="A258" t="str">
            <v>X002SPYBG5</v>
          </cell>
          <cell r="B258" t="str">
            <v>CUTE STONE MULTIFUNCTIONAL BUS TOYS</v>
          </cell>
          <cell r="C258">
            <v>16</v>
          </cell>
          <cell r="D258" t="str">
            <v>G1A0</v>
          </cell>
          <cell r="E258" t="str">
            <v>CUTE STONE, EAGLE STONE</v>
          </cell>
        </row>
        <row r="259">
          <cell r="A259">
            <v>4582394787447</v>
          </cell>
          <cell r="B259" t="str">
            <v>LONDON TAXI 14-INCH KID'S BIKE WITH HAND-HELD PUTTER PINK</v>
          </cell>
          <cell r="C259">
            <v>1</v>
          </cell>
          <cell r="D259" t="str">
            <v>G7A0</v>
          </cell>
          <cell r="E259" t="str">
            <v>BENTLEY, KOOL KARZ, IIMO</v>
          </cell>
        </row>
        <row r="260">
          <cell r="A260" t="str">
            <v>HSFA0090X-NCC</v>
          </cell>
          <cell r="B260" t="str">
            <v>Sofa type reading house wooden light frame</v>
          </cell>
          <cell r="C260">
            <v>6</v>
          </cell>
          <cell r="D260" t="str">
            <v>X2</v>
          </cell>
          <cell r="E260" t="str">
            <v>iloom</v>
          </cell>
        </row>
        <row r="261">
          <cell r="A261">
            <v>4058511701646</v>
          </cell>
          <cell r="B261" t="str">
            <v>CYBEX MIOS MATTE BLACK FRAME STROLLER INDIGO BLUE SEAT</v>
          </cell>
          <cell r="C261">
            <v>1</v>
          </cell>
          <cell r="D261" t="str">
            <v>A3C0</v>
          </cell>
          <cell r="E261" t="str">
            <v>Cybex</v>
          </cell>
        </row>
        <row r="262">
          <cell r="A262">
            <v>677726157013</v>
          </cell>
          <cell r="B262"/>
          <cell r="C262">
            <v>3</v>
          </cell>
          <cell r="D262" t="str">
            <v>A4C0</v>
          </cell>
          <cell r="E262" t="str">
            <v>Cybex</v>
          </cell>
        </row>
        <row r="263">
          <cell r="A263" t="str">
            <v>IGAHCS4016A-A441D</v>
          </cell>
          <cell r="B263" t="str">
            <v>Penguin Aco</v>
          </cell>
          <cell r="C263">
            <v>2</v>
          </cell>
          <cell r="D263" t="str">
            <v>A9A0</v>
          </cell>
          <cell r="E263" t="str">
            <v>iloom</v>
          </cell>
        </row>
        <row r="264">
          <cell r="A264" t="str">
            <v>HCH2810AN-A449P</v>
          </cell>
          <cell r="B264"/>
          <cell r="C264">
            <v>3</v>
          </cell>
          <cell r="D264" t="str">
            <v>A10A0</v>
          </cell>
          <cell r="E264" t="str">
            <v>iloom</v>
          </cell>
        </row>
        <row r="265">
          <cell r="A265" t="str">
            <v>HSKC0060S-LUW</v>
          </cell>
          <cell r="B265"/>
          <cell r="C265">
            <v>3</v>
          </cell>
          <cell r="D265" t="str">
            <v>C8A0</v>
          </cell>
          <cell r="E265" t="str">
            <v>iloom</v>
          </cell>
        </row>
        <row r="266">
          <cell r="A266" t="str">
            <v>HSLB5080N-IVKP</v>
          </cell>
          <cell r="B266" t="str">
            <v>800W Wardrobe Door</v>
          </cell>
          <cell r="C266">
            <v>5</v>
          </cell>
          <cell r="D266" t="str">
            <v>C8A1</v>
          </cell>
          <cell r="E266" t="str">
            <v>iloom</v>
          </cell>
        </row>
        <row r="267">
          <cell r="A267" t="str">
            <v>HSKC0140SH-LUW</v>
          </cell>
          <cell r="B267"/>
          <cell r="C267">
            <v>2</v>
          </cell>
          <cell r="D267" t="str">
            <v>D4A1</v>
          </cell>
          <cell r="E267" t="str">
            <v>iloom</v>
          </cell>
        </row>
        <row r="268">
          <cell r="A268" t="str">
            <v>HSLE1010HN-KB</v>
          </cell>
          <cell r="B268" t="str">
            <v>Headboard</v>
          </cell>
          <cell r="C268">
            <v>6</v>
          </cell>
          <cell r="D268" t="str">
            <v>D6B0</v>
          </cell>
          <cell r="E268" t="str">
            <v>Open</v>
          </cell>
        </row>
        <row r="269">
          <cell r="A269" t="str">
            <v>HSLD1012A-IVTSS</v>
          </cell>
          <cell r="B269" t="str">
            <v>1200W rectangle Desk Top Panel (Foaming Bumper)</v>
          </cell>
          <cell r="C269">
            <v>7</v>
          </cell>
          <cell r="D269" t="str">
            <v>D8A0</v>
          </cell>
          <cell r="E269" t="str">
            <v>iloom</v>
          </cell>
        </row>
        <row r="270">
          <cell r="A270" t="str">
            <v>HSQE0003G-OS</v>
          </cell>
          <cell r="B270"/>
          <cell r="C270">
            <v>5</v>
          </cell>
          <cell r="D270" t="str">
            <v>E5A0</v>
          </cell>
          <cell r="E270" t="str">
            <v>iloom</v>
          </cell>
        </row>
        <row r="271">
          <cell r="A271" t="str">
            <v>HSKM0090SR-TM</v>
          </cell>
          <cell r="B271" t="str">
            <v>storage bookshelf moveable shelf</v>
          </cell>
          <cell r="C271">
            <v>1</v>
          </cell>
          <cell r="D271" t="str">
            <v>E7A0</v>
          </cell>
          <cell r="E271" t="str">
            <v>iloom</v>
          </cell>
        </row>
        <row r="272">
          <cell r="A272" t="str">
            <v>HSKA0004-LU</v>
          </cell>
          <cell r="B272" t="str">
            <v>plastic drawer(2EA)</v>
          </cell>
          <cell r="C272">
            <v>7</v>
          </cell>
          <cell r="D272" t="str">
            <v>E7A1</v>
          </cell>
          <cell r="E272" t="str">
            <v>iloom</v>
          </cell>
        </row>
        <row r="273">
          <cell r="A273" t="str">
            <v>HSQL0011-LAW</v>
          </cell>
          <cell r="B273" t="str">
            <v>Ladder</v>
          </cell>
          <cell r="C273">
            <v>3</v>
          </cell>
          <cell r="D273" t="str">
            <v>H1C0</v>
          </cell>
          <cell r="E273" t="str">
            <v>iloom</v>
          </cell>
        </row>
        <row r="274">
          <cell r="A274">
            <v>677726157037</v>
          </cell>
          <cell r="B274"/>
          <cell r="C274">
            <v>3</v>
          </cell>
          <cell r="D274" t="str">
            <v>A4C0</v>
          </cell>
          <cell r="E274" t="str">
            <v>Cybex</v>
          </cell>
        </row>
        <row r="275">
          <cell r="A275" t="str">
            <v>HCH2711A-A444C</v>
          </cell>
          <cell r="B275" t="str">
            <v>Wing Chair Artificial Leather</v>
          </cell>
          <cell r="C275">
            <v>2</v>
          </cell>
          <cell r="D275" t="str">
            <v>A10A0</v>
          </cell>
          <cell r="E275" t="str">
            <v>iloom</v>
          </cell>
        </row>
        <row r="276">
          <cell r="A276" t="str">
            <v>HCH2810FSC-A441D</v>
          </cell>
          <cell r="B276" t="str">
            <v>iloom Kids Chair Ringo-i (Beige)</v>
          </cell>
          <cell r="C276">
            <v>2</v>
          </cell>
          <cell r="D276" t="str">
            <v>C6B0</v>
          </cell>
          <cell r="E276" t="str">
            <v>Open</v>
          </cell>
        </row>
        <row r="277">
          <cell r="A277" t="str">
            <v>HSLE1010N-KP</v>
          </cell>
          <cell r="B277" t="str">
            <v>Footboard</v>
          </cell>
          <cell r="C277">
            <v>1</v>
          </cell>
          <cell r="D277" t="str">
            <v>D2A1</v>
          </cell>
          <cell r="E277" t="str">
            <v>iloom</v>
          </cell>
        </row>
        <row r="278">
          <cell r="A278" t="str">
            <v>HSLD0000H-KR</v>
          </cell>
          <cell r="B278"/>
          <cell r="C278">
            <v>30</v>
          </cell>
          <cell r="D278" t="str">
            <v>D4B0</v>
          </cell>
          <cell r="E278" t="str">
            <v>iloom</v>
          </cell>
        </row>
        <row r="279">
          <cell r="A279" t="str">
            <v>HSLE1010HN-KP</v>
          </cell>
          <cell r="B279" t="str">
            <v>Headboard</v>
          </cell>
          <cell r="C279">
            <v>1</v>
          </cell>
          <cell r="D279" t="str">
            <v>D5B0</v>
          </cell>
          <cell r="E279" t="str">
            <v>Open</v>
          </cell>
        </row>
        <row r="280">
          <cell r="A280" t="str">
            <v>HSLD1012A-IVKB</v>
          </cell>
          <cell r="B280" t="str">
            <v>1200W rectangle Desk Top Panel (Foaming Bumper)</v>
          </cell>
          <cell r="C280">
            <v>8</v>
          </cell>
          <cell r="D280" t="str">
            <v>D8A0</v>
          </cell>
          <cell r="E280" t="str">
            <v>iloom</v>
          </cell>
        </row>
        <row r="281">
          <cell r="A281" t="str">
            <v>HSKC0321SH-IV</v>
          </cell>
          <cell r="B281" t="str">
            <v>1-story stacking bookshelf 1200W</v>
          </cell>
          <cell r="C281">
            <v>9</v>
          </cell>
          <cell r="D281" t="str">
            <v>E2A0</v>
          </cell>
          <cell r="E281" t="str">
            <v>iloom</v>
          </cell>
        </row>
        <row r="282">
          <cell r="A282" t="str">
            <v>HSNA1010-LA</v>
          </cell>
          <cell r="B282" t="str">
            <v>Kids Tent</v>
          </cell>
          <cell r="C282">
            <v>5</v>
          </cell>
          <cell r="D282" t="str">
            <v>E2A1</v>
          </cell>
          <cell r="E282" t="str">
            <v>iloom</v>
          </cell>
        </row>
        <row r="283">
          <cell r="A283" t="str">
            <v>HSWD0010V-GYM</v>
          </cell>
          <cell r="B283"/>
          <cell r="C283">
            <v>3</v>
          </cell>
          <cell r="D283" t="str">
            <v>E3B0</v>
          </cell>
          <cell r="E283" t="str">
            <v>iloom</v>
          </cell>
        </row>
        <row r="284">
          <cell r="A284" t="str">
            <v>HSKC0244SH-IV</v>
          </cell>
          <cell r="B284" t="str">
            <v>4-story stacking bookshelf 1400W shelves</v>
          </cell>
          <cell r="C284">
            <v>6</v>
          </cell>
          <cell r="D284" t="str">
            <v>E4A0</v>
          </cell>
          <cell r="E284" t="str">
            <v>iloom</v>
          </cell>
        </row>
        <row r="285">
          <cell r="A285" t="str">
            <v>HSKM0090SR-GYM</v>
          </cell>
          <cell r="B285" t="str">
            <v>storage bookshelf moveable shelf</v>
          </cell>
          <cell r="C285">
            <v>2</v>
          </cell>
          <cell r="D285" t="str">
            <v>E7A0</v>
          </cell>
          <cell r="E285" t="str">
            <v>iloom</v>
          </cell>
        </row>
        <row r="286">
          <cell r="A286" t="str">
            <v>HSKA0004-GY</v>
          </cell>
          <cell r="B286" t="str">
            <v>plastic drawer(2EA)</v>
          </cell>
          <cell r="C286">
            <v>6</v>
          </cell>
          <cell r="D286" t="str">
            <v>E7A1</v>
          </cell>
          <cell r="E286" t="str">
            <v>iloom</v>
          </cell>
        </row>
        <row r="287">
          <cell r="A287">
            <v>694512171763</v>
          </cell>
          <cell r="B287"/>
          <cell r="C287">
            <v>2</v>
          </cell>
          <cell r="D287" t="str">
            <v>G7A0</v>
          </cell>
          <cell r="E287" t="str">
            <v>BENTLEY, KOOL KARZ, IIMO</v>
          </cell>
        </row>
        <row r="288">
          <cell r="A288" t="str">
            <v>HSQL0011-LUW</v>
          </cell>
          <cell r="B288" t="str">
            <v>Ladder</v>
          </cell>
          <cell r="C288">
            <v>3</v>
          </cell>
          <cell r="D288" t="str">
            <v>H1C0</v>
          </cell>
          <cell r="E288" t="str">
            <v>iloom</v>
          </cell>
        </row>
        <row r="289">
          <cell r="A289" t="str">
            <v>HSQE0010VN-OSLA</v>
          </cell>
          <cell r="B289"/>
          <cell r="C289">
            <v>5</v>
          </cell>
          <cell r="D289" t="str">
            <v>B3A0</v>
          </cell>
          <cell r="E289" t="str">
            <v>iloom</v>
          </cell>
        </row>
        <row r="290">
          <cell r="A290" t="str">
            <v>HSKC0006VFR-IV</v>
          </cell>
          <cell r="B290" t="str">
            <v>6-story bookshelf side panel (wire)</v>
          </cell>
          <cell r="C290">
            <v>13</v>
          </cell>
          <cell r="D290" t="str">
            <v>B3B1</v>
          </cell>
          <cell r="E290" t="str">
            <v>iloom</v>
          </cell>
        </row>
        <row r="291">
          <cell r="A291" t="str">
            <v>HSLE1010VN-KR</v>
          </cell>
          <cell r="B291" t="str">
            <v>Side Panel</v>
          </cell>
          <cell r="C291">
            <v>5</v>
          </cell>
          <cell r="D291" t="str">
            <v>B9A0</v>
          </cell>
          <cell r="E291" t="str">
            <v>iloom</v>
          </cell>
        </row>
        <row r="292">
          <cell r="A292" t="str">
            <v>HSLE1010N-KB</v>
          </cell>
          <cell r="B292" t="str">
            <v>Footboard</v>
          </cell>
          <cell r="C292">
            <v>6</v>
          </cell>
          <cell r="D292" t="str">
            <v>D2A1</v>
          </cell>
          <cell r="E292" t="str">
            <v>iloom</v>
          </cell>
        </row>
        <row r="293">
          <cell r="A293" t="str">
            <v>HSKC0120SH-LAW</v>
          </cell>
          <cell r="B293"/>
          <cell r="C293">
            <v>5</v>
          </cell>
          <cell r="D293" t="str">
            <v>D4A1</v>
          </cell>
          <cell r="E293" t="str">
            <v>iloom</v>
          </cell>
        </row>
        <row r="294">
          <cell r="A294" t="str">
            <v>IGAHCS4014A-A442L</v>
          </cell>
          <cell r="B294" t="str">
            <v>Peppa Aco</v>
          </cell>
          <cell r="C294">
            <v>2</v>
          </cell>
          <cell r="D294" t="str">
            <v>A9A0</v>
          </cell>
          <cell r="E294" t="str">
            <v>iloom</v>
          </cell>
        </row>
        <row r="295">
          <cell r="A295" t="str">
            <v>HSQE0017GL-GYM</v>
          </cell>
          <cell r="B295" t="str">
            <v>1720W Side Bracket</v>
          </cell>
          <cell r="C295">
            <v>28</v>
          </cell>
          <cell r="D295" t="str">
            <v>D9A1</v>
          </cell>
          <cell r="E295" t="str">
            <v>iloom</v>
          </cell>
        </row>
        <row r="296">
          <cell r="A296" t="str">
            <v>HSKA0004-RM</v>
          </cell>
          <cell r="B296" t="str">
            <v>plastic drawer(2EA)</v>
          </cell>
          <cell r="C296">
            <v>6</v>
          </cell>
          <cell r="D296" t="str">
            <v>E7A1</v>
          </cell>
          <cell r="E296" t="str">
            <v>iloom</v>
          </cell>
        </row>
        <row r="297">
          <cell r="A297">
            <v>885637002012</v>
          </cell>
          <cell r="B297" t="str">
            <v>DWINGULER PLAYMAT RAINY DAY</v>
          </cell>
          <cell r="C297">
            <v>3</v>
          </cell>
          <cell r="D297" t="str">
            <v>F6A0</v>
          </cell>
          <cell r="E297" t="str">
            <v>DWINGULER</v>
          </cell>
        </row>
        <row r="298">
          <cell r="A298" t="str">
            <v>Baby enRoute paper pack / small (400pcs)</v>
          </cell>
          <cell r="B298"/>
          <cell r="C298">
            <v>2</v>
          </cell>
          <cell r="D298" t="str">
            <v>H2C0</v>
          </cell>
          <cell r="E298" t="str">
            <v>BABYHOOD</v>
          </cell>
        </row>
        <row r="299">
          <cell r="A299" t="str">
            <v>HSKD0514BF-IV</v>
          </cell>
          <cell r="B299" t="str">
            <v>smartdesk 1400W back panels,lower shelf,hanger</v>
          </cell>
          <cell r="C299">
            <v>8</v>
          </cell>
          <cell r="D299" t="str">
            <v>B11A0</v>
          </cell>
          <cell r="E299" t="str">
            <v>iloom</v>
          </cell>
        </row>
        <row r="300">
          <cell r="A300" t="str">
            <v>HSLC5080H-IV</v>
          </cell>
          <cell r="B300" t="str">
            <v>800W Wardrobe Shelves</v>
          </cell>
          <cell r="C300">
            <v>8</v>
          </cell>
          <cell r="D300" t="str">
            <v>C7A1</v>
          </cell>
          <cell r="E300" t="str">
            <v>iloom</v>
          </cell>
        </row>
        <row r="301">
          <cell r="A301" t="str">
            <v>HSKC0060S-LAW</v>
          </cell>
          <cell r="B301"/>
          <cell r="C301">
            <v>3</v>
          </cell>
          <cell r="D301" t="str">
            <v>C8A0</v>
          </cell>
          <cell r="E301" t="str">
            <v>iloom</v>
          </cell>
        </row>
        <row r="302">
          <cell r="A302" t="str">
            <v>HSFP0035H-IV</v>
          </cell>
          <cell r="B302" t="str">
            <v>Shelves of 3-story deeper cabinet (W350)</v>
          </cell>
          <cell r="C302">
            <v>8</v>
          </cell>
          <cell r="D302" t="str">
            <v>C10A1</v>
          </cell>
          <cell r="E302" t="str">
            <v>iloom</v>
          </cell>
        </row>
        <row r="303">
          <cell r="A303" t="str">
            <v>HSLA3080VNB-LAWGY</v>
          </cell>
          <cell r="B303" t="str">
            <v>Whiteboard Side Panel</v>
          </cell>
          <cell r="C303">
            <v>8</v>
          </cell>
          <cell r="D303" t="str">
            <v>D1A1</v>
          </cell>
          <cell r="E303" t="str">
            <v>iloom</v>
          </cell>
        </row>
        <row r="304">
          <cell r="A304" t="str">
            <v>HSLE2010GB-IV</v>
          </cell>
          <cell r="B304" t="str">
            <v>2-story Bed lower Guard</v>
          </cell>
          <cell r="C304">
            <v>15</v>
          </cell>
          <cell r="D304" t="str">
            <v>D2A0</v>
          </cell>
          <cell r="E304" t="str">
            <v>iloom</v>
          </cell>
        </row>
        <row r="305">
          <cell r="A305" t="str">
            <v>HSLD1008B-IVKB</v>
          </cell>
          <cell r="B305"/>
          <cell r="C305">
            <v>7</v>
          </cell>
          <cell r="D305" t="str">
            <v>D7A1</v>
          </cell>
          <cell r="E305" t="str">
            <v>iloom</v>
          </cell>
        </row>
        <row r="306">
          <cell r="A306" t="str">
            <v>HSKM0090SR-RM</v>
          </cell>
          <cell r="B306" t="str">
            <v>storage bookshelf moveable shelf</v>
          </cell>
          <cell r="C306">
            <v>1</v>
          </cell>
          <cell r="D306" t="str">
            <v>E7A0</v>
          </cell>
          <cell r="E306" t="str">
            <v>iloom</v>
          </cell>
        </row>
        <row r="307">
          <cell r="A307" t="str">
            <v>HSLE2001X-LU</v>
          </cell>
          <cell r="B307" t="str">
            <v>2-story Bed Stair Type Handle</v>
          </cell>
          <cell r="C307">
            <v>4</v>
          </cell>
          <cell r="D307" t="str">
            <v>E9A1</v>
          </cell>
          <cell r="E307" t="str">
            <v>iloom</v>
          </cell>
        </row>
        <row r="308">
          <cell r="A308" t="str">
            <v>X002J3OU8Z</v>
          </cell>
          <cell r="B308" t="str">
            <v>CUTE STONE MAGNETIC TILES MAGNETIC BLOCKS BUILDING TOYS 85PCS</v>
          </cell>
          <cell r="C308">
            <v>108</v>
          </cell>
          <cell r="D308" t="str">
            <v>G4A0</v>
          </cell>
          <cell r="E308" t="str">
            <v>CUTE STONE, EAGLE STONE</v>
          </cell>
        </row>
        <row r="309">
          <cell r="A309" t="str">
            <v>HSAA0204R-RM</v>
          </cell>
          <cell r="B309" t="str">
            <v>multi case</v>
          </cell>
          <cell r="C309">
            <v>8</v>
          </cell>
          <cell r="D309" t="str">
            <v>X3</v>
          </cell>
          <cell r="E309" t="str">
            <v>iloom</v>
          </cell>
        </row>
        <row r="310">
          <cell r="A310">
            <v>4063846189748</v>
          </cell>
          <cell r="B310" t="str">
            <v>CYBEX ATON 2 INFANT CAR SEAT DENIM BLUE</v>
          </cell>
          <cell r="C310">
            <v>3</v>
          </cell>
          <cell r="D310" t="str">
            <v>A5C0</v>
          </cell>
          <cell r="E310" t="str">
            <v>Cybex</v>
          </cell>
        </row>
        <row r="311">
          <cell r="A311" t="str">
            <v>HSQE0010VNA-FIVLA</v>
          </cell>
          <cell r="B311" t="str">
            <v>Side Panel</v>
          </cell>
          <cell r="C311">
            <v>2</v>
          </cell>
          <cell r="D311" t="str">
            <v>B3B0</v>
          </cell>
          <cell r="E311" t="str">
            <v>iloom</v>
          </cell>
        </row>
        <row r="312">
          <cell r="A312" t="str">
            <v>HSQE0010VB-FIV</v>
          </cell>
          <cell r="B312" t="str">
            <v>Lower Side Panel B</v>
          </cell>
          <cell r="C312">
            <v>3</v>
          </cell>
          <cell r="D312" t="str">
            <v>B8B0</v>
          </cell>
          <cell r="E312" t="str">
            <v>iloom</v>
          </cell>
        </row>
        <row r="313">
          <cell r="A313" t="str">
            <v>HSLE0001PN-GYM</v>
          </cell>
          <cell r="B313" t="str">
            <v>Bed Drawer Body</v>
          </cell>
          <cell r="C313">
            <v>13</v>
          </cell>
          <cell r="D313" t="str">
            <v>C3B0</v>
          </cell>
          <cell r="E313" t="str">
            <v>iloom</v>
          </cell>
        </row>
        <row r="314">
          <cell r="A314" t="str">
            <v>HSFC5080V-IV</v>
          </cell>
          <cell r="B314" t="str">
            <v>side panels of closet(w800)</v>
          </cell>
          <cell r="C314">
            <v>9</v>
          </cell>
          <cell r="D314" t="str">
            <v>C10A0</v>
          </cell>
          <cell r="E314" t="str">
            <v>iloom</v>
          </cell>
        </row>
        <row r="315">
          <cell r="A315" t="str">
            <v>HSFA0009A-A481C</v>
          </cell>
          <cell r="B315" t="str">
            <v>950W Bench Cushion</v>
          </cell>
          <cell r="C315">
            <v>16</v>
          </cell>
          <cell r="D315" t="str">
            <v>D3A1</v>
          </cell>
          <cell r="E315" t="str">
            <v>iloom</v>
          </cell>
        </row>
        <row r="316">
          <cell r="A316" t="str">
            <v>HSLA5063HN-KB</v>
          </cell>
          <cell r="B316" t="str">
            <v>Kids PL Storage Shelf</v>
          </cell>
          <cell r="C316">
            <v>6</v>
          </cell>
          <cell r="D316" t="str">
            <v>E1A1</v>
          </cell>
          <cell r="E316" t="str">
            <v>iloom</v>
          </cell>
        </row>
        <row r="317">
          <cell r="A317" t="str">
            <v>HSQS0043V-FIV</v>
          </cell>
          <cell r="B317" t="str">
            <v>Stair Cabinet Side Panels</v>
          </cell>
          <cell r="C317">
            <v>6</v>
          </cell>
          <cell r="D317" t="str">
            <v>E3A1</v>
          </cell>
          <cell r="E317" t="str">
            <v>iloom</v>
          </cell>
        </row>
        <row r="318">
          <cell r="A318" t="str">
            <v>HSKC0224SB-IVRM</v>
          </cell>
          <cell r="B318" t="str">
            <v>4-story stacking bookshelf 1200W back panels</v>
          </cell>
          <cell r="C318">
            <v>3</v>
          </cell>
          <cell r="D318" t="str">
            <v>E6A0</v>
          </cell>
          <cell r="E318" t="str">
            <v>iloom</v>
          </cell>
        </row>
        <row r="319">
          <cell r="A319" t="str">
            <v>HSKM0090SR-LUW</v>
          </cell>
          <cell r="B319" t="str">
            <v>storage bookshelf moveable shelf</v>
          </cell>
          <cell r="C319">
            <v>1</v>
          </cell>
          <cell r="D319" t="str">
            <v>E7A0</v>
          </cell>
          <cell r="E319" t="str">
            <v>iloom</v>
          </cell>
        </row>
        <row r="320">
          <cell r="A320" t="str">
            <v>HSKA0302B-FIVLU</v>
          </cell>
          <cell r="B320"/>
          <cell r="C320">
            <v>1</v>
          </cell>
          <cell r="D320" t="str">
            <v>E10A0</v>
          </cell>
          <cell r="E320" t="str">
            <v>iloom</v>
          </cell>
        </row>
        <row r="321">
          <cell r="A321" t="str">
            <v>HSQE0010VNA-FIVLU</v>
          </cell>
          <cell r="B321" t="str">
            <v>Side Panel</v>
          </cell>
          <cell r="C321">
            <v>2</v>
          </cell>
          <cell r="D321" t="str">
            <v>B3B0</v>
          </cell>
          <cell r="E321" t="str">
            <v>iloom</v>
          </cell>
        </row>
        <row r="322">
          <cell r="A322" t="str">
            <v>HSFP0093H-IV</v>
          </cell>
          <cell r="B322" t="str">
            <v>950W 3-story Storage Bookshelf Shelves</v>
          </cell>
          <cell r="C322">
            <v>18</v>
          </cell>
          <cell r="D322" t="str">
            <v>C3A0</v>
          </cell>
          <cell r="E322" t="str">
            <v>iloom</v>
          </cell>
        </row>
        <row r="323">
          <cell r="A323" t="str">
            <v>HSFC5080H-IVGY</v>
          </cell>
          <cell r="B323" t="str">
            <v>shelves of closet(w800, handles)</v>
          </cell>
          <cell r="C323">
            <v>9</v>
          </cell>
          <cell r="D323" t="str">
            <v>C9A0</v>
          </cell>
          <cell r="E323" t="str">
            <v>iloom</v>
          </cell>
        </row>
        <row r="324">
          <cell r="A324" t="str">
            <v>HSLE1010N-KR</v>
          </cell>
          <cell r="B324" t="str">
            <v>Footboard</v>
          </cell>
          <cell r="C324">
            <v>5</v>
          </cell>
          <cell r="D324" t="str">
            <v>D2A1</v>
          </cell>
          <cell r="E324" t="str">
            <v>iloom</v>
          </cell>
        </row>
        <row r="325">
          <cell r="A325" t="str">
            <v>HSLD1012N-OSLU</v>
          </cell>
          <cell r="B325"/>
          <cell r="C325">
            <v>4</v>
          </cell>
          <cell r="D325" t="str">
            <v>D7A0</v>
          </cell>
          <cell r="E325" t="str">
            <v>iloom</v>
          </cell>
        </row>
        <row r="326">
          <cell r="A326" t="str">
            <v>HSFS0103H-IV</v>
          </cell>
          <cell r="B326" t="str">
            <v>Kids Storage Bookshelf Shelves</v>
          </cell>
          <cell r="C326">
            <v>10</v>
          </cell>
          <cell r="D326" t="str">
            <v>D10A0</v>
          </cell>
          <cell r="E326" t="str">
            <v>iloom</v>
          </cell>
        </row>
        <row r="327">
          <cell r="A327" t="str">
            <v>HSLA5063HN-KR</v>
          </cell>
          <cell r="B327" t="str">
            <v>Kids PL Storage Shelf</v>
          </cell>
          <cell r="C327">
            <v>4</v>
          </cell>
          <cell r="D327" t="str">
            <v>E1A1</v>
          </cell>
          <cell r="E327" t="str">
            <v>iloom</v>
          </cell>
        </row>
        <row r="328">
          <cell r="A328" t="str">
            <v>HSLS0044BN-IVKS</v>
          </cell>
          <cell r="B328" t="str">
            <v xml:space="preserve">Stair Storage Door </v>
          </cell>
          <cell r="C328">
            <v>8</v>
          </cell>
          <cell r="D328" t="str">
            <v>E4A1</v>
          </cell>
          <cell r="E328" t="str">
            <v>iloom</v>
          </cell>
        </row>
        <row r="329">
          <cell r="A329" t="str">
            <v>HSKD0420-IVTSS</v>
          </cell>
          <cell r="B329" t="str">
            <v>extention top panel (foaming bumper)</v>
          </cell>
          <cell r="C329">
            <v>6</v>
          </cell>
          <cell r="D329" t="str">
            <v>E5A0</v>
          </cell>
          <cell r="E329" t="str">
            <v>iloom</v>
          </cell>
        </row>
        <row r="330">
          <cell r="A330" t="str">
            <v>HSKC0086HR-IV</v>
          </cell>
          <cell r="B330" t="str">
            <v>6-storybookshelf shelves,middle side panel 800W</v>
          </cell>
          <cell r="C330">
            <v>9</v>
          </cell>
          <cell r="D330" t="str">
            <v>E7A0</v>
          </cell>
          <cell r="E330" t="str">
            <v>iloom</v>
          </cell>
        </row>
        <row r="331">
          <cell r="A331" t="str">
            <v>HSKP0303N-FIVBGM</v>
          </cell>
          <cell r="B331"/>
          <cell r="C331">
            <v>1</v>
          </cell>
          <cell r="D331" t="str">
            <v>E10A0</v>
          </cell>
          <cell r="E331" t="str">
            <v>iloom</v>
          </cell>
        </row>
        <row r="332">
          <cell r="A332">
            <v>885637000544</v>
          </cell>
          <cell r="B332" t="str">
            <v>DWINGULER PLAYMAT LOVELY ANIMAL</v>
          </cell>
          <cell r="C332">
            <v>1</v>
          </cell>
          <cell r="D332" t="str">
            <v>F6A0</v>
          </cell>
          <cell r="E332" t="str">
            <v>DWINGULER</v>
          </cell>
        </row>
        <row r="333">
          <cell r="A333" t="str">
            <v>HSRE1000X-IIV</v>
          </cell>
          <cell r="B333"/>
          <cell r="C333">
            <v>16</v>
          </cell>
          <cell r="D333" t="str">
            <v>X2</v>
          </cell>
          <cell r="E333" t="str">
            <v>iloom</v>
          </cell>
        </row>
        <row r="334">
          <cell r="A334" t="str">
            <v>HSKD0112FN-FIVTSS</v>
          </cell>
          <cell r="B334"/>
          <cell r="C334">
            <v>11</v>
          </cell>
          <cell r="D334" t="str">
            <v>B12A0</v>
          </cell>
          <cell r="E334" t="str">
            <v>iloom</v>
          </cell>
        </row>
        <row r="335">
          <cell r="A335" t="str">
            <v>HSFP0035B-IV</v>
          </cell>
          <cell r="B335" t="str">
            <v>Back panel of 3-story deeper cabinet (W350)</v>
          </cell>
          <cell r="C335">
            <v>9</v>
          </cell>
          <cell r="D335" t="str">
            <v>C2A3</v>
          </cell>
          <cell r="E335" t="str">
            <v>iloom</v>
          </cell>
        </row>
        <row r="336">
          <cell r="A336" t="str">
            <v>HSKC0065H-FIV</v>
          </cell>
          <cell r="B336"/>
          <cell r="C336">
            <v>11</v>
          </cell>
          <cell r="D336" t="str">
            <v>C7A0</v>
          </cell>
          <cell r="E336" t="str">
            <v>iloom</v>
          </cell>
        </row>
        <row r="337">
          <cell r="A337" t="str">
            <v>HSKC0080S-BGM</v>
          </cell>
          <cell r="B337"/>
          <cell r="C337">
            <v>4</v>
          </cell>
          <cell r="D337" t="str">
            <v>C8A0</v>
          </cell>
          <cell r="E337" t="str">
            <v>iloom</v>
          </cell>
        </row>
        <row r="338">
          <cell r="A338" t="str">
            <v>HSLD0000H-IVLU</v>
          </cell>
          <cell r="B338" t="str">
            <v>Desk  legs (High)</v>
          </cell>
          <cell r="C338">
            <v>10</v>
          </cell>
          <cell r="D338" t="str">
            <v>D4B0</v>
          </cell>
          <cell r="E338" t="str">
            <v>iloom</v>
          </cell>
        </row>
        <row r="339">
          <cell r="A339" t="str">
            <v>HSLE2010XNB-IV</v>
          </cell>
          <cell r="B339" t="str">
            <v>2-story Bed Reinforcement (Coner type)</v>
          </cell>
          <cell r="C339">
            <v>10</v>
          </cell>
          <cell r="D339" t="str">
            <v>E8A0</v>
          </cell>
          <cell r="E339" t="str">
            <v>iloom</v>
          </cell>
        </row>
        <row r="340">
          <cell r="A340" t="str">
            <v>HSKP0303N-FIVLAW</v>
          </cell>
          <cell r="B340"/>
          <cell r="C340">
            <v>1</v>
          </cell>
          <cell r="D340" t="str">
            <v>E10A0</v>
          </cell>
          <cell r="E340" t="str">
            <v>iloom</v>
          </cell>
        </row>
        <row r="341">
          <cell r="A341">
            <v>4063846053599</v>
          </cell>
          <cell r="B341" t="str">
            <v>CYBEX LIBELLE STROLLER MAGNOLIA PINK</v>
          </cell>
          <cell r="C341">
            <v>6</v>
          </cell>
          <cell r="D341" t="str">
            <v>A3B0</v>
          </cell>
          <cell r="E341" t="str">
            <v>Cybex</v>
          </cell>
        </row>
        <row r="342">
          <cell r="A342" t="str">
            <v>HSQE0010VA-FIVLU</v>
          </cell>
          <cell r="B342" t="str">
            <v>Lower Side Panel A</v>
          </cell>
          <cell r="C342">
            <v>4</v>
          </cell>
          <cell r="D342" t="str">
            <v>B8B0</v>
          </cell>
          <cell r="E342" t="str">
            <v>iloom</v>
          </cell>
        </row>
        <row r="343">
          <cell r="A343" t="str">
            <v>HSFP0091H-IV</v>
          </cell>
          <cell r="B343" t="str">
            <v>950W 1-story Storage Bookshelf Shelves</v>
          </cell>
          <cell r="C343">
            <v>16</v>
          </cell>
          <cell r="D343" t="str">
            <v>C9A1</v>
          </cell>
          <cell r="E343" t="str">
            <v>iloom</v>
          </cell>
        </row>
        <row r="344">
          <cell r="A344" t="str">
            <v>HSLE2010GD-IV</v>
          </cell>
          <cell r="B344" t="str">
            <v>5-story Bed Side Guard (Stair type)</v>
          </cell>
          <cell r="C344">
            <v>5</v>
          </cell>
          <cell r="D344" t="str">
            <v>D1A0</v>
          </cell>
          <cell r="E344" t="str">
            <v>iloom</v>
          </cell>
        </row>
        <row r="345">
          <cell r="A345" t="str">
            <v>HSKC0120SH-LUW</v>
          </cell>
          <cell r="B345"/>
          <cell r="C345">
            <v>4</v>
          </cell>
          <cell r="D345" t="str">
            <v>D4A1</v>
          </cell>
          <cell r="E345" t="str">
            <v>iloom</v>
          </cell>
        </row>
        <row r="346">
          <cell r="A346" t="str">
            <v>HSKC0220B-IV</v>
          </cell>
          <cell r="B346" t="str">
            <v>1200W book shelf</v>
          </cell>
          <cell r="C346">
            <v>4</v>
          </cell>
          <cell r="D346" t="str">
            <v>E4A0</v>
          </cell>
          <cell r="E346" t="str">
            <v>iloom</v>
          </cell>
        </row>
        <row r="347">
          <cell r="A347" t="str">
            <v>HSKC0204SV-IV</v>
          </cell>
          <cell r="B347" t="str">
            <v>4-story stacking bookshelf side panel</v>
          </cell>
          <cell r="C347">
            <v>18</v>
          </cell>
          <cell r="D347" t="str">
            <v>E6A0</v>
          </cell>
          <cell r="E347" t="str">
            <v>iloom</v>
          </cell>
        </row>
        <row r="348">
          <cell r="A348" t="str">
            <v>HSWD0000-HY</v>
          </cell>
          <cell r="B348"/>
          <cell r="C348">
            <v>3</v>
          </cell>
          <cell r="D348" t="str">
            <v>E9A0</v>
          </cell>
          <cell r="E348" t="str">
            <v>iloom</v>
          </cell>
        </row>
        <row r="349">
          <cell r="A349" t="str">
            <v>HSKP0303N-FIVLUW</v>
          </cell>
          <cell r="B349"/>
          <cell r="C349">
            <v>1</v>
          </cell>
          <cell r="D349" t="str">
            <v>E10A0</v>
          </cell>
          <cell r="E349" t="str">
            <v>iloom</v>
          </cell>
        </row>
        <row r="350">
          <cell r="A350" t="str">
            <v>X002T7DGP9</v>
          </cell>
          <cell r="B350" t="str">
            <v>CUTE STONE TEA PARTY PRETEND PLAY SET</v>
          </cell>
          <cell r="C350">
            <v>24</v>
          </cell>
          <cell r="D350" t="str">
            <v>G2A0</v>
          </cell>
          <cell r="E350" t="str">
            <v>CUTE STONE</v>
          </cell>
        </row>
        <row r="351">
          <cell r="A351" t="str">
            <v>X002VGPAQL</v>
          </cell>
          <cell r="B351" t="str">
            <v>CUTE STONE KIDS KITCHEN PLAYSET</v>
          </cell>
          <cell r="C351">
            <v>18</v>
          </cell>
          <cell r="D351" t="str">
            <v>G3A0</v>
          </cell>
          <cell r="E351" t="str">
            <v>CUTE STONE</v>
          </cell>
        </row>
        <row r="352">
          <cell r="A352">
            <v>850021449001</v>
          </cell>
          <cell r="B352" t="str">
            <v>MR MARIA MIFFY BUNDLE OF LIGHT</v>
          </cell>
          <cell r="C352">
            <v>10</v>
          </cell>
          <cell r="D352" t="str">
            <v>G8A0</v>
          </cell>
          <cell r="E352" t="str">
            <v>MR MARIA</v>
          </cell>
        </row>
        <row r="353">
          <cell r="A353" t="str">
            <v>HSQE0010BCA-IV</v>
          </cell>
          <cell r="B353" t="str">
            <v>Frame Cover (Light O)</v>
          </cell>
          <cell r="C353">
            <v>4</v>
          </cell>
          <cell r="D353" t="str">
            <v>B7B0</v>
          </cell>
          <cell r="E353" t="str">
            <v>iloom</v>
          </cell>
        </row>
        <row r="354">
          <cell r="A354" t="str">
            <v>HSFA1062H-IV</v>
          </cell>
          <cell r="B354" t="str">
            <v>Kids PL Storage Shelves</v>
          </cell>
          <cell r="C354">
            <v>13</v>
          </cell>
          <cell r="D354" t="str">
            <v>C10A1</v>
          </cell>
          <cell r="E354" t="str">
            <v>iloom</v>
          </cell>
        </row>
        <row r="355">
          <cell r="A355" t="str">
            <v>HSQS0043V-OS</v>
          </cell>
          <cell r="B355"/>
          <cell r="C355">
            <v>5</v>
          </cell>
          <cell r="D355" t="str">
            <v>E3A1</v>
          </cell>
          <cell r="E355" t="str">
            <v>iloom</v>
          </cell>
        </row>
        <row r="356">
          <cell r="A356" t="str">
            <v>HSPC0002X-XX</v>
          </cell>
          <cell r="B356"/>
          <cell r="C356">
            <v>10</v>
          </cell>
          <cell r="D356" t="str">
            <v>X0</v>
          </cell>
          <cell r="E356" t="str">
            <v>iloom</v>
          </cell>
        </row>
        <row r="357">
          <cell r="A357" t="str">
            <v>HSQE0010VA-OSLU</v>
          </cell>
          <cell r="B357"/>
          <cell r="C357">
            <v>4</v>
          </cell>
          <cell r="D357" t="str">
            <v>B8B0</v>
          </cell>
          <cell r="E357" t="str">
            <v>iloom</v>
          </cell>
        </row>
        <row r="358">
          <cell r="A358" t="str">
            <v>HSLD1012N-OSLA</v>
          </cell>
          <cell r="B358"/>
          <cell r="C358">
            <v>1</v>
          </cell>
          <cell r="D358" t="str">
            <v>D7A0</v>
          </cell>
          <cell r="E358" t="str">
            <v>iloom</v>
          </cell>
        </row>
        <row r="359">
          <cell r="A359" t="str">
            <v>HSLE0001PBN-KR</v>
          </cell>
          <cell r="B359" t="str">
            <v>Bed Drawer Front Panel</v>
          </cell>
          <cell r="C359">
            <v>3</v>
          </cell>
          <cell r="D359" t="str">
            <v>E9A0</v>
          </cell>
          <cell r="E359" t="str">
            <v>iloom</v>
          </cell>
        </row>
        <row r="360">
          <cell r="A360" t="str">
            <v>HSKC0080S-LPW</v>
          </cell>
          <cell r="B360"/>
          <cell r="C360">
            <v>4</v>
          </cell>
          <cell r="D360" t="str">
            <v>C8A0</v>
          </cell>
          <cell r="E360" t="str">
            <v>iloom</v>
          </cell>
        </row>
        <row r="361">
          <cell r="A361" t="str">
            <v>HSLE2010GA-IV</v>
          </cell>
          <cell r="B361" t="str">
            <v>2-story Bed Side Guard (Ladder type)</v>
          </cell>
          <cell r="C361">
            <v>5</v>
          </cell>
          <cell r="D361" t="str">
            <v>D1A0</v>
          </cell>
          <cell r="E361" t="str">
            <v>iloom</v>
          </cell>
        </row>
        <row r="362">
          <cell r="A362" t="str">
            <v>HSLD1012N-FIVLA</v>
          </cell>
          <cell r="B362" t="str">
            <v>1200W Peanut Desk Top Panel (Foaming Bumper)</v>
          </cell>
          <cell r="C362">
            <v>2</v>
          </cell>
          <cell r="D362" t="str">
            <v>D7A0</v>
          </cell>
          <cell r="E362" t="str">
            <v>iloom</v>
          </cell>
        </row>
        <row r="363">
          <cell r="A363" t="str">
            <v>HSKA0200SB-IVM</v>
          </cell>
          <cell r="B363" t="str">
            <v>stacking bookshelf acc panel</v>
          </cell>
          <cell r="C363">
            <v>18</v>
          </cell>
          <cell r="D363" t="str">
            <v>D9A0</v>
          </cell>
          <cell r="E363" t="str">
            <v>iloom</v>
          </cell>
        </row>
        <row r="364">
          <cell r="A364" t="str">
            <v>HSLE0001PBN-KS</v>
          </cell>
          <cell r="B364" t="str">
            <v>Bed Drawer Front Panel</v>
          </cell>
          <cell r="C364">
            <v>4</v>
          </cell>
          <cell r="D364" t="str">
            <v>E9A0</v>
          </cell>
          <cell r="E364" t="str">
            <v>iloom</v>
          </cell>
        </row>
        <row r="365">
          <cell r="A365" t="str">
            <v>HSRE1014G-3W3</v>
          </cell>
          <cell r="B365"/>
          <cell r="C365">
            <v>1</v>
          </cell>
          <cell r="D365" t="str">
            <v>B11A0</v>
          </cell>
          <cell r="E365" t="str">
            <v>iloom</v>
          </cell>
        </row>
        <row r="366">
          <cell r="A366" t="str">
            <v>HSKD0400-IIV</v>
          </cell>
          <cell r="B366"/>
          <cell r="C366">
            <v>3</v>
          </cell>
          <cell r="D366" t="str">
            <v>D1A1</v>
          </cell>
          <cell r="E366" t="str">
            <v>iloom</v>
          </cell>
        </row>
        <row r="367">
          <cell r="A367" t="str">
            <v>HSKC0120SH-LPW</v>
          </cell>
          <cell r="B367"/>
          <cell r="C367">
            <v>2</v>
          </cell>
          <cell r="D367" t="str">
            <v>D4A1</v>
          </cell>
          <cell r="E367" t="str">
            <v>iloom</v>
          </cell>
        </row>
        <row r="368">
          <cell r="A368" t="str">
            <v>HSQE0003GN-FIV</v>
          </cell>
          <cell r="B368"/>
          <cell r="C368">
            <v>1</v>
          </cell>
          <cell r="D368" t="str">
            <v>E3A0</v>
          </cell>
          <cell r="E368" t="str">
            <v>iloom</v>
          </cell>
        </row>
        <row r="369">
          <cell r="A369" t="str">
            <v>HSKC0220A-IV</v>
          </cell>
          <cell r="B369" t="str">
            <v>1200W multi shelf</v>
          </cell>
          <cell r="C369">
            <v>8</v>
          </cell>
          <cell r="D369" t="str">
            <v>E4A0</v>
          </cell>
          <cell r="E369" t="str">
            <v>iloom</v>
          </cell>
        </row>
        <row r="370">
          <cell r="A370" t="str">
            <v>HSKX0041-IIV</v>
          </cell>
          <cell r="B370"/>
          <cell r="C370">
            <v>6</v>
          </cell>
          <cell r="D370" t="str">
            <v>E5A0</v>
          </cell>
          <cell r="E370" t="str">
            <v>iloom</v>
          </cell>
        </row>
        <row r="371">
          <cell r="A371" t="str">
            <v>HSTE0011BD-GYM</v>
          </cell>
          <cell r="B371" t="str">
            <v xml:space="preserve">Storage door </v>
          </cell>
          <cell r="C371">
            <v>4</v>
          </cell>
          <cell r="D371" t="str">
            <v>E6B0</v>
          </cell>
          <cell r="E371" t="str">
            <v>iloom</v>
          </cell>
        </row>
        <row r="372">
          <cell r="A372" t="str">
            <v>HSPC0001X-XX</v>
          </cell>
          <cell r="B372"/>
          <cell r="C372">
            <v>36</v>
          </cell>
          <cell r="D372" t="str">
            <v>E9A1</v>
          </cell>
          <cell r="E372" t="str">
            <v>iloom</v>
          </cell>
        </row>
        <row r="373">
          <cell r="A373">
            <v>5060462693528</v>
          </cell>
          <cell r="B373" t="str">
            <v>JAR MELO DOT-TO-DOT DRAWING BOOK ADORABLE ANIMALS</v>
          </cell>
          <cell r="C373">
            <v>120</v>
          </cell>
          <cell r="D373" t="str">
            <v>G6A0</v>
          </cell>
          <cell r="E373" t="str">
            <v>JAR MELO</v>
          </cell>
        </row>
        <row r="374">
          <cell r="A374" t="str">
            <v>HSAA0204R-TM</v>
          </cell>
          <cell r="B374" t="str">
            <v>multi case</v>
          </cell>
          <cell r="C374">
            <v>8</v>
          </cell>
          <cell r="D374" t="str">
            <v>X3</v>
          </cell>
          <cell r="E374" t="str">
            <v>iloom</v>
          </cell>
        </row>
        <row r="375">
          <cell r="A375" t="str">
            <v>HSQE0010VA-FIVLA</v>
          </cell>
          <cell r="B375" t="str">
            <v>Lower Side Panel A</v>
          </cell>
          <cell r="C375">
            <v>4</v>
          </cell>
          <cell r="D375" t="str">
            <v>B8B0</v>
          </cell>
          <cell r="E375" t="str">
            <v>iloom</v>
          </cell>
        </row>
        <row r="376">
          <cell r="A376" t="str">
            <v>HSFA1062V-IV</v>
          </cell>
          <cell r="B376" t="str">
            <v>Kids PL Storage Side Panels</v>
          </cell>
          <cell r="C376">
            <v>13</v>
          </cell>
          <cell r="D376" t="str">
            <v>C10A1</v>
          </cell>
          <cell r="E376" t="str">
            <v>iloom</v>
          </cell>
        </row>
        <row r="377">
          <cell r="A377" t="str">
            <v>HSKC0120SH-BGM</v>
          </cell>
          <cell r="B377"/>
          <cell r="C377">
            <v>1</v>
          </cell>
          <cell r="D377" t="str">
            <v>D4A1</v>
          </cell>
          <cell r="E377" t="str">
            <v>iloom</v>
          </cell>
        </row>
        <row r="378">
          <cell r="A378" t="str">
            <v>HSLD1012N-FIVLU</v>
          </cell>
          <cell r="B378" t="str">
            <v>1200W Peanut Desk Top Panel (Foaming Bumper)</v>
          </cell>
          <cell r="C378">
            <v>6</v>
          </cell>
          <cell r="D378" t="str">
            <v>D7A0</v>
          </cell>
          <cell r="E378" t="str">
            <v>iloom</v>
          </cell>
        </row>
        <row r="379">
          <cell r="A379" t="str">
            <v>HSKC0066H-IV</v>
          </cell>
          <cell r="B379" t="str">
            <v>600W 6-story Shelf Back Panel</v>
          </cell>
          <cell r="C379">
            <v>4</v>
          </cell>
          <cell r="D379" t="str">
            <v>E3A0</v>
          </cell>
          <cell r="E379" t="str">
            <v>iloom</v>
          </cell>
        </row>
        <row r="380">
          <cell r="A380" t="str">
            <v>HSLE0001PBN-KP</v>
          </cell>
          <cell r="B380" t="str">
            <v>Bed Drawer Front Panel</v>
          </cell>
          <cell r="C380">
            <v>6</v>
          </cell>
          <cell r="D380" t="str">
            <v>E9A0</v>
          </cell>
          <cell r="E380" t="str">
            <v>iloom</v>
          </cell>
        </row>
        <row r="381">
          <cell r="A381">
            <v>769894694176</v>
          </cell>
          <cell r="B381" t="str">
            <v>NEMIBABY SAFE GUARD STEP STOOL WITH HANDRAILS (GREY)</v>
          </cell>
          <cell r="C381">
            <v>19</v>
          </cell>
          <cell r="D381" t="str">
            <v>G4B0</v>
          </cell>
          <cell r="E381" t="str">
            <v>Namibaby</v>
          </cell>
        </row>
        <row r="382">
          <cell r="A382">
            <v>4063846053605</v>
          </cell>
          <cell r="B382" t="str">
            <v>CYBEX LIBELLE STROLLER SOHO GREY</v>
          </cell>
          <cell r="C382">
            <v>4</v>
          </cell>
          <cell r="D382" t="str">
            <v>A3B0</v>
          </cell>
          <cell r="E382" t="str">
            <v>Cybex</v>
          </cell>
        </row>
        <row r="383">
          <cell r="A383" t="str">
            <v>HSQE1010H-OS</v>
          </cell>
          <cell r="B383"/>
          <cell r="C383">
            <v>1</v>
          </cell>
          <cell r="D383" t="str">
            <v>C10A0</v>
          </cell>
          <cell r="E383" t="str">
            <v>iloom</v>
          </cell>
        </row>
        <row r="384">
          <cell r="A384" t="str">
            <v>HSLD0000H-IVBG</v>
          </cell>
          <cell r="B384"/>
          <cell r="C384">
            <v>10</v>
          </cell>
          <cell r="D384" t="str">
            <v>D4B0</v>
          </cell>
          <cell r="E384" t="str">
            <v>iloom</v>
          </cell>
        </row>
        <row r="385">
          <cell r="A385" t="str">
            <v>HSLS0044H-IV</v>
          </cell>
          <cell r="B385" t="str">
            <v>Stair Storage Shelves</v>
          </cell>
          <cell r="C385">
            <v>5</v>
          </cell>
          <cell r="D385" t="str">
            <v>E3A1</v>
          </cell>
          <cell r="E385" t="str">
            <v>iloom</v>
          </cell>
        </row>
        <row r="386">
          <cell r="A386" t="str">
            <v>HSKC0080S-LUW</v>
          </cell>
          <cell r="B386"/>
          <cell r="C386">
            <v>3</v>
          </cell>
          <cell r="D386" t="str">
            <v>C8A0</v>
          </cell>
          <cell r="E386" t="str">
            <v>iloom</v>
          </cell>
        </row>
        <row r="387">
          <cell r="A387" t="str">
            <v>HSKD0410-FIVTSS</v>
          </cell>
          <cell r="B387"/>
          <cell r="C387">
            <v>3</v>
          </cell>
          <cell r="D387" t="str">
            <v>D1A1</v>
          </cell>
          <cell r="E387" t="str">
            <v>iloom</v>
          </cell>
        </row>
        <row r="388">
          <cell r="A388" t="str">
            <v>HSKD0420L-IVM</v>
          </cell>
          <cell r="B388" t="str">
            <v>extention desk leg</v>
          </cell>
          <cell r="C388">
            <v>6</v>
          </cell>
          <cell r="D388" t="str">
            <v>D4A1</v>
          </cell>
          <cell r="E388" t="str">
            <v>iloom</v>
          </cell>
        </row>
        <row r="389">
          <cell r="A389" t="str">
            <v>HSKC0004SV-FIV</v>
          </cell>
          <cell r="B389"/>
          <cell r="C389">
            <v>7</v>
          </cell>
          <cell r="D389" t="str">
            <v>D10A1</v>
          </cell>
          <cell r="E389" t="str">
            <v>iloom</v>
          </cell>
        </row>
        <row r="390">
          <cell r="A390" t="str">
            <v>HSLA5063VN-KBKP</v>
          </cell>
          <cell r="B390" t="str">
            <v>Kids PL Storage Side Panel</v>
          </cell>
          <cell r="C390">
            <v>6</v>
          </cell>
          <cell r="D390" t="str">
            <v>E1A1</v>
          </cell>
          <cell r="E390" t="str">
            <v>iloom</v>
          </cell>
        </row>
        <row r="391">
          <cell r="A391" t="str">
            <v>HSKD0600X-WW</v>
          </cell>
          <cell r="B391" t="str">
            <v>height control leg</v>
          </cell>
          <cell r="C391">
            <v>3</v>
          </cell>
          <cell r="D391" t="str">
            <v>E7A0</v>
          </cell>
          <cell r="E391" t="str">
            <v>iloom</v>
          </cell>
        </row>
        <row r="392">
          <cell r="A392" t="str">
            <v>HSLD0000H-IVLA</v>
          </cell>
          <cell r="B392" t="str">
            <v>Desk  legs (High)</v>
          </cell>
          <cell r="C392">
            <v>1</v>
          </cell>
          <cell r="D392" t="str">
            <v>D6A0</v>
          </cell>
          <cell r="E392" t="str">
            <v>iloom</v>
          </cell>
        </row>
        <row r="393">
          <cell r="A393" t="str">
            <v>HSLA5063VN-KRKS</v>
          </cell>
          <cell r="B393" t="str">
            <v>Kids PL Storage Side Panel</v>
          </cell>
          <cell r="C393">
            <v>3</v>
          </cell>
          <cell r="D393" t="str">
            <v>E1A1</v>
          </cell>
          <cell r="E393" t="str">
            <v>iloom</v>
          </cell>
        </row>
        <row r="394">
          <cell r="A394" t="str">
            <v>HSLA1051MN-IV</v>
          </cell>
          <cell r="B394" t="str">
            <v>Makeup Table Mirror</v>
          </cell>
          <cell r="C394">
            <v>3</v>
          </cell>
          <cell r="D394" t="str">
            <v>E4A1</v>
          </cell>
          <cell r="E394" t="str">
            <v>iloom</v>
          </cell>
        </row>
        <row r="395">
          <cell r="A395" t="str">
            <v>X002Z3MSUV</v>
          </cell>
          <cell r="B395"/>
          <cell r="C395">
            <v>33</v>
          </cell>
          <cell r="D395" t="str">
            <v>G1A0</v>
          </cell>
          <cell r="E395" t="str">
            <v>CUTE STONE, EAGLE STONE</v>
          </cell>
        </row>
        <row r="396">
          <cell r="A396" t="str">
            <v>HSLD0000H-IVGY</v>
          </cell>
          <cell r="B396" t="str">
            <v>Desk  legs (High)</v>
          </cell>
          <cell r="C396">
            <v>7</v>
          </cell>
          <cell r="D396" t="str">
            <v>D6A0</v>
          </cell>
          <cell r="E396" t="str">
            <v>iloom</v>
          </cell>
        </row>
        <row r="397">
          <cell r="A397" t="str">
            <v>HSWD0000B-HY</v>
          </cell>
          <cell r="B397"/>
          <cell r="C397">
            <v>3</v>
          </cell>
          <cell r="D397" t="str">
            <v>E8A0</v>
          </cell>
          <cell r="E397" t="str">
            <v>iloom</v>
          </cell>
        </row>
        <row r="398">
          <cell r="A398">
            <v>4063846053612</v>
          </cell>
          <cell r="B398" t="str">
            <v>CYBEX LIBELLE STROLLER DEEP BLACK</v>
          </cell>
          <cell r="C398">
            <v>3</v>
          </cell>
          <cell r="D398" t="str">
            <v>A3B0</v>
          </cell>
          <cell r="E398" t="str">
            <v>Cybex</v>
          </cell>
        </row>
        <row r="399">
          <cell r="A399" t="str">
            <v>HSTE0014G-3W7</v>
          </cell>
          <cell r="B399" t="str">
            <v>1401W Bed Guard</v>
          </cell>
          <cell r="C399">
            <v>1</v>
          </cell>
          <cell r="D399" t="str">
            <v>B12A0</v>
          </cell>
          <cell r="E399" t="str">
            <v>iloom</v>
          </cell>
        </row>
        <row r="400">
          <cell r="A400" t="str">
            <v>HSFD0008-IVGYM</v>
          </cell>
          <cell r="B400" t="str">
            <v>Elephant Desk (w800)</v>
          </cell>
          <cell r="C400">
            <v>2</v>
          </cell>
          <cell r="D400" t="str">
            <v>C7A0</v>
          </cell>
          <cell r="E400" t="str">
            <v>iloom</v>
          </cell>
        </row>
        <row r="401">
          <cell r="A401" t="str">
            <v>HSKC0080SR-LUW</v>
          </cell>
          <cell r="B401" t="str">
            <v>bookshelf moveable shelf 800W</v>
          </cell>
          <cell r="C401">
            <v>2</v>
          </cell>
          <cell r="D401" t="str">
            <v>C8A0</v>
          </cell>
          <cell r="E401" t="str">
            <v>iloom</v>
          </cell>
        </row>
        <row r="402">
          <cell r="A402" t="str">
            <v>HSKC0224SH-IV</v>
          </cell>
          <cell r="B402" t="str">
            <v>4-story stacking bookshelf 1200W shelves</v>
          </cell>
          <cell r="C402">
            <v>12</v>
          </cell>
          <cell r="D402" t="str">
            <v>E5A0</v>
          </cell>
          <cell r="E402" t="str">
            <v>iloom</v>
          </cell>
        </row>
        <row r="403">
          <cell r="A403">
            <v>860001700084</v>
          </cell>
          <cell r="B403" t="str">
            <v>MR MARIA LION STAR LIGHT</v>
          </cell>
          <cell r="C403">
            <v>8</v>
          </cell>
          <cell r="D403" t="str">
            <v>G8A0</v>
          </cell>
          <cell r="E403" t="str">
            <v>MR MARIA</v>
          </cell>
        </row>
        <row r="404">
          <cell r="A404" t="str">
            <v>HSQE0010VA-OSLA</v>
          </cell>
          <cell r="B404"/>
          <cell r="C404">
            <v>5</v>
          </cell>
          <cell r="D404" t="str">
            <v>B8B0</v>
          </cell>
          <cell r="E404" t="str">
            <v>iloom</v>
          </cell>
        </row>
        <row r="405">
          <cell r="A405" t="str">
            <v>HSTE0014G-3W1</v>
          </cell>
          <cell r="B405" t="str">
            <v>1400W Bed Guard</v>
          </cell>
          <cell r="C405">
            <v>2</v>
          </cell>
          <cell r="D405" t="str">
            <v>B12A0</v>
          </cell>
          <cell r="E405" t="str">
            <v>iloom</v>
          </cell>
        </row>
        <row r="406">
          <cell r="A406" t="str">
            <v>HSKC0080SR-GYM</v>
          </cell>
          <cell r="B406" t="str">
            <v>bookshelf moveable shelf 800W</v>
          </cell>
          <cell r="C406">
            <v>2</v>
          </cell>
          <cell r="D406" t="str">
            <v>C8A0</v>
          </cell>
          <cell r="E406" t="str">
            <v>iloom</v>
          </cell>
        </row>
        <row r="407">
          <cell r="A407" t="str">
            <v>HSLS0044V-IV</v>
          </cell>
          <cell r="B407" t="str">
            <v>Stair Storage Side Panels</v>
          </cell>
          <cell r="C407">
            <v>5</v>
          </cell>
          <cell r="D407" t="str">
            <v>E4A1</v>
          </cell>
          <cell r="E407" t="str">
            <v>iloom</v>
          </cell>
        </row>
        <row r="408">
          <cell r="A408" t="str">
            <v>HSWD0000B-GY</v>
          </cell>
          <cell r="B408" t="str">
            <v>Leg Base</v>
          </cell>
          <cell r="C408">
            <v>3</v>
          </cell>
          <cell r="D408" t="str">
            <v>E8A0</v>
          </cell>
          <cell r="E408" t="str">
            <v>iloom</v>
          </cell>
        </row>
        <row r="409">
          <cell r="A409" t="str">
            <v>HSKD0602X-XX</v>
          </cell>
          <cell r="B409" t="str">
            <v>motiondesk assemble part</v>
          </cell>
          <cell r="C409">
            <v>1</v>
          </cell>
          <cell r="D409" t="str">
            <v>X0</v>
          </cell>
          <cell r="E409" t="str">
            <v>iloom</v>
          </cell>
        </row>
        <row r="410">
          <cell r="A410" t="str">
            <v>HSKC0080SR-TM</v>
          </cell>
          <cell r="B410" t="str">
            <v>bookshelf moveable shelf 800W</v>
          </cell>
          <cell r="C410">
            <v>2</v>
          </cell>
          <cell r="D410" t="str">
            <v>C8A0</v>
          </cell>
          <cell r="E410" t="str">
            <v>iloom</v>
          </cell>
        </row>
        <row r="411">
          <cell r="A411" t="str">
            <v>HSQA4050S-LU</v>
          </cell>
          <cell r="B411" t="str">
            <v>Hanging Hanger Wood Handle</v>
          </cell>
          <cell r="C411">
            <v>3</v>
          </cell>
          <cell r="D411" t="str">
            <v>X0</v>
          </cell>
          <cell r="E411" t="str">
            <v>iloom</v>
          </cell>
        </row>
        <row r="412">
          <cell r="A412" t="str">
            <v>HSAA0204R-GY</v>
          </cell>
          <cell r="B412" t="str">
            <v>multi case</v>
          </cell>
          <cell r="C412">
            <v>8</v>
          </cell>
          <cell r="D412" t="str">
            <v>X3</v>
          </cell>
          <cell r="E412" t="str">
            <v>iloom</v>
          </cell>
        </row>
        <row r="413">
          <cell r="A413" t="str">
            <v>HSTE0014G-3W3</v>
          </cell>
          <cell r="B413" t="str">
            <v>1400W Bed Guard</v>
          </cell>
          <cell r="C413">
            <v>1</v>
          </cell>
          <cell r="D413" t="str">
            <v>B12A0</v>
          </cell>
          <cell r="E413" t="str">
            <v>iloom</v>
          </cell>
        </row>
        <row r="414">
          <cell r="A414" t="str">
            <v>HSKC0060SR-TM</v>
          </cell>
          <cell r="B414" t="str">
            <v>bookshelf moveable shelf 600W</v>
          </cell>
          <cell r="C414">
            <v>1</v>
          </cell>
          <cell r="D414" t="str">
            <v>C8A0</v>
          </cell>
          <cell r="E414" t="str">
            <v>iloom</v>
          </cell>
        </row>
        <row r="415">
          <cell r="A415" t="str">
            <v>HSKC0240A-IV</v>
          </cell>
          <cell r="B415" t="str">
            <v>1400W multi shelf</v>
          </cell>
          <cell r="C415">
            <v>4</v>
          </cell>
          <cell r="D415" t="str">
            <v>D3A1</v>
          </cell>
          <cell r="E415" t="str">
            <v>iloom</v>
          </cell>
        </row>
        <row r="416">
          <cell r="A416" t="str">
            <v>HSKA0901-XX</v>
          </cell>
          <cell r="B416"/>
          <cell r="C416">
            <v>13</v>
          </cell>
          <cell r="D416" t="str">
            <v>E7A1</v>
          </cell>
          <cell r="E416" t="str">
            <v>iloom</v>
          </cell>
        </row>
        <row r="417">
          <cell r="A417" t="str">
            <v>HSKC0060SR-LUW</v>
          </cell>
          <cell r="B417" t="str">
            <v>bookshelf moveable shelf 600W</v>
          </cell>
          <cell r="C417">
            <v>1</v>
          </cell>
          <cell r="D417" t="str">
            <v>C8A0</v>
          </cell>
          <cell r="E417" t="str">
            <v>iloom</v>
          </cell>
        </row>
        <row r="418">
          <cell r="A418" t="str">
            <v>HSKA0041-FIV</v>
          </cell>
          <cell r="B418"/>
          <cell r="C418">
            <v>6</v>
          </cell>
          <cell r="D418" t="str">
            <v>D1A0</v>
          </cell>
          <cell r="E418" t="str">
            <v>iloom</v>
          </cell>
        </row>
        <row r="419">
          <cell r="A419" t="str">
            <v>HSKD0612G-GYM</v>
          </cell>
          <cell r="B419" t="str">
            <v>motiondesk front guard</v>
          </cell>
          <cell r="C419">
            <v>2</v>
          </cell>
          <cell r="D419" t="str">
            <v>D10A1</v>
          </cell>
          <cell r="E419" t="str">
            <v>iloom</v>
          </cell>
        </row>
        <row r="420">
          <cell r="A420">
            <v>8719326177489</v>
          </cell>
          <cell r="B420"/>
          <cell r="C420">
            <v>6</v>
          </cell>
          <cell r="D420" t="str">
            <v>G8A0</v>
          </cell>
          <cell r="E420" t="str">
            <v>MR MARIA</v>
          </cell>
        </row>
        <row r="421">
          <cell r="A421" t="str">
            <v>HSQE0003GX-LU</v>
          </cell>
          <cell r="B421" t="str">
            <v>330W Lower Guard Bracket</v>
          </cell>
          <cell r="C421">
            <v>5</v>
          </cell>
          <cell r="D421" t="str">
            <v>X2</v>
          </cell>
          <cell r="E421" t="str">
            <v>iloom</v>
          </cell>
        </row>
        <row r="422">
          <cell r="A422" t="str">
            <v>HSKC0060SR-GYM</v>
          </cell>
          <cell r="B422" t="str">
            <v>bookshelf moveable shelf 600W</v>
          </cell>
          <cell r="C422">
            <v>1</v>
          </cell>
          <cell r="D422" t="str">
            <v>C8A0</v>
          </cell>
          <cell r="E422" t="str">
            <v>iloom</v>
          </cell>
        </row>
        <row r="423">
          <cell r="A423" t="str">
            <v>HSLA3080X-SV</v>
          </cell>
          <cell r="B423" t="str">
            <v>Whiteboard Frame</v>
          </cell>
          <cell r="C423">
            <v>8</v>
          </cell>
          <cell r="D423" t="str">
            <v>E8A0</v>
          </cell>
          <cell r="E423" t="str">
            <v>iloom</v>
          </cell>
        </row>
        <row r="424">
          <cell r="A424" t="str">
            <v>HSQA4050S-LA</v>
          </cell>
          <cell r="B424" t="str">
            <v>Hanging Hanger Wood Handle</v>
          </cell>
          <cell r="C424">
            <v>1</v>
          </cell>
          <cell r="D424" t="str">
            <v>X0</v>
          </cell>
          <cell r="E424" t="str">
            <v>iloom</v>
          </cell>
        </row>
        <row r="425">
          <cell r="A425" t="str">
            <v>HSKC0060SR-RM</v>
          </cell>
          <cell r="B425" t="str">
            <v>bookshelf moveable shelf 600W</v>
          </cell>
          <cell r="C425">
            <v>1</v>
          </cell>
          <cell r="D425" t="str">
            <v>C8A0</v>
          </cell>
          <cell r="E425" t="str">
            <v>iloom</v>
          </cell>
        </row>
        <row r="426">
          <cell r="A426" t="str">
            <v>HSKD0612G-LUW</v>
          </cell>
          <cell r="B426" t="str">
            <v>motiondesk front guard</v>
          </cell>
          <cell r="C426">
            <v>1</v>
          </cell>
          <cell r="D426" t="str">
            <v>D10A1</v>
          </cell>
          <cell r="E426" t="str">
            <v>iloom</v>
          </cell>
        </row>
        <row r="427">
          <cell r="A427" t="str">
            <v>HSQS0043B-LUW</v>
          </cell>
          <cell r="B427" t="str">
            <v>Stair Cabinet Door</v>
          </cell>
          <cell r="C427">
            <v>5</v>
          </cell>
          <cell r="D427" t="str">
            <v>E9A0</v>
          </cell>
          <cell r="E427" t="str">
            <v>iloom</v>
          </cell>
        </row>
        <row r="428">
          <cell r="A428" t="str">
            <v>HSTE0014GX-IVM</v>
          </cell>
          <cell r="B428" t="str">
            <v>Guard Bracket</v>
          </cell>
          <cell r="C428">
            <v>4</v>
          </cell>
          <cell r="D428" t="str">
            <v>X0</v>
          </cell>
          <cell r="E428" t="str">
            <v>iloom</v>
          </cell>
        </row>
        <row r="429">
          <cell r="A429" t="str">
            <v>HSAA0202-LP</v>
          </cell>
          <cell r="B429"/>
          <cell r="C429">
            <v>9</v>
          </cell>
          <cell r="D429" t="str">
            <v>X1</v>
          </cell>
          <cell r="E429" t="str">
            <v>iloom</v>
          </cell>
        </row>
        <row r="430">
          <cell r="A430" t="str">
            <v>HSQE0013GX-LU</v>
          </cell>
          <cell r="B430" t="str">
            <v>1330W Side Guard Bracket</v>
          </cell>
          <cell r="C430">
            <v>3</v>
          </cell>
          <cell r="D430" t="str">
            <v>X2</v>
          </cell>
          <cell r="E430" t="str">
            <v>iloom</v>
          </cell>
        </row>
        <row r="431">
          <cell r="A431" t="str">
            <v>HSKC0240B-IV</v>
          </cell>
          <cell r="B431" t="str">
            <v>1400W book shelf</v>
          </cell>
          <cell r="C431">
            <v>2</v>
          </cell>
          <cell r="D431" t="str">
            <v>D3A1</v>
          </cell>
          <cell r="E431" t="str">
            <v>iloom</v>
          </cell>
        </row>
        <row r="432">
          <cell r="A432" t="str">
            <v>HSQS0043B-LAW</v>
          </cell>
          <cell r="B432" t="str">
            <v>Stair Cabinet Door</v>
          </cell>
          <cell r="C432">
            <v>6</v>
          </cell>
          <cell r="D432" t="str">
            <v>E9A0</v>
          </cell>
          <cell r="E432" t="str">
            <v>iloom</v>
          </cell>
        </row>
        <row r="433">
          <cell r="A433" t="str">
            <v>HSKC0124SB-FIV</v>
          </cell>
          <cell r="B433"/>
          <cell r="C433">
            <v>4</v>
          </cell>
          <cell r="D433" t="str">
            <v>E8A1</v>
          </cell>
          <cell r="E433" t="str">
            <v>iloom</v>
          </cell>
        </row>
        <row r="434">
          <cell r="A434" t="str">
            <v>HSKC0080SR-RM</v>
          </cell>
          <cell r="B434" t="str">
            <v>bookshelf moveable shelf 800W</v>
          </cell>
          <cell r="C434">
            <v>2</v>
          </cell>
          <cell r="D434" t="str">
            <v>C8A0</v>
          </cell>
          <cell r="E434" t="str">
            <v>iloom</v>
          </cell>
        </row>
        <row r="435">
          <cell r="A435" t="str">
            <v>HSQA4050X-IIV</v>
          </cell>
          <cell r="B435" t="str">
            <v>Hanging Hanger Bracket</v>
          </cell>
          <cell r="C435">
            <v>2</v>
          </cell>
          <cell r="D435" t="str">
            <v>X0</v>
          </cell>
          <cell r="E435" t="str">
            <v>iloom</v>
          </cell>
        </row>
        <row r="436">
          <cell r="A436" t="str">
            <v>HSAA0202-BG</v>
          </cell>
          <cell r="B436"/>
          <cell r="C436">
            <v>12</v>
          </cell>
          <cell r="D436" t="str">
            <v>X1</v>
          </cell>
          <cell r="E436" t="str">
            <v>iloom</v>
          </cell>
        </row>
        <row r="437">
          <cell r="A437" t="str">
            <v>HSAA0204R-LU</v>
          </cell>
          <cell r="B437" t="str">
            <v>multi case</v>
          </cell>
          <cell r="C437">
            <v>7</v>
          </cell>
          <cell r="D437" t="str">
            <v>X3</v>
          </cell>
          <cell r="E437" t="str">
            <v>iloom</v>
          </cell>
        </row>
        <row r="438">
          <cell r="A438" t="str">
            <v>HCX0001RB-SG</v>
          </cell>
          <cell r="B438" t="str">
            <v>Oliver Caster(5EA, 50_27U)</v>
          </cell>
          <cell r="C438">
            <v>9</v>
          </cell>
          <cell r="D438" t="str">
            <v>X0</v>
          </cell>
          <cell r="E438" t="str">
            <v>iloom</v>
          </cell>
        </row>
        <row r="439">
          <cell r="A439" t="str">
            <v>HSQE0013GX-LA</v>
          </cell>
          <cell r="B439" t="str">
            <v>1330W Side Guard Bracket</v>
          </cell>
          <cell r="C439">
            <v>3</v>
          </cell>
          <cell r="D439" t="str">
            <v>X2</v>
          </cell>
          <cell r="E439" t="str">
            <v>iloom</v>
          </cell>
        </row>
        <row r="440">
          <cell r="A440" t="str">
            <v>HSQE0003GX-LA</v>
          </cell>
          <cell r="B440" t="str">
            <v>330W Lower Guard Bracket</v>
          </cell>
          <cell r="C440">
            <v>6</v>
          </cell>
          <cell r="D440" t="str">
            <v>X2</v>
          </cell>
          <cell r="E440" t="str">
            <v>iloom</v>
          </cell>
        </row>
        <row r="441">
          <cell r="A441" t="str">
            <v>X002QEFSCJ</v>
          </cell>
          <cell r="B441" t="str">
            <v>CUTE STONE COOKING TOY SETS WITH POTS AND PANS 40PCS</v>
          </cell>
          <cell r="C441">
            <v>36</v>
          </cell>
          <cell r="D441" t="str">
            <v>G2A0</v>
          </cell>
          <cell r="E441" t="str">
            <v>CUTE STONE</v>
          </cell>
        </row>
        <row r="442">
          <cell r="A442" t="str">
            <v>HCX0001BA-SG</v>
          </cell>
          <cell r="B442"/>
          <cell r="C442">
            <v>9</v>
          </cell>
          <cell r="D442" t="str">
            <v>X0</v>
          </cell>
          <cell r="E442" t="str">
            <v>iloom</v>
          </cell>
        </row>
        <row r="443">
          <cell r="A443" t="str">
            <v>HSFA0090-XX</v>
          </cell>
          <cell r="B443" t="str">
            <v>LED light 440 (Attaching type)</v>
          </cell>
          <cell r="C443">
            <v>6</v>
          </cell>
          <cell r="D443" t="str">
            <v>E7A1</v>
          </cell>
          <cell r="E443" t="str">
            <v>iloom</v>
          </cell>
        </row>
        <row r="444">
          <cell r="A444" t="str">
            <v>HSQA0002-LAW</v>
          </cell>
          <cell r="B444" t="str">
            <v>Hanging Shelf</v>
          </cell>
          <cell r="C444">
            <v>9</v>
          </cell>
          <cell r="D444" t="str">
            <v>E9A0</v>
          </cell>
          <cell r="E444" t="str">
            <v>iloom</v>
          </cell>
        </row>
        <row r="445">
          <cell r="A445" t="str">
            <v>HSAA0202R-GY</v>
          </cell>
          <cell r="B445" t="str">
            <v>multi shelf</v>
          </cell>
          <cell r="C445">
            <v>8</v>
          </cell>
          <cell r="D445" t="str">
            <v>X3</v>
          </cell>
          <cell r="E445" t="str">
            <v>iloom</v>
          </cell>
        </row>
        <row r="446">
          <cell r="A446" t="str">
            <v>HSKA0040X-XX</v>
          </cell>
          <cell r="B446"/>
          <cell r="C446">
            <v>6</v>
          </cell>
          <cell r="D446" t="str">
            <v>X2</v>
          </cell>
          <cell r="E446" t="str">
            <v>iloom</v>
          </cell>
        </row>
        <row r="447">
          <cell r="A447" t="str">
            <v>HSLA0040H-KP</v>
          </cell>
          <cell r="B447" t="str">
            <v>400W High PL Box</v>
          </cell>
          <cell r="C447">
            <v>39</v>
          </cell>
          <cell r="D447" t="str">
            <v>B6A0</v>
          </cell>
          <cell r="E447" t="str">
            <v>iloom</v>
          </cell>
        </row>
        <row r="448">
          <cell r="A448" t="str">
            <v>HSKA0904-XX</v>
          </cell>
          <cell r="B448" t="str">
            <v>Desk lamp(angle control)</v>
          </cell>
          <cell r="C448">
            <v>5</v>
          </cell>
          <cell r="D448" t="str">
            <v>E7A1</v>
          </cell>
          <cell r="E448" t="str">
            <v>iloom</v>
          </cell>
        </row>
        <row r="449">
          <cell r="A449" t="str">
            <v>HSAA0202-LU</v>
          </cell>
          <cell r="B449"/>
          <cell r="C449">
            <v>14</v>
          </cell>
          <cell r="D449" t="str">
            <v>X1</v>
          </cell>
          <cell r="E449" t="str">
            <v>iloom</v>
          </cell>
        </row>
        <row r="450">
          <cell r="A450" t="str">
            <v>HSAA0202R-LU</v>
          </cell>
          <cell r="B450" t="str">
            <v>multi shelf</v>
          </cell>
          <cell r="C450">
            <v>7</v>
          </cell>
          <cell r="D450" t="str">
            <v>X3</v>
          </cell>
          <cell r="E450" t="str">
            <v>iloom</v>
          </cell>
        </row>
        <row r="451">
          <cell r="A451" t="str">
            <v>HSWA0201-GY</v>
          </cell>
          <cell r="B451"/>
          <cell r="C451">
            <v>3</v>
          </cell>
          <cell r="D451" t="str">
            <v>E9A0</v>
          </cell>
          <cell r="E451" t="str">
            <v>iloom</v>
          </cell>
        </row>
        <row r="452">
          <cell r="A452" t="str">
            <v>HSFA0001X-IIV</v>
          </cell>
          <cell r="B452" t="str">
            <v>Corner type reading house curtain pole</v>
          </cell>
          <cell r="C452">
            <v>2</v>
          </cell>
          <cell r="D452" t="str">
            <v>E7A1</v>
          </cell>
          <cell r="E452" t="str">
            <v>iloom</v>
          </cell>
        </row>
        <row r="453">
          <cell r="A453" t="str">
            <v>HB72Y02EPX-IIV</v>
          </cell>
          <cell r="B453" t="str">
            <v>Bed Lower Drawer Guide</v>
          </cell>
          <cell r="C453">
            <v>14</v>
          </cell>
          <cell r="D453" t="str">
            <v>X2</v>
          </cell>
          <cell r="E453" t="str">
            <v>iloom</v>
          </cell>
        </row>
        <row r="454">
          <cell r="A454" t="str">
            <v>HSAA0202R-HY</v>
          </cell>
          <cell r="B454"/>
          <cell r="C454">
            <v>8</v>
          </cell>
          <cell r="D454" t="str">
            <v>X3</v>
          </cell>
          <cell r="E454" t="str">
            <v>iloom</v>
          </cell>
        </row>
        <row r="455">
          <cell r="A455" t="str">
            <v>HSFS0080X-IIV</v>
          </cell>
          <cell r="B455" t="str">
            <v>Corner type reading house bracket</v>
          </cell>
          <cell r="C455">
            <v>2</v>
          </cell>
          <cell r="D455" t="str">
            <v>E7A1</v>
          </cell>
          <cell r="E455" t="str">
            <v>iloom</v>
          </cell>
        </row>
        <row r="456">
          <cell r="A456" t="str">
            <v>HSKA0201-GY</v>
          </cell>
          <cell r="B456"/>
          <cell r="C456">
            <v>7</v>
          </cell>
          <cell r="D456" t="str">
            <v>E9A0</v>
          </cell>
          <cell r="E456" t="str">
            <v>iloom</v>
          </cell>
        </row>
        <row r="457">
          <cell r="A457" t="str">
            <v>HSPA0105-HY</v>
          </cell>
          <cell r="B457"/>
          <cell r="C457">
            <v>7</v>
          </cell>
          <cell r="D457" t="str">
            <v>E9A1</v>
          </cell>
          <cell r="E457" t="str">
            <v>iloom</v>
          </cell>
        </row>
        <row r="458">
          <cell r="A458" t="str">
            <v>HSLE1000X-IIV</v>
          </cell>
          <cell r="B458" t="str">
            <v>Circle BracketA (9ea)</v>
          </cell>
          <cell r="C458">
            <v>9</v>
          </cell>
          <cell r="D458" t="str">
            <v>X0</v>
          </cell>
          <cell r="E458" t="str">
            <v>iloom</v>
          </cell>
        </row>
        <row r="459">
          <cell r="A459" t="str">
            <v>X002HL6UCX</v>
          </cell>
          <cell r="B459" t="str">
            <v>CUTE STONE KIDS PICNIC &amp; KITCHEN PLAYSET BLUE</v>
          </cell>
          <cell r="C459">
            <v>12</v>
          </cell>
          <cell r="D459" t="str">
            <v>G1A0</v>
          </cell>
          <cell r="E459" t="str">
            <v>CUTE STONE, EAGLE STONE</v>
          </cell>
        </row>
        <row r="460">
          <cell r="A460" t="str">
            <v>6955693028128 - Blue</v>
          </cell>
          <cell r="B460"/>
          <cell r="C460">
            <v>30</v>
          </cell>
          <cell r="D460" t="str">
            <v>A8A0</v>
          </cell>
          <cell r="E460" t="str">
            <v>Oudon, Tasteabite</v>
          </cell>
        </row>
        <row r="461">
          <cell r="A461" t="str">
            <v>HSFA0003-XX</v>
          </cell>
          <cell r="B461" t="str">
            <v>Hanging pocket (L)</v>
          </cell>
          <cell r="C461">
            <v>6</v>
          </cell>
          <cell r="D461" t="str">
            <v>X3</v>
          </cell>
          <cell r="E461" t="str">
            <v>iloom</v>
          </cell>
        </row>
        <row r="462">
          <cell r="A462" t="str">
            <v>HSAA0202-LA</v>
          </cell>
          <cell r="B462"/>
          <cell r="C462">
            <v>11</v>
          </cell>
          <cell r="D462" t="str">
            <v>X1</v>
          </cell>
          <cell r="E462" t="str">
            <v>iloom</v>
          </cell>
        </row>
        <row r="463">
          <cell r="A463" t="str">
            <v>HSKA0202N-XX</v>
          </cell>
          <cell r="B463"/>
          <cell r="C463">
            <v>41</v>
          </cell>
          <cell r="D463" t="str">
            <v>E9A1</v>
          </cell>
          <cell r="E463" t="str">
            <v>iloom</v>
          </cell>
        </row>
        <row r="464">
          <cell r="A464" t="str">
            <v>HSLA0040H-HY</v>
          </cell>
          <cell r="B464" t="str">
            <v>400W High PL BOX</v>
          </cell>
          <cell r="C464">
            <v>74</v>
          </cell>
          <cell r="D464" t="str">
            <v>B5A0</v>
          </cell>
          <cell r="E464" t="str">
            <v>iloom</v>
          </cell>
        </row>
        <row r="465">
          <cell r="A465" t="str">
            <v>HSLE1000X-KP</v>
          </cell>
          <cell r="B465" t="str">
            <v>Circle BracketA (11ea)</v>
          </cell>
          <cell r="C465">
            <v>1</v>
          </cell>
          <cell r="D465" t="str">
            <v>X0</v>
          </cell>
          <cell r="E465" t="str">
            <v>iloom</v>
          </cell>
        </row>
        <row r="466">
          <cell r="A466" t="str">
            <v>HSLE1000X-KB</v>
          </cell>
          <cell r="B466" t="str">
            <v>Circle BracketA (10ea)</v>
          </cell>
          <cell r="C466">
            <v>6</v>
          </cell>
          <cell r="D466" t="str">
            <v>X0</v>
          </cell>
          <cell r="E466" t="str">
            <v>iloom</v>
          </cell>
        </row>
        <row r="467">
          <cell r="A467" t="str">
            <v>HSQE1016GAX-LU</v>
          </cell>
          <cell r="B467" t="str">
            <v>Lower Guard Bracket</v>
          </cell>
          <cell r="C467">
            <v>1</v>
          </cell>
          <cell r="D467" t="str">
            <v>X2</v>
          </cell>
          <cell r="E467" t="str">
            <v>iloom</v>
          </cell>
        </row>
        <row r="468">
          <cell r="A468" t="str">
            <v>HSQE1016GX-LU</v>
          </cell>
          <cell r="B468" t="str">
            <v>Upper Guard Bracket</v>
          </cell>
          <cell r="C468">
            <v>1</v>
          </cell>
          <cell r="D468" t="str">
            <v>X2</v>
          </cell>
          <cell r="E468" t="str">
            <v>iloom</v>
          </cell>
        </row>
        <row r="469">
          <cell r="A469" t="str">
            <v>HSNB0000S-F691</v>
          </cell>
          <cell r="B469" t="str">
            <v>Felt Handle</v>
          </cell>
          <cell r="C469">
            <v>12</v>
          </cell>
          <cell r="D469" t="str">
            <v>X2</v>
          </cell>
          <cell r="E469" t="str">
            <v>iloom</v>
          </cell>
        </row>
        <row r="470">
          <cell r="A470" t="str">
            <v>HSLE1000X-KR</v>
          </cell>
          <cell r="B470" t="str">
            <v>Circle BracketA (12ea)</v>
          </cell>
          <cell r="C470">
            <v>5</v>
          </cell>
          <cell r="D470" t="str">
            <v>X0</v>
          </cell>
          <cell r="E470" t="str">
            <v>iloom</v>
          </cell>
        </row>
        <row r="471">
          <cell r="A471" t="str">
            <v>HSAA0202R-RM</v>
          </cell>
          <cell r="B471" t="str">
            <v>multi shelf</v>
          </cell>
          <cell r="C471">
            <v>8</v>
          </cell>
          <cell r="D471" t="str">
            <v>X3</v>
          </cell>
          <cell r="E471" t="str">
            <v>iloom</v>
          </cell>
        </row>
        <row r="472">
          <cell r="A472" t="str">
            <v>HSQE0017GX-LA</v>
          </cell>
          <cell r="B472" t="str">
            <v>1720W Side Guard Bracket</v>
          </cell>
          <cell r="C472">
            <v>17</v>
          </cell>
          <cell r="D472" t="str">
            <v>X1</v>
          </cell>
          <cell r="E472" t="str">
            <v>iloom</v>
          </cell>
        </row>
        <row r="473">
          <cell r="A473" t="str">
            <v>HSAA0202R-TM</v>
          </cell>
          <cell r="B473" t="str">
            <v>multi shelf</v>
          </cell>
          <cell r="C473">
            <v>8</v>
          </cell>
          <cell r="D473" t="str">
            <v>X3</v>
          </cell>
          <cell r="E473" t="str">
            <v>iloom</v>
          </cell>
        </row>
        <row r="474">
          <cell r="A474" t="str">
            <v>HSKX0200-XX</v>
          </cell>
          <cell r="B474" t="str">
            <v>stacking bookshelf guard</v>
          </cell>
          <cell r="C474">
            <v>31</v>
          </cell>
          <cell r="D474" t="str">
            <v>X2</v>
          </cell>
          <cell r="E474" t="str">
            <v>iloom</v>
          </cell>
        </row>
        <row r="475">
          <cell r="A475" t="str">
            <v>HSLA0040H-KR</v>
          </cell>
          <cell r="B475" t="str">
            <v>400W High PL Box</v>
          </cell>
          <cell r="C475">
            <v>63</v>
          </cell>
          <cell r="D475" t="str">
            <v>B6A0</v>
          </cell>
          <cell r="E475" t="str">
            <v>iloom</v>
          </cell>
        </row>
        <row r="476">
          <cell r="A476">
            <v>6970656730030</v>
          </cell>
          <cell r="B476"/>
          <cell r="C476">
            <v>69</v>
          </cell>
          <cell r="D476" t="str">
            <v>A8A0</v>
          </cell>
          <cell r="E476" t="str">
            <v>Oudon, Tasteabite</v>
          </cell>
        </row>
        <row r="477">
          <cell r="A477" t="str">
            <v>HSQE0017GX-LU</v>
          </cell>
          <cell r="B477" t="str">
            <v>1720W Side Guard Bracket</v>
          </cell>
          <cell r="C477">
            <v>13</v>
          </cell>
          <cell r="D477" t="str">
            <v>X1</v>
          </cell>
          <cell r="E477" t="str">
            <v>iloom</v>
          </cell>
        </row>
        <row r="478">
          <cell r="A478" t="str">
            <v>HSFA0001-KP</v>
          </cell>
          <cell r="B478" t="str">
            <v>Coner type reading house curtain</v>
          </cell>
          <cell r="C478">
            <v>1</v>
          </cell>
          <cell r="D478" t="str">
            <v>E9A1</v>
          </cell>
          <cell r="E478" t="str">
            <v>iloom</v>
          </cell>
        </row>
        <row r="479">
          <cell r="A479" t="str">
            <v>HSFA0001-KB</v>
          </cell>
          <cell r="B479" t="str">
            <v>Coner type reading house curtain</v>
          </cell>
          <cell r="C479">
            <v>1</v>
          </cell>
          <cell r="D479" t="str">
            <v>E9A1</v>
          </cell>
          <cell r="E479" t="str">
            <v>iloom</v>
          </cell>
        </row>
        <row r="480">
          <cell r="A480" t="str">
            <v>HSAA0000-XX</v>
          </cell>
          <cell r="B480" t="str">
            <v>magnet set(4EA)</v>
          </cell>
          <cell r="C480">
            <v>18</v>
          </cell>
          <cell r="D480" t="str">
            <v>E9A1</v>
          </cell>
          <cell r="E480" t="str">
            <v>iloom</v>
          </cell>
        </row>
        <row r="481">
          <cell r="A481" t="str">
            <v>HSAA0204-LA</v>
          </cell>
          <cell r="B481"/>
          <cell r="C481">
            <v>9</v>
          </cell>
          <cell r="D481" t="str">
            <v>X1</v>
          </cell>
          <cell r="E481" t="str">
            <v>iloom</v>
          </cell>
        </row>
        <row r="482">
          <cell r="A482" t="str">
            <v>HSAA0204-LU</v>
          </cell>
          <cell r="B482"/>
          <cell r="C482">
            <v>12</v>
          </cell>
          <cell r="D482" t="str">
            <v>X1</v>
          </cell>
          <cell r="E482" t="str">
            <v>iloom</v>
          </cell>
        </row>
        <row r="483">
          <cell r="A483" t="str">
            <v>HSAE0000A-XX</v>
          </cell>
          <cell r="B483" t="str">
            <v>Lower Light</v>
          </cell>
          <cell r="C483">
            <v>4</v>
          </cell>
          <cell r="D483" t="str">
            <v>X2</v>
          </cell>
          <cell r="E483" t="str">
            <v>iloom</v>
          </cell>
        </row>
        <row r="484">
          <cell r="A484" t="str">
            <v>HSKD0601X-XX</v>
          </cell>
          <cell r="B484" t="str">
            <v>multi tap (2,for organizing wires)</v>
          </cell>
          <cell r="C484">
            <v>3</v>
          </cell>
          <cell r="D484" t="str">
            <v>X2</v>
          </cell>
          <cell r="E484" t="str">
            <v>iloom</v>
          </cell>
        </row>
        <row r="485">
          <cell r="A485" t="str">
            <v>HSLA0040L-IV</v>
          </cell>
          <cell r="B485" t="str">
            <v xml:space="preserve">400W Low PL BOX </v>
          </cell>
          <cell r="C485">
            <v>279</v>
          </cell>
          <cell r="D485" t="str">
            <v>B2B0</v>
          </cell>
          <cell r="E485" t="str">
            <v>iloom</v>
          </cell>
        </row>
        <row r="486">
          <cell r="A486" t="str">
            <v>HSAA0204-LP</v>
          </cell>
          <cell r="B486"/>
          <cell r="C486">
            <v>8</v>
          </cell>
          <cell r="D486" t="str">
            <v>X1</v>
          </cell>
          <cell r="E486" t="str">
            <v>iloom</v>
          </cell>
        </row>
        <row r="487">
          <cell r="A487" t="str">
            <v>HSAA0204-BG</v>
          </cell>
          <cell r="B487"/>
          <cell r="C487">
            <v>9</v>
          </cell>
          <cell r="D487" t="str">
            <v>X1</v>
          </cell>
          <cell r="E487" t="str">
            <v>iloom</v>
          </cell>
        </row>
        <row r="488">
          <cell r="A488" t="str">
            <v>HSKA0001-XX</v>
          </cell>
          <cell r="B488"/>
          <cell r="C488">
            <v>37</v>
          </cell>
          <cell r="D488" t="str">
            <v>E9A1</v>
          </cell>
          <cell r="E488" t="str">
            <v>iloom</v>
          </cell>
        </row>
        <row r="489">
          <cell r="A489" t="str">
            <v>HSLA0040H-IV</v>
          </cell>
          <cell r="B489" t="str">
            <v>400W High PL Box</v>
          </cell>
          <cell r="C489">
            <v>63</v>
          </cell>
          <cell r="D489" t="str">
            <v>B5A0</v>
          </cell>
          <cell r="E489" t="str">
            <v>iloom</v>
          </cell>
        </row>
        <row r="490">
          <cell r="A490">
            <v>5060462693542</v>
          </cell>
          <cell r="B490" t="str">
            <v>JAR MELO  DOT-TO-DOT DRAWING BOOK-SUPER-FUN DINOSAUR</v>
          </cell>
          <cell r="C490">
            <v>120</v>
          </cell>
          <cell r="D490" t="str">
            <v>G6A0</v>
          </cell>
          <cell r="E490" t="str">
            <v>JAR MELO</v>
          </cell>
        </row>
        <row r="491">
          <cell r="A491" t="str">
            <v>HSLA0040H-KS</v>
          </cell>
          <cell r="B491" t="str">
            <v>400W High PL Box</v>
          </cell>
          <cell r="C491">
            <v>29</v>
          </cell>
          <cell r="D491" t="str">
            <v>B6A0</v>
          </cell>
          <cell r="E491" t="str">
            <v>iloom</v>
          </cell>
        </row>
        <row r="492">
          <cell r="A492" t="str">
            <v>HSRE1000XA-IIV</v>
          </cell>
          <cell r="B492"/>
          <cell r="C492">
            <v>1</v>
          </cell>
          <cell r="D492" t="str">
            <v>E10A1</v>
          </cell>
          <cell r="E492" t="str">
            <v>iloom</v>
          </cell>
        </row>
        <row r="493">
          <cell r="A493">
            <v>6970656739873</v>
          </cell>
          <cell r="B493"/>
          <cell r="C493">
            <v>32</v>
          </cell>
          <cell r="D493" t="str">
            <v>A8A0</v>
          </cell>
          <cell r="E493" t="str">
            <v>Oudon, Tasteabite</v>
          </cell>
        </row>
        <row r="494">
          <cell r="A494" t="str">
            <v>HSLE2000XB-KP</v>
          </cell>
          <cell r="B494" t="str">
            <v>Circle Bracket B (Stair type, 7ea)</v>
          </cell>
          <cell r="C494">
            <v>3</v>
          </cell>
          <cell r="D494" t="str">
            <v>E10A1</v>
          </cell>
          <cell r="E494" t="str">
            <v>iloom</v>
          </cell>
        </row>
        <row r="495">
          <cell r="A495" t="str">
            <v>HSLE2000XA-KP</v>
          </cell>
          <cell r="B495" t="str">
            <v>Circle Bracket B (Ladder type, 8ea)</v>
          </cell>
          <cell r="C495">
            <v>2</v>
          </cell>
          <cell r="D495" t="str">
            <v>E10A1</v>
          </cell>
          <cell r="E495" t="str">
            <v>iloom</v>
          </cell>
        </row>
        <row r="496">
          <cell r="A496" t="str">
            <v>HSQE0000CN-XX</v>
          </cell>
          <cell r="B496" t="str">
            <v>Lower Bed Caster</v>
          </cell>
          <cell r="C496">
            <v>1</v>
          </cell>
          <cell r="D496" t="str">
            <v>E9A1</v>
          </cell>
          <cell r="E496" t="str">
            <v>iloom</v>
          </cell>
        </row>
        <row r="497">
          <cell r="A497" t="str">
            <v>HU00Z04EEU-TS</v>
          </cell>
          <cell r="B497" t="str">
            <v>Assembling Bracket</v>
          </cell>
          <cell r="C497">
            <v>3</v>
          </cell>
          <cell r="D497" t="str">
            <v>E9A1</v>
          </cell>
          <cell r="E497" t="str">
            <v>iloom</v>
          </cell>
        </row>
        <row r="498">
          <cell r="A498" t="str">
            <v>HSLE2000XB-KS</v>
          </cell>
          <cell r="B498" t="str">
            <v>Circle Bracket B (Stair type, 7ea)</v>
          </cell>
          <cell r="C498">
            <v>2</v>
          </cell>
          <cell r="D498" t="str">
            <v>E10A1</v>
          </cell>
          <cell r="E498" t="str">
            <v>iloom</v>
          </cell>
        </row>
        <row r="499">
          <cell r="A499" t="str">
            <v>HSLE2000XA-KS</v>
          </cell>
          <cell r="B499" t="str">
            <v>Circle Bracket B (Ladder type, 8ea)</v>
          </cell>
          <cell r="C499">
            <v>3</v>
          </cell>
          <cell r="D499" t="str">
            <v>E10A1</v>
          </cell>
          <cell r="E499" t="str">
            <v>iloom</v>
          </cell>
        </row>
        <row r="500">
          <cell r="A500" t="str">
            <v>HSQA0005-GY</v>
          </cell>
          <cell r="B500" t="str">
            <v>Garander (1ea)</v>
          </cell>
          <cell r="C500">
            <v>7</v>
          </cell>
          <cell r="D500" t="str">
            <v>E9A1</v>
          </cell>
          <cell r="E500" t="str">
            <v>iloom</v>
          </cell>
        </row>
        <row r="501">
          <cell r="A501" t="str">
            <v>HCX0006R-SG</v>
          </cell>
          <cell r="B501"/>
          <cell r="C501">
            <v>9</v>
          </cell>
          <cell r="D501" t="str">
            <v>E10A1</v>
          </cell>
          <cell r="E501" t="str">
            <v>iloom</v>
          </cell>
        </row>
        <row r="502">
          <cell r="A502" t="str">
            <v>HSKX0100F-IIV</v>
          </cell>
          <cell r="B502"/>
          <cell r="C502">
            <v>16</v>
          </cell>
          <cell r="D502" t="str">
            <v>E9A1</v>
          </cell>
          <cell r="E502" t="str">
            <v>iloom</v>
          </cell>
        </row>
        <row r="503">
          <cell r="A503" t="str">
            <v>HCA0918-WH</v>
          </cell>
          <cell r="B503"/>
          <cell r="C503">
            <v>8</v>
          </cell>
          <cell r="D503" t="str">
            <v>E10A1</v>
          </cell>
          <cell r="E503" t="str">
            <v>iloom</v>
          </cell>
        </row>
        <row r="504">
          <cell r="A504" t="str">
            <v>HQE9002-XX</v>
          </cell>
          <cell r="B504"/>
          <cell r="C504">
            <v>1</v>
          </cell>
          <cell r="D504" t="str">
            <v>E9A1</v>
          </cell>
          <cell r="E504" t="str">
            <v>iloom</v>
          </cell>
        </row>
        <row r="505">
          <cell r="A505" t="str">
            <v>HSQA0004-LU</v>
          </cell>
          <cell r="B505" t="str">
            <v>Curtain (1ea)</v>
          </cell>
          <cell r="C505">
            <v>4</v>
          </cell>
          <cell r="D505" t="str">
            <v>E9A1</v>
          </cell>
          <cell r="E505" t="str">
            <v>iloom</v>
          </cell>
        </row>
        <row r="506">
          <cell r="A506" t="str">
            <v>HSWD0000C-WW</v>
          </cell>
          <cell r="B506"/>
          <cell r="C506">
            <v>3</v>
          </cell>
          <cell r="D506" t="str">
            <v>E9A1</v>
          </cell>
          <cell r="E506" t="str">
            <v>iloom</v>
          </cell>
        </row>
        <row r="507">
          <cell r="A507" t="str">
            <v>HCH0000SN-WW</v>
          </cell>
          <cell r="B507" t="str">
            <v xml:space="preserve">Oliver 100G Rotation Center Pipe </v>
          </cell>
          <cell r="C507">
            <v>9</v>
          </cell>
          <cell r="D507" t="str">
            <v>E9A1</v>
          </cell>
          <cell r="E507" t="str">
            <v>iloom</v>
          </cell>
        </row>
        <row r="508">
          <cell r="A508" t="str">
            <v>HSQE1010X-GY</v>
          </cell>
          <cell r="B508" t="str">
            <v>Lower Bed Guide</v>
          </cell>
          <cell r="C508">
            <v>7</v>
          </cell>
          <cell r="D508" t="str">
            <v>E9A1</v>
          </cell>
          <cell r="E508" t="str">
            <v>iloom</v>
          </cell>
        </row>
        <row r="509">
          <cell r="A509" t="str">
            <v>HSKA0041F-F979</v>
          </cell>
          <cell r="B509"/>
          <cell r="C509">
            <v>4</v>
          </cell>
          <cell r="D509" t="str">
            <v>E9A1</v>
          </cell>
          <cell r="E509" t="str">
            <v>iloom</v>
          </cell>
        </row>
        <row r="510">
          <cell r="A510" t="str">
            <v>HSKA0041F-F972</v>
          </cell>
          <cell r="B510"/>
          <cell r="C510">
            <v>2</v>
          </cell>
          <cell r="D510" t="str">
            <v>E9A1</v>
          </cell>
          <cell r="E510" t="str">
            <v>iloom</v>
          </cell>
        </row>
        <row r="511">
          <cell r="A511" t="str">
            <v>HCH0000FRN-WW</v>
          </cell>
          <cell r="B511"/>
          <cell r="C511">
            <v>9</v>
          </cell>
          <cell r="D511" t="str">
            <v>E9A1</v>
          </cell>
          <cell r="E511" t="str">
            <v>iloom</v>
          </cell>
        </row>
        <row r="512">
          <cell r="A512" t="str">
            <v>HSLA0050-KR</v>
          </cell>
          <cell r="B512" t="str">
            <v>500W PL Box</v>
          </cell>
          <cell r="C512">
            <v>9</v>
          </cell>
          <cell r="D512" t="str">
            <v>B6A0</v>
          </cell>
          <cell r="E512" t="str">
            <v>iloom</v>
          </cell>
        </row>
        <row r="513">
          <cell r="A513" t="str">
            <v>HSKA0002-IV</v>
          </cell>
          <cell r="B513"/>
          <cell r="C513">
            <v>49</v>
          </cell>
          <cell r="D513" t="str">
            <v>E9A1</v>
          </cell>
          <cell r="E513" t="str">
            <v>iloom</v>
          </cell>
        </row>
        <row r="514">
          <cell r="A514" t="str">
            <v>HSLA0050-KB</v>
          </cell>
          <cell r="B514" t="str">
            <v>500W PL Box</v>
          </cell>
          <cell r="C514">
            <v>8</v>
          </cell>
          <cell r="D514" t="str">
            <v>B6A0</v>
          </cell>
          <cell r="E514" t="str">
            <v>iloom</v>
          </cell>
        </row>
        <row r="515">
          <cell r="A515" t="str">
            <v>HSLA0050-IV</v>
          </cell>
          <cell r="B515" t="str">
            <v>500W PL Box</v>
          </cell>
          <cell r="C515">
            <v>5</v>
          </cell>
          <cell r="D515" t="str">
            <v>B6A0</v>
          </cell>
          <cell r="E515" t="str">
            <v>iloom</v>
          </cell>
        </row>
        <row r="516">
          <cell r="A516" t="str">
            <v>HSLA0051-IV</v>
          </cell>
          <cell r="B516" t="str">
            <v>500W PL Box Lid</v>
          </cell>
          <cell r="C516">
            <v>5</v>
          </cell>
          <cell r="D516" t="str">
            <v>B6A0</v>
          </cell>
          <cell r="E516" t="str">
            <v>iloom</v>
          </cell>
        </row>
        <row r="517">
          <cell r="A517" t="str">
            <v>HSLA0041-IV</v>
          </cell>
          <cell r="B517" t="str">
            <v>400W PL Box lid</v>
          </cell>
          <cell r="C517">
            <v>4</v>
          </cell>
          <cell r="D517" t="str">
            <v>B6A0</v>
          </cell>
          <cell r="E517" t="str">
            <v>iloom</v>
          </cell>
        </row>
        <row r="518">
          <cell r="A518">
            <v>5060462690459</v>
          </cell>
          <cell r="B518" t="str">
            <v>JAR MELO SILKY WASHABLE CRAYONS 36 COLORS</v>
          </cell>
          <cell r="C518">
            <v>192</v>
          </cell>
          <cell r="D518" t="str">
            <v>G6A0</v>
          </cell>
          <cell r="E518" t="str">
            <v>JAR MELO</v>
          </cell>
        </row>
        <row r="519">
          <cell r="A519"/>
          <cell r="B519"/>
          <cell r="C519"/>
          <cell r="D519"/>
          <cell r="E519"/>
        </row>
        <row r="520">
          <cell r="A520"/>
          <cell r="B520"/>
          <cell r="C520"/>
          <cell r="D520"/>
          <cell r="E520"/>
        </row>
        <row r="521">
          <cell r="A521"/>
          <cell r="B521"/>
          <cell r="C521"/>
          <cell r="D521"/>
          <cell r="E521"/>
        </row>
        <row r="522">
          <cell r="A522"/>
          <cell r="B522"/>
          <cell r="C522"/>
          <cell r="D522"/>
          <cell r="E522"/>
        </row>
        <row r="523">
          <cell r="A523"/>
          <cell r="B523"/>
          <cell r="C523"/>
          <cell r="D523"/>
          <cell r="E523"/>
        </row>
        <row r="524">
          <cell r="A524"/>
          <cell r="B524"/>
          <cell r="C524"/>
          <cell r="D524"/>
          <cell r="E524"/>
        </row>
        <row r="525">
          <cell r="A525"/>
          <cell r="B525"/>
          <cell r="C525"/>
          <cell r="D525"/>
          <cell r="E525"/>
        </row>
        <row r="526">
          <cell r="A526"/>
          <cell r="B526"/>
          <cell r="C526"/>
          <cell r="D526"/>
          <cell r="E526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F1387-8CF9-411B-802A-55A4047023F7}">
  <sheetPr codeName="Sheet4"/>
  <dimension ref="A2:N1779"/>
  <sheetViews>
    <sheetView zoomScale="115" zoomScaleNormal="115" workbookViewId="0">
      <selection activeCell="C3" sqref="C3"/>
    </sheetView>
  </sheetViews>
  <sheetFormatPr defaultColWidth="8.85546875" defaultRowHeight="12.75"/>
  <cols>
    <col min="1" max="1" width="8.5703125" style="37" customWidth="1"/>
    <col min="2" max="2" width="31.42578125" style="37" customWidth="1"/>
    <col min="3" max="3" width="43.85546875" style="37" customWidth="1"/>
    <col min="4" max="4" width="24.140625" style="37" customWidth="1"/>
    <col min="5" max="5" width="11.140625" style="37" customWidth="1"/>
    <col min="6" max="6" width="11.28515625" style="37" bestFit="1" customWidth="1"/>
    <col min="7" max="10" width="11.85546875" style="37" bestFit="1" customWidth="1"/>
    <col min="11" max="11" width="11.85546875" style="41" bestFit="1" customWidth="1"/>
    <col min="12" max="12" width="11.85546875" style="37" bestFit="1" customWidth="1"/>
    <col min="13" max="13" width="12.42578125" style="24" customWidth="1"/>
    <col min="14" max="14" width="12.5703125" style="41" customWidth="1"/>
    <col min="15" max="15" width="16.7109375" style="41" customWidth="1"/>
    <col min="16" max="16384" width="8.85546875" style="41"/>
  </cols>
  <sheetData>
    <row r="2" spans="1:14">
      <c r="B2" s="40" t="s">
        <v>0</v>
      </c>
      <c r="C2" s="50" t="s">
        <v>37</v>
      </c>
    </row>
    <row r="3" spans="1:14">
      <c r="B3" s="40" t="s">
        <v>33</v>
      </c>
      <c r="C3" s="51"/>
      <c r="E3" s="60" t="s">
        <v>31</v>
      </c>
      <c r="F3" s="60"/>
    </row>
    <row r="4" spans="1:14" ht="14.25">
      <c r="B4" s="40" t="s">
        <v>1</v>
      </c>
      <c r="C4" s="52"/>
      <c r="E4" s="42" t="s">
        <v>32</v>
      </c>
      <c r="F4" s="42">
        <f>COUNTIF(D12:D1048576, "&lt;&gt;")</f>
        <v>0</v>
      </c>
    </row>
    <row r="5" spans="1:14" ht="14.25">
      <c r="B5" s="40" t="s">
        <v>26</v>
      </c>
      <c r="C5" s="52" t="s">
        <v>38</v>
      </c>
      <c r="E5" s="42" t="s">
        <v>36</v>
      </c>
      <c r="F5" s="42">
        <v>0</v>
      </c>
    </row>
    <row r="6" spans="1:14">
      <c r="B6" s="40" t="s">
        <v>2</v>
      </c>
      <c r="C6" s="52" t="s">
        <v>14</v>
      </c>
    </row>
    <row r="7" spans="1:14">
      <c r="B7" s="40" t="str">
        <f>"REQUESTED "&amp;C5&amp;" DATE:"</f>
        <v>REQUESTED PLEASE SELECT DATE:</v>
      </c>
      <c r="C7" s="53">
        <f ca="1">TODAY()+2</f>
        <v>45654</v>
      </c>
    </row>
    <row r="8" spans="1:14" ht="29.25" customHeight="1">
      <c r="B8" s="40" t="s">
        <v>3</v>
      </c>
      <c r="C8" s="54" t="s">
        <v>37</v>
      </c>
    </row>
    <row r="9" spans="1:14">
      <c r="B9" s="40" t="s">
        <v>4</v>
      </c>
      <c r="C9" s="52" t="s">
        <v>27</v>
      </c>
    </row>
    <row r="11" spans="1:14" s="46" customFormat="1" ht="51">
      <c r="A11" s="43" t="s">
        <v>5</v>
      </c>
      <c r="B11" s="44" t="s">
        <v>21</v>
      </c>
      <c r="C11" s="44" t="s">
        <v>6</v>
      </c>
      <c r="D11" s="44" t="s">
        <v>22</v>
      </c>
      <c r="E11" s="43" t="s">
        <v>28</v>
      </c>
      <c r="F11" s="45" t="s">
        <v>29</v>
      </c>
      <c r="G11" s="38" t="s">
        <v>23</v>
      </c>
      <c r="H11" s="38" t="s">
        <v>7</v>
      </c>
      <c r="I11" s="38" t="s">
        <v>24</v>
      </c>
      <c r="J11" s="38" t="s">
        <v>8</v>
      </c>
      <c r="K11" s="38" t="s">
        <v>25</v>
      </c>
      <c r="L11" s="38" t="s">
        <v>9</v>
      </c>
      <c r="M11" s="38" t="s">
        <v>20</v>
      </c>
      <c r="N11" s="38" t="s">
        <v>10</v>
      </c>
    </row>
    <row r="12" spans="1:14">
      <c r="A12" s="37">
        <f>ROW(A12)-11</f>
        <v>1</v>
      </c>
      <c r="B12" s="24"/>
      <c r="C12" s="24"/>
      <c r="D12" s="24"/>
      <c r="E12" s="24"/>
      <c r="F12" s="24"/>
      <c r="G12" s="48" t="str">
        <f>IF(F12=""," ",IF(ISNA(VLOOKUP(D12,'[2]stock-take'!$A:$E,4,FALSE)), "OUT OF STOCK", VLOOKUP(D12,'[2]stock-take'!$A:$E,4,FALSE)))</f>
        <v xml:space="preserve"> </v>
      </c>
      <c r="H12" s="48">
        <f>IF(ISNA(VLOOKUP(D12,'[2]stock-take'!$A:$E,3,FALSE)), 0, VLOOKUP(D12,'[2]stock-take'!$A:$E,3,FALSE))</f>
        <v>0</v>
      </c>
      <c r="I12" s="48" t="str">
        <f>IF(F12="", " ",IF(ISNA(VLOOKUP(D12,'[2]stock-take'!$G:$K,4,FALSE)), "OUT OF STOCK", VLOOKUP(D12,'[2]stock-take'!$G:$K,4,FALSE)))</f>
        <v xml:space="preserve"> </v>
      </c>
      <c r="J12" s="39">
        <f>IF(ISNA(VLOOKUP(D12,'[2]stock-take'!$G:$K,3,FALSE)), 0, VLOOKUP(D12,'[2]stock-take'!$G:$K,3,FALSE))</f>
        <v>0</v>
      </c>
      <c r="K12" s="49" t="str">
        <f>IF(F12="", " ", IF(ISNA(VLOOKUP(D12,'[2]stock-take'!$M:$Q,4,FALSE)), "OUT OF STOCK", VLOOKUP(D12,'[2]stock-take'!$M:$Q,4,FALSE)))</f>
        <v xml:space="preserve"> </v>
      </c>
      <c r="L12" s="47">
        <f>IF(ISNA(VLOOKUP(D12,'[2]stock-take'!$M:$Q,3,FALSE)), 0, VLOOKUP(D12,'[2]stock-take'!$M:$Q,3,FALSE))</f>
        <v>0</v>
      </c>
      <c r="M12" s="48" t="str">
        <f>IF(F12=""," ",IF(H12&gt;=F12,"Y",IF(J12&gt;=F12,"Y",IF(L12&gt;=F12,"Y",IF(SUM(H12,J12,L12)&gt;=F12,"Y","N")))))</f>
        <v xml:space="preserve"> </v>
      </c>
      <c r="N12" s="39" t="str">
        <f>IF(F12=""," ",IF(H12&gt;=F12,"ILOOM",IF(J12&gt;=F12,"NO.6",IF(L12&gt;=F12,"RMD",IF(SUM(H12,J12,L12)&gt;=F12,"MULTI","LACK")))))</f>
        <v xml:space="preserve"> </v>
      </c>
    </row>
    <row r="13" spans="1:14">
      <c r="A13" s="37">
        <f>ROW(A13)-11</f>
        <v>2</v>
      </c>
      <c r="B13" s="24"/>
      <c r="C13" s="24"/>
      <c r="D13" s="24"/>
      <c r="E13" s="24"/>
      <c r="F13" s="24"/>
      <c r="G13" s="48" t="str">
        <f>IF(F13=""," ",IF(ISNA(VLOOKUP(D13,'[2]stock-take'!$A:$E,4,FALSE)), "OUT OF STOCK", VLOOKUP(D13,'[2]stock-take'!$A:$E,4,FALSE)))</f>
        <v xml:space="preserve"> </v>
      </c>
      <c r="H13" s="48">
        <f>IF(ISNA(VLOOKUP(D13,'[2]stock-take'!$A:$E,3,FALSE)), 0, VLOOKUP(D13,'[2]stock-take'!$A:$E,3,FALSE))</f>
        <v>0</v>
      </c>
      <c r="I13" s="48" t="str">
        <f>IF(F13="", " ",IF(ISNA(VLOOKUP(D13,'[2]stock-take'!$G:$K,4,FALSE)), "OUT OF STOCK", VLOOKUP(D13,'[2]stock-take'!$G:$K,4,FALSE)))</f>
        <v xml:space="preserve"> </v>
      </c>
      <c r="J13" s="39">
        <f>IF(ISNA(VLOOKUP(D13,'[2]stock-take'!$G:$K,3,FALSE)), 0, VLOOKUP(D13,'[2]stock-take'!$G:$K,3,FALSE))</f>
        <v>0</v>
      </c>
      <c r="K13" s="49" t="str">
        <f>IF(F13="", " ", IF(ISNA(VLOOKUP(D13,'[2]stock-take'!$M:$Q,4,FALSE)), "OUT OF STOCK", VLOOKUP(D13,'[2]stock-take'!$M:$Q,4,FALSE)))</f>
        <v xml:space="preserve"> </v>
      </c>
      <c r="L13" s="47">
        <f>IF(ISNA(VLOOKUP(D13,'[2]stock-take'!$M:$Q,3,FALSE)), 0, VLOOKUP(D13,'[2]stock-take'!$M:$Q,3,FALSE))</f>
        <v>0</v>
      </c>
      <c r="M13" s="48" t="str">
        <f t="shared" ref="M13:M76" si="0">IF(F13=""," ",IF(H13&gt;=F13,"Y",IF(J13&gt;=F13,"Y",IF(L13&gt;=F13,"Y",IF(SUM(H13,J13,L13)&gt;=F13,"Y","N")))))</f>
        <v xml:space="preserve"> </v>
      </c>
      <c r="N13" s="39" t="str">
        <f t="shared" ref="N13:N76" si="1">IF(F13=""," ",IF(H13&gt;=F13,"ILOOM",IF(J13&gt;=F13,"NO.6",IF(L13&gt;=F13,"RMD",IF(SUM(H13,J13,L13)&gt;=F13,"MULTI","LACK")))))</f>
        <v xml:space="preserve"> </v>
      </c>
    </row>
    <row r="14" spans="1:14">
      <c r="A14" s="37">
        <f t="shared" ref="A14:A75" si="2">ROW(A14)-11</f>
        <v>3</v>
      </c>
      <c r="B14" s="24"/>
      <c r="C14" s="24"/>
      <c r="D14" s="24"/>
      <c r="E14" s="24"/>
      <c r="F14" s="24"/>
      <c r="G14" s="48" t="str">
        <f>IF(F14=""," ",IF(ISNA(VLOOKUP(D14,'[2]stock-take'!$A:$E,4,FALSE)), "OUT OF STOCK", VLOOKUP(D14,'[2]stock-take'!$A:$E,4,FALSE)))</f>
        <v xml:space="preserve"> </v>
      </c>
      <c r="H14" s="48">
        <f>IF(ISNA(VLOOKUP(D14,'[2]stock-take'!$A:$E,3,FALSE)), 0, VLOOKUP(D14,'[2]stock-take'!$A:$E,3,FALSE))</f>
        <v>0</v>
      </c>
      <c r="I14" s="48" t="str">
        <f>IF(F14="", " ",IF(ISNA(VLOOKUP(D14,'[2]stock-take'!$G:$K,4,FALSE)), "OUT OF STOCK", VLOOKUP(D14,'[2]stock-take'!$G:$K,4,FALSE)))</f>
        <v xml:space="preserve"> </v>
      </c>
      <c r="J14" s="39">
        <f>IF(ISNA(VLOOKUP(D14,'[2]stock-take'!$G:$K,3,FALSE)), 0, VLOOKUP(D14,'[2]stock-take'!$G:$K,3,FALSE))</f>
        <v>0</v>
      </c>
      <c r="K14" s="49" t="str">
        <f>IF(F14="", " ", IF(ISNA(VLOOKUP(D14,'[2]stock-take'!$M:$Q,4,FALSE)), "OUT OF STOCK", VLOOKUP(D14,'[2]stock-take'!$M:$Q,4,FALSE)))</f>
        <v xml:space="preserve"> </v>
      </c>
      <c r="L14" s="47">
        <f>IF(ISNA(VLOOKUP(D14,'[2]stock-take'!$M:$Q,3,FALSE)), 0, VLOOKUP(D14,'[2]stock-take'!$M:$Q,3,FALSE))</f>
        <v>0</v>
      </c>
      <c r="M14" s="48" t="str">
        <f t="shared" si="0"/>
        <v xml:space="preserve"> </v>
      </c>
      <c r="N14" s="39" t="str">
        <f t="shared" si="1"/>
        <v xml:space="preserve"> </v>
      </c>
    </row>
    <row r="15" spans="1:14">
      <c r="A15" s="37">
        <f t="shared" si="2"/>
        <v>4</v>
      </c>
      <c r="B15" s="24"/>
      <c r="C15" s="24"/>
      <c r="D15" s="24"/>
      <c r="E15" s="24"/>
      <c r="F15" s="24"/>
      <c r="G15" s="48" t="str">
        <f>IF(F15=""," ",IF(ISNA(VLOOKUP(D15,'[2]stock-take'!$A:$E,4,FALSE)), "OUT OF STOCK", VLOOKUP(D15,'[2]stock-take'!$A:$E,4,FALSE)))</f>
        <v xml:space="preserve"> </v>
      </c>
      <c r="H15" s="48">
        <f>IF(ISNA(VLOOKUP(D15,'[2]stock-take'!$A:$E,3,FALSE)), 0, VLOOKUP(D15,'[2]stock-take'!$A:$E,3,FALSE))</f>
        <v>0</v>
      </c>
      <c r="I15" s="48" t="str">
        <f>IF(F15="", " ",IF(ISNA(VLOOKUP(D15,'[2]stock-take'!$G:$K,4,FALSE)), "OUT OF STOCK", VLOOKUP(D15,'[2]stock-take'!$G:$K,4,FALSE)))</f>
        <v xml:space="preserve"> </v>
      </c>
      <c r="J15" s="39">
        <f>IF(ISNA(VLOOKUP(D15,'[2]stock-take'!$G:$K,3,FALSE)), 0, VLOOKUP(D15,'[2]stock-take'!$G:$K,3,FALSE))</f>
        <v>0</v>
      </c>
      <c r="K15" s="49" t="str">
        <f>IF(F15="", " ", IF(ISNA(VLOOKUP(D15,'[2]stock-take'!$M:$Q,4,FALSE)), "OUT OF STOCK", VLOOKUP(D15,'[2]stock-take'!$M:$Q,4,FALSE)))</f>
        <v xml:space="preserve"> </v>
      </c>
      <c r="L15" s="47">
        <f>IF(ISNA(VLOOKUP(D15,'[2]stock-take'!$M:$Q,3,FALSE)), 0, VLOOKUP(D15,'[2]stock-take'!$M:$Q,3,FALSE))</f>
        <v>0</v>
      </c>
      <c r="M15" s="48" t="str">
        <f t="shared" si="0"/>
        <v xml:space="preserve"> </v>
      </c>
      <c r="N15" s="39" t="str">
        <f t="shared" si="1"/>
        <v xml:space="preserve"> </v>
      </c>
    </row>
    <row r="16" spans="1:14">
      <c r="A16" s="37">
        <f t="shared" si="2"/>
        <v>5</v>
      </c>
      <c r="B16" s="24"/>
      <c r="C16" s="24"/>
      <c r="D16" s="24"/>
      <c r="E16" s="24"/>
      <c r="F16" s="24"/>
      <c r="G16" s="48" t="str">
        <f>IF(F16=""," ",IF(ISNA(VLOOKUP(D16,'[2]stock-take'!$A:$E,4,FALSE)), "OUT OF STOCK", VLOOKUP(D16,'[2]stock-take'!$A:$E,4,FALSE)))</f>
        <v xml:space="preserve"> </v>
      </c>
      <c r="H16" s="48">
        <f>IF(ISNA(VLOOKUP(D16,'[2]stock-take'!$A:$E,3,FALSE)), 0, VLOOKUP(D16,'[2]stock-take'!$A:$E,3,FALSE))</f>
        <v>0</v>
      </c>
      <c r="I16" s="48" t="str">
        <f>IF(F16="", " ",IF(ISNA(VLOOKUP(D16,'[2]stock-take'!$G:$K,4,FALSE)), "OUT OF STOCK", VLOOKUP(D16,'[2]stock-take'!$G:$K,4,FALSE)))</f>
        <v xml:space="preserve"> </v>
      </c>
      <c r="J16" s="39">
        <f>IF(ISNA(VLOOKUP(D16,'[2]stock-take'!$G:$K,3,FALSE)), 0, VLOOKUP(D16,'[2]stock-take'!$G:$K,3,FALSE))</f>
        <v>0</v>
      </c>
      <c r="K16" s="49" t="str">
        <f>IF(F16="", " ", IF(ISNA(VLOOKUP(D16,'[2]stock-take'!$M:$Q,4,FALSE)), "OUT OF STOCK", VLOOKUP(D16,'[2]stock-take'!$M:$Q,4,FALSE)))</f>
        <v xml:space="preserve"> </v>
      </c>
      <c r="L16" s="47">
        <f>IF(ISNA(VLOOKUP(D16,'[2]stock-take'!$M:$Q,3,FALSE)), 0, VLOOKUP(D16,'[2]stock-take'!$M:$Q,3,FALSE))</f>
        <v>0</v>
      </c>
      <c r="M16" s="48" t="str">
        <f t="shared" si="0"/>
        <v xml:space="preserve"> </v>
      </c>
      <c r="N16" s="39" t="str">
        <f t="shared" si="1"/>
        <v xml:space="preserve"> </v>
      </c>
    </row>
    <row r="17" spans="1:14">
      <c r="A17" s="37">
        <f t="shared" si="2"/>
        <v>6</v>
      </c>
      <c r="B17" s="24"/>
      <c r="C17" s="24"/>
      <c r="D17" s="24"/>
      <c r="E17" s="24"/>
      <c r="F17" s="24"/>
      <c r="G17" s="48" t="str">
        <f>IF(F17=""," ",IF(ISNA(VLOOKUP(D17,'[2]stock-take'!$A:$E,4,FALSE)), "OUT OF STOCK", VLOOKUP(D17,'[2]stock-take'!$A:$E,4,FALSE)))</f>
        <v xml:space="preserve"> </v>
      </c>
      <c r="H17" s="48">
        <f>IF(ISNA(VLOOKUP(D17,'[2]stock-take'!$A:$E,3,FALSE)), 0, VLOOKUP(D17,'[2]stock-take'!$A:$E,3,FALSE))</f>
        <v>0</v>
      </c>
      <c r="I17" s="48" t="str">
        <f>IF(F17="", " ",IF(ISNA(VLOOKUP(D17,'[2]stock-take'!$G:$K,4,FALSE)), "OUT OF STOCK", VLOOKUP(D17,'[2]stock-take'!$G:$K,4,FALSE)))</f>
        <v xml:space="preserve"> </v>
      </c>
      <c r="J17" s="39">
        <f>IF(ISNA(VLOOKUP(D17,'[2]stock-take'!$G:$K,3,FALSE)), 0, VLOOKUP(D17,'[2]stock-take'!$G:$K,3,FALSE))</f>
        <v>0</v>
      </c>
      <c r="K17" s="49" t="str">
        <f>IF(F17="", " ", IF(ISNA(VLOOKUP(D17,'[2]stock-take'!$M:$Q,4,FALSE)), "OUT OF STOCK", VLOOKUP(D17,'[2]stock-take'!$M:$Q,4,FALSE)))</f>
        <v xml:space="preserve"> </v>
      </c>
      <c r="L17" s="47">
        <f>IF(ISNA(VLOOKUP(D17,'[2]stock-take'!$M:$Q,3,FALSE)), 0, VLOOKUP(D17,'[2]stock-take'!$M:$Q,3,FALSE))</f>
        <v>0</v>
      </c>
      <c r="M17" s="48" t="str">
        <f t="shared" si="0"/>
        <v xml:space="preserve"> </v>
      </c>
      <c r="N17" s="39" t="str">
        <f t="shared" si="1"/>
        <v xml:space="preserve"> </v>
      </c>
    </row>
    <row r="18" spans="1:14">
      <c r="A18" s="37">
        <f t="shared" si="2"/>
        <v>7</v>
      </c>
      <c r="B18" s="24"/>
      <c r="C18" s="24"/>
      <c r="D18" s="24"/>
      <c r="E18" s="24"/>
      <c r="F18" s="24"/>
      <c r="G18" s="48" t="str">
        <f>IF(F18=""," ",IF(ISNA(VLOOKUP(D18,'[2]stock-take'!$A:$E,4,FALSE)), "OUT OF STOCK", VLOOKUP(D18,'[2]stock-take'!$A:$E,4,FALSE)))</f>
        <v xml:space="preserve"> </v>
      </c>
      <c r="H18" s="48">
        <f>IF(ISNA(VLOOKUP(D18,'[2]stock-take'!$A:$E,3,FALSE)), 0, VLOOKUP(D18,'[2]stock-take'!$A:$E,3,FALSE))</f>
        <v>0</v>
      </c>
      <c r="I18" s="48" t="str">
        <f>IF(F18="", " ",IF(ISNA(VLOOKUP(D18,'[2]stock-take'!$G:$K,4,FALSE)), "OUT OF STOCK", VLOOKUP(D18,'[2]stock-take'!$G:$K,4,FALSE)))</f>
        <v xml:space="preserve"> </v>
      </c>
      <c r="J18" s="39">
        <f>IF(ISNA(VLOOKUP(D18,'[2]stock-take'!$G:$K,3,FALSE)), 0, VLOOKUP(D18,'[2]stock-take'!$G:$K,3,FALSE))</f>
        <v>0</v>
      </c>
      <c r="K18" s="49" t="str">
        <f>IF(F18="", " ", IF(ISNA(VLOOKUP(D18,'[2]stock-take'!$M:$Q,4,FALSE)), "OUT OF STOCK", VLOOKUP(D18,'[2]stock-take'!$M:$Q,4,FALSE)))</f>
        <v xml:space="preserve"> </v>
      </c>
      <c r="L18" s="47">
        <f>IF(ISNA(VLOOKUP(D18,'[2]stock-take'!$M:$Q,3,FALSE)), 0, VLOOKUP(D18,'[2]stock-take'!$M:$Q,3,FALSE))</f>
        <v>0</v>
      </c>
      <c r="M18" s="48" t="str">
        <f t="shared" si="0"/>
        <v xml:space="preserve"> </v>
      </c>
      <c r="N18" s="39" t="str">
        <f t="shared" si="1"/>
        <v xml:space="preserve"> </v>
      </c>
    </row>
    <row r="19" spans="1:14">
      <c r="A19" s="37">
        <f t="shared" si="2"/>
        <v>8</v>
      </c>
      <c r="B19" s="24"/>
      <c r="C19" s="24"/>
      <c r="D19" s="24"/>
      <c r="E19" s="24"/>
      <c r="F19" s="24"/>
      <c r="G19" s="48" t="str">
        <f>IF(F19=""," ",IF(ISNA(VLOOKUP(D19,'[2]stock-take'!$A:$E,4,FALSE)), "OUT OF STOCK", VLOOKUP(D19,'[2]stock-take'!$A:$E,4,FALSE)))</f>
        <v xml:space="preserve"> </v>
      </c>
      <c r="H19" s="48">
        <f>IF(ISNA(VLOOKUP(D19,'[2]stock-take'!$A:$E,3,FALSE)), 0, VLOOKUP(D19,'[2]stock-take'!$A:$E,3,FALSE))</f>
        <v>0</v>
      </c>
      <c r="I19" s="48" t="str">
        <f>IF(F19="", " ",IF(ISNA(VLOOKUP(D19,'[2]stock-take'!$G:$K,4,FALSE)), "OUT OF STOCK", VLOOKUP(D19,'[2]stock-take'!$G:$K,4,FALSE)))</f>
        <v xml:space="preserve"> </v>
      </c>
      <c r="J19" s="39">
        <f>IF(ISNA(VLOOKUP(D19,'[2]stock-take'!$G:$K,3,FALSE)), 0, VLOOKUP(D19,'[2]stock-take'!$G:$K,3,FALSE))</f>
        <v>0</v>
      </c>
      <c r="K19" s="49" t="str">
        <f>IF(F19="", " ", IF(ISNA(VLOOKUP(D19,'[2]stock-take'!$M:$Q,4,FALSE)), "OUT OF STOCK", VLOOKUP(D19,'[2]stock-take'!$M:$Q,4,FALSE)))</f>
        <v xml:space="preserve"> </v>
      </c>
      <c r="L19" s="47">
        <f>IF(ISNA(VLOOKUP(D19,'[2]stock-take'!$M:$Q,3,FALSE)), 0, VLOOKUP(D19,'[2]stock-take'!$M:$Q,3,FALSE))</f>
        <v>0</v>
      </c>
      <c r="M19" s="48" t="str">
        <f t="shared" si="0"/>
        <v xml:space="preserve"> </v>
      </c>
      <c r="N19" s="39" t="str">
        <f t="shared" si="1"/>
        <v xml:space="preserve"> </v>
      </c>
    </row>
    <row r="20" spans="1:14">
      <c r="A20" s="37">
        <f t="shared" si="2"/>
        <v>9</v>
      </c>
      <c r="B20" s="24"/>
      <c r="C20" s="24"/>
      <c r="D20" s="24"/>
      <c r="E20" s="24"/>
      <c r="F20" s="24"/>
      <c r="G20" s="48" t="str">
        <f>IF(F20=""," ",IF(ISNA(VLOOKUP(D20,'[2]stock-take'!$A:$E,4,FALSE)), "OUT OF STOCK", VLOOKUP(D20,'[2]stock-take'!$A:$E,4,FALSE)))</f>
        <v xml:space="preserve"> </v>
      </c>
      <c r="H20" s="48">
        <f>IF(ISNA(VLOOKUP(D20,'[2]stock-take'!$A:$E,3,FALSE)), 0, VLOOKUP(D20,'[2]stock-take'!$A:$E,3,FALSE))</f>
        <v>0</v>
      </c>
      <c r="I20" s="48" t="str">
        <f>IF(F20="", " ",IF(ISNA(VLOOKUP(D20,'[2]stock-take'!$G:$K,4,FALSE)), "OUT OF STOCK", VLOOKUP(D20,'[2]stock-take'!$G:$K,4,FALSE)))</f>
        <v xml:space="preserve"> </v>
      </c>
      <c r="J20" s="39">
        <f>IF(ISNA(VLOOKUP(D20,'[2]stock-take'!$G:$K,3,FALSE)), 0, VLOOKUP(D20,'[2]stock-take'!$G:$K,3,FALSE))</f>
        <v>0</v>
      </c>
      <c r="K20" s="49" t="str">
        <f>IF(F20="", " ", IF(ISNA(VLOOKUP(D20,'[2]stock-take'!$M:$Q,4,FALSE)), "OUT OF STOCK", VLOOKUP(D20,'[2]stock-take'!$M:$Q,4,FALSE)))</f>
        <v xml:space="preserve"> </v>
      </c>
      <c r="L20" s="47">
        <f>IF(ISNA(VLOOKUP(D20,'[2]stock-take'!$M:$Q,3,FALSE)), 0, VLOOKUP(D20,'[2]stock-take'!$M:$Q,3,FALSE))</f>
        <v>0</v>
      </c>
      <c r="M20" s="48" t="str">
        <f t="shared" si="0"/>
        <v xml:space="preserve"> </v>
      </c>
      <c r="N20" s="39" t="str">
        <f t="shared" si="1"/>
        <v xml:space="preserve"> </v>
      </c>
    </row>
    <row r="21" spans="1:14">
      <c r="A21" s="37">
        <f t="shared" si="2"/>
        <v>10</v>
      </c>
      <c r="B21" s="24"/>
      <c r="C21" s="24"/>
      <c r="D21" s="24"/>
      <c r="E21" s="24"/>
      <c r="F21" s="24"/>
      <c r="G21" s="48" t="str">
        <f>IF(F21=""," ",IF(ISNA(VLOOKUP(D21,'[2]stock-take'!$A:$E,4,FALSE)), "OUT OF STOCK", VLOOKUP(D21,'[2]stock-take'!$A:$E,4,FALSE)))</f>
        <v xml:space="preserve"> </v>
      </c>
      <c r="H21" s="48">
        <f>IF(ISNA(VLOOKUP(D21,'[2]stock-take'!$A:$E,3,FALSE)), 0, VLOOKUP(D21,'[2]stock-take'!$A:$E,3,FALSE))</f>
        <v>0</v>
      </c>
      <c r="I21" s="48" t="str">
        <f>IF(F21="", " ",IF(ISNA(VLOOKUP(D21,'[2]stock-take'!$G:$K,4,FALSE)), "OUT OF STOCK", VLOOKUP(D21,'[2]stock-take'!$G:$K,4,FALSE)))</f>
        <v xml:space="preserve"> </v>
      </c>
      <c r="J21" s="39">
        <f>IF(ISNA(VLOOKUP(D21,'[2]stock-take'!$G:$K,3,FALSE)), 0, VLOOKUP(D21,'[2]stock-take'!$G:$K,3,FALSE))</f>
        <v>0</v>
      </c>
      <c r="K21" s="49" t="str">
        <f>IF(F21="", " ", IF(ISNA(VLOOKUP(D21,'[2]stock-take'!$M:$Q,4,FALSE)), "OUT OF STOCK", VLOOKUP(D21,'[2]stock-take'!$M:$Q,4,FALSE)))</f>
        <v xml:space="preserve"> </v>
      </c>
      <c r="L21" s="47">
        <f>IF(ISNA(VLOOKUP(D21,'[2]stock-take'!$M:$Q,3,FALSE)), 0, VLOOKUP(D21,'[2]stock-take'!$M:$Q,3,FALSE))</f>
        <v>0</v>
      </c>
      <c r="M21" s="48" t="str">
        <f t="shared" si="0"/>
        <v xml:space="preserve"> </v>
      </c>
      <c r="N21" s="39" t="str">
        <f t="shared" si="1"/>
        <v xml:space="preserve"> </v>
      </c>
    </row>
    <row r="22" spans="1:14">
      <c r="A22" s="37">
        <f t="shared" si="2"/>
        <v>11</v>
      </c>
      <c r="B22" s="24"/>
      <c r="C22" s="24"/>
      <c r="D22" s="24"/>
      <c r="E22" s="24"/>
      <c r="F22" s="24"/>
      <c r="G22" s="48" t="str">
        <f>IF(F22=""," ",IF(ISNA(VLOOKUP(D22,'[2]stock-take'!$A:$E,4,FALSE)), "OUT OF STOCK", VLOOKUP(D22,'[2]stock-take'!$A:$E,4,FALSE)))</f>
        <v xml:space="preserve"> </v>
      </c>
      <c r="H22" s="48">
        <f>IF(ISNA(VLOOKUP(D22,'[2]stock-take'!$A:$E,3,FALSE)), 0, VLOOKUP(D22,'[2]stock-take'!$A:$E,3,FALSE))</f>
        <v>0</v>
      </c>
      <c r="I22" s="48" t="str">
        <f>IF(F22="", " ",IF(ISNA(VLOOKUP(D22,'[2]stock-take'!$G:$K,4,FALSE)), "OUT OF STOCK", VLOOKUP(D22,'[2]stock-take'!$G:$K,4,FALSE)))</f>
        <v xml:space="preserve"> </v>
      </c>
      <c r="J22" s="39">
        <f>IF(ISNA(VLOOKUP(D22,'[2]stock-take'!$G:$K,3,FALSE)), 0, VLOOKUP(D22,'[2]stock-take'!$G:$K,3,FALSE))</f>
        <v>0</v>
      </c>
      <c r="K22" s="49" t="str">
        <f>IF(F22="", " ", IF(ISNA(VLOOKUP(D22,'[2]stock-take'!$M:$Q,4,FALSE)), "OUT OF STOCK", VLOOKUP(D22,'[2]stock-take'!$M:$Q,4,FALSE)))</f>
        <v xml:space="preserve"> </v>
      </c>
      <c r="L22" s="47">
        <f>IF(ISNA(VLOOKUP(D22,'[2]stock-take'!$M:$Q,3,FALSE)), 0, VLOOKUP(D22,'[2]stock-take'!$M:$Q,3,FALSE))</f>
        <v>0</v>
      </c>
      <c r="M22" s="48" t="str">
        <f t="shared" si="0"/>
        <v xml:space="preserve"> </v>
      </c>
      <c r="N22" s="39" t="str">
        <f t="shared" si="1"/>
        <v xml:space="preserve"> </v>
      </c>
    </row>
    <row r="23" spans="1:14">
      <c r="A23" s="37">
        <f t="shared" si="2"/>
        <v>12</v>
      </c>
      <c r="B23" s="24"/>
      <c r="C23" s="24"/>
      <c r="D23" s="24"/>
      <c r="E23" s="24"/>
      <c r="F23" s="24"/>
      <c r="G23" s="48" t="str">
        <f>IF(F23=""," ",IF(ISNA(VLOOKUP(D23,'[2]stock-take'!$A:$E,4,FALSE)), "OUT OF STOCK", VLOOKUP(D23,'[2]stock-take'!$A:$E,4,FALSE)))</f>
        <v xml:space="preserve"> </v>
      </c>
      <c r="H23" s="48">
        <f>IF(ISNA(VLOOKUP(D23,'[2]stock-take'!$A:$E,3,FALSE)), 0, VLOOKUP(D23,'[2]stock-take'!$A:$E,3,FALSE))</f>
        <v>0</v>
      </c>
      <c r="I23" s="48" t="str">
        <f>IF(F23="", " ",IF(ISNA(VLOOKUP(D23,'[2]stock-take'!$G:$K,4,FALSE)), "OUT OF STOCK", VLOOKUP(D23,'[2]stock-take'!$G:$K,4,FALSE)))</f>
        <v xml:space="preserve"> </v>
      </c>
      <c r="J23" s="39">
        <f>IF(ISNA(VLOOKUP(D23,'[2]stock-take'!$G:$K,3,FALSE)), 0, VLOOKUP(D23,'[2]stock-take'!$G:$K,3,FALSE))</f>
        <v>0</v>
      </c>
      <c r="K23" s="49" t="str">
        <f>IF(F23="", " ", IF(ISNA(VLOOKUP(D23,'[2]stock-take'!$M:$Q,4,FALSE)), "OUT OF STOCK", VLOOKUP(D23,'[2]stock-take'!$M:$Q,4,FALSE)))</f>
        <v xml:space="preserve"> </v>
      </c>
      <c r="L23" s="47">
        <f>IF(ISNA(VLOOKUP(D23,'[2]stock-take'!$M:$Q,3,FALSE)), 0, VLOOKUP(D23,'[2]stock-take'!$M:$Q,3,FALSE))</f>
        <v>0</v>
      </c>
      <c r="M23" s="48" t="str">
        <f t="shared" si="0"/>
        <v xml:space="preserve"> </v>
      </c>
      <c r="N23" s="39" t="str">
        <f t="shared" si="1"/>
        <v xml:space="preserve"> </v>
      </c>
    </row>
    <row r="24" spans="1:14">
      <c r="A24" s="37">
        <f t="shared" si="2"/>
        <v>13</v>
      </c>
      <c r="B24" s="24"/>
      <c r="C24" s="24"/>
      <c r="D24" s="24"/>
      <c r="E24" s="24"/>
      <c r="F24" s="24"/>
      <c r="G24" s="48" t="str">
        <f>IF(F24=""," ",IF(ISNA(VLOOKUP(D24,'[2]stock-take'!$A:$E,4,FALSE)), "OUT OF STOCK", VLOOKUP(D24,'[2]stock-take'!$A:$E,4,FALSE)))</f>
        <v xml:space="preserve"> </v>
      </c>
      <c r="H24" s="48">
        <f>IF(ISNA(VLOOKUP(D24,'[2]stock-take'!$A:$E,3,FALSE)), 0, VLOOKUP(D24,'[2]stock-take'!$A:$E,3,FALSE))</f>
        <v>0</v>
      </c>
      <c r="I24" s="48" t="str">
        <f>IF(F24="", " ",IF(ISNA(VLOOKUP(D24,'[2]stock-take'!$G:$K,4,FALSE)), "OUT OF STOCK", VLOOKUP(D24,'[2]stock-take'!$G:$K,4,FALSE)))</f>
        <v xml:space="preserve"> </v>
      </c>
      <c r="J24" s="39">
        <f>IF(ISNA(VLOOKUP(D24,'[2]stock-take'!$G:$K,3,FALSE)), 0, VLOOKUP(D24,'[2]stock-take'!$G:$K,3,FALSE))</f>
        <v>0</v>
      </c>
      <c r="K24" s="49" t="str">
        <f>IF(F24="", " ", IF(ISNA(VLOOKUP(D24,'[2]stock-take'!$M:$Q,4,FALSE)), "OUT OF STOCK", VLOOKUP(D24,'[2]stock-take'!$M:$Q,4,FALSE)))</f>
        <v xml:space="preserve"> </v>
      </c>
      <c r="L24" s="47">
        <f>IF(ISNA(VLOOKUP(D24,'[2]stock-take'!$M:$Q,3,FALSE)), 0, VLOOKUP(D24,'[2]stock-take'!$M:$Q,3,FALSE))</f>
        <v>0</v>
      </c>
      <c r="M24" s="48" t="str">
        <f t="shared" si="0"/>
        <v xml:space="preserve"> </v>
      </c>
      <c r="N24" s="39" t="str">
        <f t="shared" si="1"/>
        <v xml:space="preserve"> </v>
      </c>
    </row>
    <row r="25" spans="1:14">
      <c r="A25" s="37">
        <f t="shared" si="2"/>
        <v>14</v>
      </c>
      <c r="B25" s="24"/>
      <c r="C25" s="24"/>
      <c r="D25" s="24"/>
      <c r="E25" s="24"/>
      <c r="F25" s="24"/>
      <c r="G25" s="48" t="str">
        <f>IF(F25=""," ",IF(ISNA(VLOOKUP(D25,'[2]stock-take'!$A:$E,4,FALSE)), "OUT OF STOCK", VLOOKUP(D25,'[2]stock-take'!$A:$E,4,FALSE)))</f>
        <v xml:space="preserve"> </v>
      </c>
      <c r="H25" s="48">
        <f>IF(ISNA(VLOOKUP(D25,'[2]stock-take'!$A:$E,3,FALSE)), 0, VLOOKUP(D25,'[2]stock-take'!$A:$E,3,FALSE))</f>
        <v>0</v>
      </c>
      <c r="I25" s="48" t="str">
        <f>IF(F25="", " ",IF(ISNA(VLOOKUP(D25,'[2]stock-take'!$G:$K,4,FALSE)), "OUT OF STOCK", VLOOKUP(D25,'[2]stock-take'!$G:$K,4,FALSE)))</f>
        <v xml:space="preserve"> </v>
      </c>
      <c r="J25" s="39">
        <f>IF(ISNA(VLOOKUP(D25,'[2]stock-take'!$G:$K,3,FALSE)), 0, VLOOKUP(D25,'[2]stock-take'!$G:$K,3,FALSE))</f>
        <v>0</v>
      </c>
      <c r="K25" s="49" t="str">
        <f>IF(F25="", " ", IF(ISNA(VLOOKUP(D25,'[2]stock-take'!$M:$Q,4,FALSE)), "OUT OF STOCK", VLOOKUP(D25,'[2]stock-take'!$M:$Q,4,FALSE)))</f>
        <v xml:space="preserve"> </v>
      </c>
      <c r="L25" s="47">
        <f>IF(ISNA(VLOOKUP(D25,'[2]stock-take'!$M:$Q,3,FALSE)), 0, VLOOKUP(D25,'[2]stock-take'!$M:$Q,3,FALSE))</f>
        <v>0</v>
      </c>
      <c r="M25" s="48" t="str">
        <f t="shared" si="0"/>
        <v xml:space="preserve"> </v>
      </c>
      <c r="N25" s="39" t="str">
        <f t="shared" si="1"/>
        <v xml:space="preserve"> </v>
      </c>
    </row>
    <row r="26" spans="1:14">
      <c r="A26" s="37">
        <f t="shared" si="2"/>
        <v>15</v>
      </c>
      <c r="B26" s="24"/>
      <c r="C26" s="24"/>
      <c r="D26" s="24"/>
      <c r="E26" s="24"/>
      <c r="F26" s="24"/>
      <c r="G26" s="48" t="str">
        <f>IF(F26=""," ",IF(ISNA(VLOOKUP(D26,'[2]stock-take'!$A:$E,4,FALSE)), "OUT OF STOCK", VLOOKUP(D26,'[2]stock-take'!$A:$E,4,FALSE)))</f>
        <v xml:space="preserve"> </v>
      </c>
      <c r="H26" s="48">
        <f>IF(ISNA(VLOOKUP(D26,'[2]stock-take'!$A:$E,3,FALSE)), 0, VLOOKUP(D26,'[2]stock-take'!$A:$E,3,FALSE))</f>
        <v>0</v>
      </c>
      <c r="I26" s="48" t="str">
        <f>IF(F26="", " ",IF(ISNA(VLOOKUP(D26,'[2]stock-take'!$G:$K,4,FALSE)), "OUT OF STOCK", VLOOKUP(D26,'[2]stock-take'!$G:$K,4,FALSE)))</f>
        <v xml:space="preserve"> </v>
      </c>
      <c r="J26" s="39">
        <f>IF(ISNA(VLOOKUP(D26,'[2]stock-take'!$G:$K,3,FALSE)), 0, VLOOKUP(D26,'[2]stock-take'!$G:$K,3,FALSE))</f>
        <v>0</v>
      </c>
      <c r="K26" s="49" t="str">
        <f>IF(F26="", " ", IF(ISNA(VLOOKUP(D26,'[2]stock-take'!$M:$Q,4,FALSE)), "OUT OF STOCK", VLOOKUP(D26,'[2]stock-take'!$M:$Q,4,FALSE)))</f>
        <v xml:space="preserve"> </v>
      </c>
      <c r="L26" s="47">
        <f>IF(ISNA(VLOOKUP(D26,'[2]stock-take'!$M:$Q,3,FALSE)), 0, VLOOKUP(D26,'[2]stock-take'!$M:$Q,3,FALSE))</f>
        <v>0</v>
      </c>
      <c r="M26" s="48" t="str">
        <f t="shared" si="0"/>
        <v xml:space="preserve"> </v>
      </c>
      <c r="N26" s="39" t="str">
        <f t="shared" si="1"/>
        <v xml:space="preserve"> </v>
      </c>
    </row>
    <row r="27" spans="1:14">
      <c r="A27" s="37">
        <f t="shared" si="2"/>
        <v>16</v>
      </c>
      <c r="B27" s="24"/>
      <c r="C27" s="24"/>
      <c r="D27" s="24"/>
      <c r="E27" s="24"/>
      <c r="F27" s="24"/>
      <c r="G27" s="48" t="str">
        <f>IF(F27=""," ",IF(ISNA(VLOOKUP(D27,'[2]stock-take'!$A:$E,4,FALSE)), "OUT OF STOCK", VLOOKUP(D27,'[2]stock-take'!$A:$E,4,FALSE)))</f>
        <v xml:space="preserve"> </v>
      </c>
      <c r="H27" s="48">
        <f>IF(ISNA(VLOOKUP(D27,'[2]stock-take'!$A:$E,3,FALSE)), 0, VLOOKUP(D27,'[2]stock-take'!$A:$E,3,FALSE))</f>
        <v>0</v>
      </c>
      <c r="I27" s="48" t="str">
        <f>IF(F27="", " ",IF(ISNA(VLOOKUP(D27,'[2]stock-take'!$G:$K,4,FALSE)), "OUT OF STOCK", VLOOKUP(D27,'[2]stock-take'!$G:$K,4,FALSE)))</f>
        <v xml:space="preserve"> </v>
      </c>
      <c r="J27" s="39">
        <f>IF(ISNA(VLOOKUP(D27,'[2]stock-take'!$G:$K,3,FALSE)), 0, VLOOKUP(D27,'[2]stock-take'!$G:$K,3,FALSE))</f>
        <v>0</v>
      </c>
      <c r="K27" s="49" t="str">
        <f>IF(F27="", " ", IF(ISNA(VLOOKUP(D27,'[2]stock-take'!$M:$Q,4,FALSE)), "OUT OF STOCK", VLOOKUP(D27,'[2]stock-take'!$M:$Q,4,FALSE)))</f>
        <v xml:space="preserve"> </v>
      </c>
      <c r="L27" s="47">
        <f>IF(ISNA(VLOOKUP(D27,'[2]stock-take'!$M:$Q,3,FALSE)), 0, VLOOKUP(D27,'[2]stock-take'!$M:$Q,3,FALSE))</f>
        <v>0</v>
      </c>
      <c r="M27" s="48" t="str">
        <f t="shared" si="0"/>
        <v xml:space="preserve"> </v>
      </c>
      <c r="N27" s="39" t="str">
        <f t="shared" si="1"/>
        <v xml:space="preserve"> </v>
      </c>
    </row>
    <row r="28" spans="1:14">
      <c r="A28" s="37">
        <f t="shared" si="2"/>
        <v>17</v>
      </c>
      <c r="C28" s="24"/>
      <c r="D28" s="24"/>
      <c r="G28" s="48" t="str">
        <f>IF(F28=""," ",IF(ISNA(VLOOKUP(D28,'[2]stock-take'!$A:$E,4,FALSE)), "OUT OF STOCK", VLOOKUP(D28,'[2]stock-take'!$A:$E,4,FALSE)))</f>
        <v xml:space="preserve"> </v>
      </c>
      <c r="H28" s="48">
        <f>IF(ISNA(VLOOKUP(D28,'[2]stock-take'!$A:$E,3,FALSE)), 0, VLOOKUP(D28,'[2]stock-take'!$A:$E,3,FALSE))</f>
        <v>0</v>
      </c>
      <c r="I28" s="48" t="str">
        <f>IF(F28="", " ",IF(ISNA(VLOOKUP(D28,'[2]stock-take'!$G:$K,4,FALSE)), "OUT OF STOCK", VLOOKUP(D28,'[2]stock-take'!$G:$K,4,FALSE)))</f>
        <v xml:space="preserve"> </v>
      </c>
      <c r="J28" s="39">
        <f>IF(ISNA(VLOOKUP(D28,'[2]stock-take'!$G:$K,3,FALSE)), 0, VLOOKUP(D28,'[2]stock-take'!$G:$K,3,FALSE))</f>
        <v>0</v>
      </c>
      <c r="K28" s="49" t="str">
        <f>IF(F28="", " ", IF(ISNA(VLOOKUP(D28,'[2]stock-take'!$M:$Q,4,FALSE)), "OUT OF STOCK", VLOOKUP(D28,'[2]stock-take'!$M:$Q,4,FALSE)))</f>
        <v xml:space="preserve"> </v>
      </c>
      <c r="L28" s="47">
        <f>IF(ISNA(VLOOKUP(D28,'[2]stock-take'!$M:$Q,3,FALSE)), 0, VLOOKUP(D28,'[2]stock-take'!$M:$Q,3,FALSE))</f>
        <v>0</v>
      </c>
      <c r="M28" s="48" t="str">
        <f t="shared" si="0"/>
        <v xml:space="preserve"> </v>
      </c>
      <c r="N28" s="39" t="str">
        <f t="shared" si="1"/>
        <v xml:space="preserve"> </v>
      </c>
    </row>
    <row r="29" spans="1:14">
      <c r="A29" s="37">
        <f t="shared" si="2"/>
        <v>18</v>
      </c>
      <c r="C29" s="24"/>
      <c r="D29" s="24"/>
      <c r="G29" s="48" t="str">
        <f>IF(F29=""," ",IF(ISNA(VLOOKUP(D29,'[2]stock-take'!$A:$E,4,FALSE)), "OUT OF STOCK", VLOOKUP(D29,'[2]stock-take'!$A:$E,4,FALSE)))</f>
        <v xml:space="preserve"> </v>
      </c>
      <c r="H29" s="48">
        <f>IF(ISNA(VLOOKUP(D29,'[2]stock-take'!$A:$E,3,FALSE)), 0, VLOOKUP(D29,'[2]stock-take'!$A:$E,3,FALSE))</f>
        <v>0</v>
      </c>
      <c r="I29" s="48" t="str">
        <f>IF(F29="", " ",IF(ISNA(VLOOKUP(D29,'[2]stock-take'!$G:$K,4,FALSE)), "OUT OF STOCK", VLOOKUP(D29,'[2]stock-take'!$G:$K,4,FALSE)))</f>
        <v xml:space="preserve"> </v>
      </c>
      <c r="J29" s="39">
        <f>IF(ISNA(VLOOKUP(D29,'[2]stock-take'!$G:$K,3,FALSE)), 0, VLOOKUP(D29,'[2]stock-take'!$G:$K,3,FALSE))</f>
        <v>0</v>
      </c>
      <c r="K29" s="49" t="str">
        <f>IF(F29="", " ", IF(ISNA(VLOOKUP(D29,'[2]stock-take'!$M:$Q,4,FALSE)), "OUT OF STOCK", VLOOKUP(D29,'[2]stock-take'!$M:$Q,4,FALSE)))</f>
        <v xml:space="preserve"> </v>
      </c>
      <c r="L29" s="47">
        <f>IF(ISNA(VLOOKUP(D29,'[2]stock-take'!$M:$Q,3,FALSE)), 0, VLOOKUP(D29,'[2]stock-take'!$M:$Q,3,FALSE))</f>
        <v>0</v>
      </c>
      <c r="M29" s="48" t="str">
        <f t="shared" si="0"/>
        <v xml:space="preserve"> </v>
      </c>
      <c r="N29" s="39" t="str">
        <f t="shared" si="1"/>
        <v xml:space="preserve"> </v>
      </c>
    </row>
    <row r="30" spans="1:14">
      <c r="A30" s="37">
        <f t="shared" si="2"/>
        <v>19</v>
      </c>
      <c r="C30" s="24"/>
      <c r="D30" s="24"/>
      <c r="G30" s="48" t="str">
        <f>IF(F30=""," ",IF(ISNA(VLOOKUP(D30,'[2]stock-take'!$A:$E,4,FALSE)), "OUT OF STOCK", VLOOKUP(D30,'[2]stock-take'!$A:$E,4,FALSE)))</f>
        <v xml:space="preserve"> </v>
      </c>
      <c r="H30" s="48">
        <f>IF(ISNA(VLOOKUP(D30,'[2]stock-take'!$A:$E,3,FALSE)), 0, VLOOKUP(D30,'[2]stock-take'!$A:$E,3,FALSE))</f>
        <v>0</v>
      </c>
      <c r="I30" s="48" t="str">
        <f>IF(F30="", " ",IF(ISNA(VLOOKUP(D30,'[2]stock-take'!$G:$K,4,FALSE)), "OUT OF STOCK", VLOOKUP(D30,'[2]stock-take'!$G:$K,4,FALSE)))</f>
        <v xml:space="preserve"> </v>
      </c>
      <c r="J30" s="39">
        <f>IF(ISNA(VLOOKUP(D30,'[2]stock-take'!$G:$K,3,FALSE)), 0, VLOOKUP(D30,'[2]stock-take'!$G:$K,3,FALSE))</f>
        <v>0</v>
      </c>
      <c r="K30" s="49" t="str">
        <f>IF(F30="", " ", IF(ISNA(VLOOKUP(D30,'[2]stock-take'!$M:$Q,4,FALSE)), "OUT OF STOCK", VLOOKUP(D30,'[2]stock-take'!$M:$Q,4,FALSE)))</f>
        <v xml:space="preserve"> </v>
      </c>
      <c r="L30" s="47">
        <f>IF(ISNA(VLOOKUP(D30,'[2]stock-take'!$M:$Q,3,FALSE)), 0, VLOOKUP(D30,'[2]stock-take'!$M:$Q,3,FALSE))</f>
        <v>0</v>
      </c>
      <c r="M30" s="48" t="str">
        <f t="shared" si="0"/>
        <v xml:space="preserve"> </v>
      </c>
      <c r="N30" s="39" t="str">
        <f t="shared" si="1"/>
        <v xml:space="preserve"> </v>
      </c>
    </row>
    <row r="31" spans="1:14">
      <c r="A31" s="37">
        <f t="shared" si="2"/>
        <v>20</v>
      </c>
      <c r="C31" s="24"/>
      <c r="D31" s="24"/>
      <c r="G31" s="48" t="str">
        <f>IF(F31=""," ",IF(ISNA(VLOOKUP(D31,'[2]stock-take'!$A:$E,4,FALSE)), "OUT OF STOCK", VLOOKUP(D31,'[2]stock-take'!$A:$E,4,FALSE)))</f>
        <v xml:space="preserve"> </v>
      </c>
      <c r="H31" s="48">
        <f>IF(ISNA(VLOOKUP(D31,'[2]stock-take'!$A:$E,3,FALSE)), 0, VLOOKUP(D31,'[2]stock-take'!$A:$E,3,FALSE))</f>
        <v>0</v>
      </c>
      <c r="I31" s="48" t="str">
        <f>IF(F31="", " ",IF(ISNA(VLOOKUP(D31,'[2]stock-take'!$G:$K,4,FALSE)), "OUT OF STOCK", VLOOKUP(D31,'[2]stock-take'!$G:$K,4,FALSE)))</f>
        <v xml:space="preserve"> </v>
      </c>
      <c r="J31" s="39">
        <f>IF(ISNA(VLOOKUP(D31,'[2]stock-take'!$G:$K,3,FALSE)), 0, VLOOKUP(D31,'[2]stock-take'!$G:$K,3,FALSE))</f>
        <v>0</v>
      </c>
      <c r="K31" s="49" t="str">
        <f>IF(F31="", " ", IF(ISNA(VLOOKUP(D31,'[2]stock-take'!$M:$Q,4,FALSE)), "OUT OF STOCK", VLOOKUP(D31,'[2]stock-take'!$M:$Q,4,FALSE)))</f>
        <v xml:space="preserve"> </v>
      </c>
      <c r="L31" s="47">
        <f>IF(ISNA(VLOOKUP(D31,'[2]stock-take'!$M:$Q,3,FALSE)), 0, VLOOKUP(D31,'[2]stock-take'!$M:$Q,3,FALSE))</f>
        <v>0</v>
      </c>
      <c r="M31" s="48" t="str">
        <f t="shared" si="0"/>
        <v xml:space="preserve"> </v>
      </c>
      <c r="N31" s="39" t="str">
        <f t="shared" si="1"/>
        <v xml:space="preserve"> </v>
      </c>
    </row>
    <row r="32" spans="1:14">
      <c r="A32" s="37">
        <f t="shared" si="2"/>
        <v>21</v>
      </c>
      <c r="C32" s="24"/>
      <c r="D32" s="24"/>
      <c r="G32" s="48" t="str">
        <f>IF(F32=""," ",IF(ISNA(VLOOKUP(D32,'[2]stock-take'!$A:$E,4,FALSE)), "OUT OF STOCK", VLOOKUP(D32,'[2]stock-take'!$A:$E,4,FALSE)))</f>
        <v xml:space="preserve"> </v>
      </c>
      <c r="H32" s="48">
        <f>IF(ISNA(VLOOKUP(D32,'[2]stock-take'!$A:$E,3,FALSE)), 0, VLOOKUP(D32,'[2]stock-take'!$A:$E,3,FALSE))</f>
        <v>0</v>
      </c>
      <c r="I32" s="48" t="str">
        <f>IF(F32="", " ",IF(ISNA(VLOOKUP(D32,'[2]stock-take'!$G:$K,4,FALSE)), "OUT OF STOCK", VLOOKUP(D32,'[2]stock-take'!$G:$K,4,FALSE)))</f>
        <v xml:space="preserve"> </v>
      </c>
      <c r="J32" s="39">
        <f>IF(ISNA(VLOOKUP(D32,'[2]stock-take'!$G:$K,3,FALSE)), 0, VLOOKUP(D32,'[2]stock-take'!$G:$K,3,FALSE))</f>
        <v>0</v>
      </c>
      <c r="K32" s="49" t="str">
        <f>IF(F32="", " ", IF(ISNA(VLOOKUP(D32,'[2]stock-take'!$M:$Q,4,FALSE)), "OUT OF STOCK", VLOOKUP(D32,'[2]stock-take'!$M:$Q,4,FALSE)))</f>
        <v xml:space="preserve"> </v>
      </c>
      <c r="L32" s="47">
        <f>IF(ISNA(VLOOKUP(D32,'[2]stock-take'!$M:$Q,3,FALSE)), 0, VLOOKUP(D32,'[2]stock-take'!$M:$Q,3,FALSE))</f>
        <v>0</v>
      </c>
      <c r="M32" s="48" t="str">
        <f t="shared" si="0"/>
        <v xml:space="preserve"> </v>
      </c>
      <c r="N32" s="39" t="str">
        <f t="shared" si="1"/>
        <v xml:space="preserve"> </v>
      </c>
    </row>
    <row r="33" spans="1:14">
      <c r="A33" s="37">
        <f t="shared" si="2"/>
        <v>22</v>
      </c>
      <c r="C33" s="24"/>
      <c r="D33" s="24"/>
      <c r="G33" s="48" t="str">
        <f>IF(F33=""," ",IF(ISNA(VLOOKUP(D33,'[2]stock-take'!$A:$E,4,FALSE)), "OUT OF STOCK", VLOOKUP(D33,'[2]stock-take'!$A:$E,4,FALSE)))</f>
        <v xml:space="preserve"> </v>
      </c>
      <c r="H33" s="48">
        <f>IF(ISNA(VLOOKUP(D33,'[2]stock-take'!$A:$E,3,FALSE)), 0, VLOOKUP(D33,'[2]stock-take'!$A:$E,3,FALSE))</f>
        <v>0</v>
      </c>
      <c r="I33" s="48" t="str">
        <f>IF(F33="", " ",IF(ISNA(VLOOKUP(D33,'[2]stock-take'!$G:$K,4,FALSE)), "OUT OF STOCK", VLOOKUP(D33,'[2]stock-take'!$G:$K,4,FALSE)))</f>
        <v xml:space="preserve"> </v>
      </c>
      <c r="J33" s="39">
        <f>IF(ISNA(VLOOKUP(D33,'[2]stock-take'!$G:$K,3,FALSE)), 0, VLOOKUP(D33,'[2]stock-take'!$G:$K,3,FALSE))</f>
        <v>0</v>
      </c>
      <c r="K33" s="49" t="str">
        <f>IF(F33="", " ", IF(ISNA(VLOOKUP(D33,'[2]stock-take'!$M:$Q,4,FALSE)), "OUT OF STOCK", VLOOKUP(D33,'[2]stock-take'!$M:$Q,4,FALSE)))</f>
        <v xml:space="preserve"> </v>
      </c>
      <c r="L33" s="47">
        <f>IF(ISNA(VLOOKUP(D33,'[2]stock-take'!$M:$Q,3,FALSE)), 0, VLOOKUP(D33,'[2]stock-take'!$M:$Q,3,FALSE))</f>
        <v>0</v>
      </c>
      <c r="M33" s="48" t="str">
        <f t="shared" si="0"/>
        <v xml:space="preserve"> </v>
      </c>
      <c r="N33" s="39" t="str">
        <f t="shared" si="1"/>
        <v xml:space="preserve"> </v>
      </c>
    </row>
    <row r="34" spans="1:14">
      <c r="A34" s="37">
        <f t="shared" si="2"/>
        <v>23</v>
      </c>
      <c r="C34" s="24"/>
      <c r="D34" s="24"/>
      <c r="G34" s="48" t="str">
        <f>IF(F34=""," ",IF(ISNA(VLOOKUP(D34,'[2]stock-take'!$A:$E,4,FALSE)), "OUT OF STOCK", VLOOKUP(D34,'[2]stock-take'!$A:$E,4,FALSE)))</f>
        <v xml:space="preserve"> </v>
      </c>
      <c r="H34" s="48">
        <f>IF(ISNA(VLOOKUP(D34,'[2]stock-take'!$A:$E,3,FALSE)), 0, VLOOKUP(D34,'[2]stock-take'!$A:$E,3,FALSE))</f>
        <v>0</v>
      </c>
      <c r="I34" s="48" t="str">
        <f>IF(F34="", " ",IF(ISNA(VLOOKUP(D34,'[2]stock-take'!$G:$K,4,FALSE)), "OUT OF STOCK", VLOOKUP(D34,'[2]stock-take'!$G:$K,4,FALSE)))</f>
        <v xml:space="preserve"> </v>
      </c>
      <c r="J34" s="39">
        <f>IF(ISNA(VLOOKUP(D34,'[2]stock-take'!$G:$K,3,FALSE)), 0, VLOOKUP(D34,'[2]stock-take'!$G:$K,3,FALSE))</f>
        <v>0</v>
      </c>
      <c r="K34" s="49" t="str">
        <f>IF(F34="", " ", IF(ISNA(VLOOKUP(D34,'[2]stock-take'!$M:$Q,4,FALSE)), "OUT OF STOCK", VLOOKUP(D34,'[2]stock-take'!$M:$Q,4,FALSE)))</f>
        <v xml:space="preserve"> </v>
      </c>
      <c r="L34" s="47">
        <f>IF(ISNA(VLOOKUP(D34,'[2]stock-take'!$M:$Q,3,FALSE)), 0, VLOOKUP(D34,'[2]stock-take'!$M:$Q,3,FALSE))</f>
        <v>0</v>
      </c>
      <c r="M34" s="48" t="str">
        <f t="shared" si="0"/>
        <v xml:space="preserve"> </v>
      </c>
      <c r="N34" s="39" t="str">
        <f t="shared" si="1"/>
        <v xml:space="preserve"> </v>
      </c>
    </row>
    <row r="35" spans="1:14">
      <c r="A35" s="37">
        <f t="shared" si="2"/>
        <v>24</v>
      </c>
      <c r="C35" s="24"/>
      <c r="D35" s="24"/>
      <c r="G35" s="48" t="str">
        <f>IF(F35=""," ",IF(ISNA(VLOOKUP(D35,'[2]stock-take'!$A:$E,4,FALSE)), "OUT OF STOCK", VLOOKUP(D35,'[2]stock-take'!$A:$E,4,FALSE)))</f>
        <v xml:space="preserve"> </v>
      </c>
      <c r="H35" s="48">
        <f>IF(ISNA(VLOOKUP(D35,'[2]stock-take'!$A:$E,3,FALSE)), 0, VLOOKUP(D35,'[2]stock-take'!$A:$E,3,FALSE))</f>
        <v>0</v>
      </c>
      <c r="I35" s="48" t="str">
        <f>IF(F35="", " ",IF(ISNA(VLOOKUP(D35,'[2]stock-take'!$G:$K,4,FALSE)), "OUT OF STOCK", VLOOKUP(D35,'[2]stock-take'!$G:$K,4,FALSE)))</f>
        <v xml:space="preserve"> </v>
      </c>
      <c r="J35" s="39">
        <f>IF(ISNA(VLOOKUP(D35,'[2]stock-take'!$G:$K,3,FALSE)), 0, VLOOKUP(D35,'[2]stock-take'!$G:$K,3,FALSE))</f>
        <v>0</v>
      </c>
      <c r="K35" s="49" t="str">
        <f>IF(F35="", " ", IF(ISNA(VLOOKUP(D35,'[2]stock-take'!$M:$Q,4,FALSE)), "OUT OF STOCK", VLOOKUP(D35,'[2]stock-take'!$M:$Q,4,FALSE)))</f>
        <v xml:space="preserve"> </v>
      </c>
      <c r="L35" s="47">
        <f>IF(ISNA(VLOOKUP(D35,'[2]stock-take'!$M:$Q,3,FALSE)), 0, VLOOKUP(D35,'[2]stock-take'!$M:$Q,3,FALSE))</f>
        <v>0</v>
      </c>
      <c r="M35" s="48" t="str">
        <f t="shared" si="0"/>
        <v xml:space="preserve"> </v>
      </c>
      <c r="N35" s="39" t="str">
        <f t="shared" si="1"/>
        <v xml:space="preserve"> </v>
      </c>
    </row>
    <row r="36" spans="1:14">
      <c r="A36" s="37">
        <f t="shared" si="2"/>
        <v>25</v>
      </c>
      <c r="D36" s="24"/>
      <c r="G36" s="48" t="str">
        <f>IF(F36=""," ",IF(ISNA(VLOOKUP(D36,'[2]stock-take'!$A:$E,4,FALSE)), "OUT OF STOCK", VLOOKUP(D36,'[2]stock-take'!$A:$E,4,FALSE)))</f>
        <v xml:space="preserve"> </v>
      </c>
      <c r="H36" s="48">
        <f>IF(ISNA(VLOOKUP(D36,'[2]stock-take'!$A:$E,3,FALSE)), 0, VLOOKUP(D36,'[2]stock-take'!$A:$E,3,FALSE))</f>
        <v>0</v>
      </c>
      <c r="I36" s="48" t="str">
        <f>IF(F36="", " ",IF(ISNA(VLOOKUP(D36,'[2]stock-take'!$G:$K,4,FALSE)), "OUT OF STOCK", VLOOKUP(D36,'[2]stock-take'!$G:$K,4,FALSE)))</f>
        <v xml:space="preserve"> </v>
      </c>
      <c r="J36" s="39">
        <f>IF(ISNA(VLOOKUP(D36,'[2]stock-take'!$G:$K,3,FALSE)), 0, VLOOKUP(D36,'[2]stock-take'!$G:$K,3,FALSE))</f>
        <v>0</v>
      </c>
      <c r="K36" s="49" t="str">
        <f>IF(F36="", " ", IF(ISNA(VLOOKUP(D36,'[2]stock-take'!$M:$Q,4,FALSE)), "OUT OF STOCK", VLOOKUP(D36,'[2]stock-take'!$M:$Q,4,FALSE)))</f>
        <v xml:space="preserve"> </v>
      </c>
      <c r="L36" s="47">
        <f>IF(ISNA(VLOOKUP(D36,'[2]stock-take'!$M:$Q,3,FALSE)), 0, VLOOKUP(D36,'[2]stock-take'!$M:$Q,3,FALSE))</f>
        <v>0</v>
      </c>
      <c r="M36" s="48" t="str">
        <f t="shared" si="0"/>
        <v xml:space="preserve"> </v>
      </c>
      <c r="N36" s="39" t="str">
        <f t="shared" si="1"/>
        <v xml:space="preserve"> </v>
      </c>
    </row>
    <row r="37" spans="1:14">
      <c r="A37" s="37">
        <f t="shared" si="2"/>
        <v>26</v>
      </c>
      <c r="C37" s="24"/>
      <c r="D37" s="24"/>
      <c r="G37" s="48" t="str">
        <f>IF(F37=""," ",IF(ISNA(VLOOKUP(D37,'[2]stock-take'!$A:$E,4,FALSE)), "OUT OF STOCK", VLOOKUP(D37,'[2]stock-take'!$A:$E,4,FALSE)))</f>
        <v xml:space="preserve"> </v>
      </c>
      <c r="H37" s="48">
        <f>IF(ISNA(VLOOKUP(D37,'[2]stock-take'!$A:$E,3,FALSE)), 0, VLOOKUP(D37,'[2]stock-take'!$A:$E,3,FALSE))</f>
        <v>0</v>
      </c>
      <c r="I37" s="48" t="str">
        <f>IF(F37="", " ",IF(ISNA(VLOOKUP(D37,'[2]stock-take'!$G:$K,4,FALSE)), "OUT OF STOCK", VLOOKUP(D37,'[2]stock-take'!$G:$K,4,FALSE)))</f>
        <v xml:space="preserve"> </v>
      </c>
      <c r="J37" s="39">
        <f>IF(ISNA(VLOOKUP(D37,'[2]stock-take'!$G:$K,3,FALSE)), 0, VLOOKUP(D37,'[2]stock-take'!$G:$K,3,FALSE))</f>
        <v>0</v>
      </c>
      <c r="K37" s="49" t="str">
        <f>IF(F37="", " ", IF(ISNA(VLOOKUP(D37,'[2]stock-take'!$M:$Q,4,FALSE)), "OUT OF STOCK", VLOOKUP(D37,'[2]stock-take'!$M:$Q,4,FALSE)))</f>
        <v xml:space="preserve"> </v>
      </c>
      <c r="L37" s="47">
        <f>IF(ISNA(VLOOKUP(D37,'[2]stock-take'!$M:$Q,3,FALSE)), 0, VLOOKUP(D37,'[2]stock-take'!$M:$Q,3,FALSE))</f>
        <v>0</v>
      </c>
      <c r="M37" s="48" t="str">
        <f t="shared" si="0"/>
        <v xml:space="preserve"> </v>
      </c>
      <c r="N37" s="39" t="str">
        <f t="shared" si="1"/>
        <v xml:space="preserve"> </v>
      </c>
    </row>
    <row r="38" spans="1:14">
      <c r="A38" s="37">
        <f t="shared" si="2"/>
        <v>27</v>
      </c>
      <c r="C38" s="24"/>
      <c r="D38" s="24"/>
      <c r="G38" s="48" t="str">
        <f>IF(F38=""," ",IF(ISNA(VLOOKUP(D38,'[2]stock-take'!$A:$E,4,FALSE)), "OUT OF STOCK", VLOOKUP(D38,'[2]stock-take'!$A:$E,4,FALSE)))</f>
        <v xml:space="preserve"> </v>
      </c>
      <c r="H38" s="48">
        <f>IF(ISNA(VLOOKUP(D38,'[2]stock-take'!$A:$E,3,FALSE)), 0, VLOOKUP(D38,'[2]stock-take'!$A:$E,3,FALSE))</f>
        <v>0</v>
      </c>
      <c r="I38" s="48" t="str">
        <f>IF(F38="", " ",IF(ISNA(VLOOKUP(D38,'[2]stock-take'!$G:$K,4,FALSE)), "OUT OF STOCK", VLOOKUP(D38,'[2]stock-take'!$G:$K,4,FALSE)))</f>
        <v xml:space="preserve"> </v>
      </c>
      <c r="J38" s="39">
        <f>IF(ISNA(VLOOKUP(D38,'[2]stock-take'!$G:$K,3,FALSE)), 0, VLOOKUP(D38,'[2]stock-take'!$G:$K,3,FALSE))</f>
        <v>0</v>
      </c>
      <c r="K38" s="49" t="str">
        <f>IF(F38="", " ", IF(ISNA(VLOOKUP(D38,'[2]stock-take'!$M:$Q,4,FALSE)), "OUT OF STOCK", VLOOKUP(D38,'[2]stock-take'!$M:$Q,4,FALSE)))</f>
        <v xml:space="preserve"> </v>
      </c>
      <c r="L38" s="47">
        <f>IF(ISNA(VLOOKUP(D38,'[2]stock-take'!$M:$Q,3,FALSE)), 0, VLOOKUP(D38,'[2]stock-take'!$M:$Q,3,FALSE))</f>
        <v>0</v>
      </c>
      <c r="M38" s="48" t="str">
        <f t="shared" si="0"/>
        <v xml:space="preserve"> </v>
      </c>
      <c r="N38" s="39" t="str">
        <f t="shared" si="1"/>
        <v xml:space="preserve"> </v>
      </c>
    </row>
    <row r="39" spans="1:14">
      <c r="A39" s="37">
        <f t="shared" si="2"/>
        <v>28</v>
      </c>
      <c r="C39" s="24"/>
      <c r="D39" s="24"/>
      <c r="G39" s="48" t="str">
        <f>IF(F39=""," ",IF(ISNA(VLOOKUP(D39,'[2]stock-take'!$A:$E,4,FALSE)), "OUT OF STOCK", VLOOKUP(D39,'[2]stock-take'!$A:$E,4,FALSE)))</f>
        <v xml:space="preserve"> </v>
      </c>
      <c r="H39" s="48">
        <f>IF(ISNA(VLOOKUP(D39,'[2]stock-take'!$A:$E,3,FALSE)), 0, VLOOKUP(D39,'[2]stock-take'!$A:$E,3,FALSE))</f>
        <v>0</v>
      </c>
      <c r="I39" s="48" t="str">
        <f>IF(F39="", " ",IF(ISNA(VLOOKUP(D39,'[2]stock-take'!$G:$K,4,FALSE)), "OUT OF STOCK", VLOOKUP(D39,'[2]stock-take'!$G:$K,4,FALSE)))</f>
        <v xml:space="preserve"> </v>
      </c>
      <c r="J39" s="39">
        <f>IF(ISNA(VLOOKUP(D39,'[2]stock-take'!$G:$K,3,FALSE)), 0, VLOOKUP(D39,'[2]stock-take'!$G:$K,3,FALSE))</f>
        <v>0</v>
      </c>
      <c r="K39" s="49" t="str">
        <f>IF(F39="", " ", IF(ISNA(VLOOKUP(D39,'[2]stock-take'!$M:$Q,4,FALSE)), "OUT OF STOCK", VLOOKUP(D39,'[2]stock-take'!$M:$Q,4,FALSE)))</f>
        <v xml:space="preserve"> </v>
      </c>
      <c r="L39" s="47">
        <f>IF(ISNA(VLOOKUP(D39,'[2]stock-take'!$M:$Q,3,FALSE)), 0, VLOOKUP(D39,'[2]stock-take'!$M:$Q,3,FALSE))</f>
        <v>0</v>
      </c>
      <c r="M39" s="48" t="str">
        <f t="shared" si="0"/>
        <v xml:space="preserve"> </v>
      </c>
      <c r="N39" s="39" t="str">
        <f t="shared" si="1"/>
        <v xml:space="preserve"> </v>
      </c>
    </row>
    <row r="40" spans="1:14">
      <c r="A40" s="37">
        <f t="shared" si="2"/>
        <v>29</v>
      </c>
      <c r="C40" s="24"/>
      <c r="D40" s="24"/>
      <c r="G40" s="48" t="str">
        <f>IF(F40=""," ",IF(ISNA(VLOOKUP(D40,'[2]stock-take'!$A:$E,4,FALSE)), "OUT OF STOCK", VLOOKUP(D40,'[2]stock-take'!$A:$E,4,FALSE)))</f>
        <v xml:space="preserve"> </v>
      </c>
      <c r="H40" s="48">
        <f>IF(ISNA(VLOOKUP(D40,'[2]stock-take'!$A:$E,3,FALSE)), 0, VLOOKUP(D40,'[2]stock-take'!$A:$E,3,FALSE))</f>
        <v>0</v>
      </c>
      <c r="I40" s="48" t="str">
        <f>IF(F40="", " ",IF(ISNA(VLOOKUP(D40,'[2]stock-take'!$G:$K,4,FALSE)), "OUT OF STOCK", VLOOKUP(D40,'[2]stock-take'!$G:$K,4,FALSE)))</f>
        <v xml:space="preserve"> </v>
      </c>
      <c r="J40" s="39">
        <f>IF(ISNA(VLOOKUP(D40,'[2]stock-take'!$G:$K,3,FALSE)), 0, VLOOKUP(D40,'[2]stock-take'!$G:$K,3,FALSE))</f>
        <v>0</v>
      </c>
      <c r="K40" s="49" t="str">
        <f>IF(F40="", " ", IF(ISNA(VLOOKUP(D40,'[2]stock-take'!$M:$Q,4,FALSE)), "OUT OF STOCK", VLOOKUP(D40,'[2]stock-take'!$M:$Q,4,FALSE)))</f>
        <v xml:space="preserve"> </v>
      </c>
      <c r="L40" s="47">
        <f>IF(ISNA(VLOOKUP(D40,'[2]stock-take'!$M:$Q,3,FALSE)), 0, VLOOKUP(D40,'[2]stock-take'!$M:$Q,3,FALSE))</f>
        <v>0</v>
      </c>
      <c r="M40" s="48" t="str">
        <f t="shared" si="0"/>
        <v xml:space="preserve"> </v>
      </c>
      <c r="N40" s="39" t="str">
        <f t="shared" si="1"/>
        <v xml:space="preserve"> </v>
      </c>
    </row>
    <row r="41" spans="1:14">
      <c r="A41" s="37">
        <f t="shared" si="2"/>
        <v>30</v>
      </c>
      <c r="C41" s="24"/>
      <c r="D41" s="24"/>
      <c r="G41" s="48" t="str">
        <f>IF(F41=""," ",IF(ISNA(VLOOKUP(D41,'[2]stock-take'!$A:$E,4,FALSE)), "OUT OF STOCK", VLOOKUP(D41,'[2]stock-take'!$A:$E,4,FALSE)))</f>
        <v xml:space="preserve"> </v>
      </c>
      <c r="H41" s="48">
        <f>IF(ISNA(VLOOKUP(D41,'[2]stock-take'!$A:$E,3,FALSE)), 0, VLOOKUP(D41,'[2]stock-take'!$A:$E,3,FALSE))</f>
        <v>0</v>
      </c>
      <c r="I41" s="48" t="str">
        <f>IF(F41="", " ",IF(ISNA(VLOOKUP(D41,'[2]stock-take'!$G:$K,4,FALSE)), "OUT OF STOCK", VLOOKUP(D41,'[2]stock-take'!$G:$K,4,FALSE)))</f>
        <v xml:space="preserve"> </v>
      </c>
      <c r="J41" s="39">
        <f>IF(ISNA(VLOOKUP(D41,'[2]stock-take'!$G:$K,3,FALSE)), 0, VLOOKUP(D41,'[2]stock-take'!$G:$K,3,FALSE))</f>
        <v>0</v>
      </c>
      <c r="K41" s="49" t="str">
        <f>IF(F41="", " ", IF(ISNA(VLOOKUP(D41,'[2]stock-take'!$M:$Q,4,FALSE)), "OUT OF STOCK", VLOOKUP(D41,'[2]stock-take'!$M:$Q,4,FALSE)))</f>
        <v xml:space="preserve"> </v>
      </c>
      <c r="L41" s="47">
        <f>IF(ISNA(VLOOKUP(D41,'[2]stock-take'!$M:$Q,3,FALSE)), 0, VLOOKUP(D41,'[2]stock-take'!$M:$Q,3,FALSE))</f>
        <v>0</v>
      </c>
      <c r="M41" s="48" t="str">
        <f t="shared" si="0"/>
        <v xml:space="preserve"> </v>
      </c>
      <c r="N41" s="39" t="str">
        <f t="shared" si="1"/>
        <v xml:space="preserve"> </v>
      </c>
    </row>
    <row r="42" spans="1:14">
      <c r="A42" s="37">
        <f t="shared" si="2"/>
        <v>31</v>
      </c>
      <c r="C42" s="24"/>
      <c r="D42" s="24"/>
      <c r="G42" s="48" t="str">
        <f>IF(F42=""," ",IF(ISNA(VLOOKUP(D42,'[2]stock-take'!$A:$E,4,FALSE)), "OUT OF STOCK", VLOOKUP(D42,'[2]stock-take'!$A:$E,4,FALSE)))</f>
        <v xml:space="preserve"> </v>
      </c>
      <c r="H42" s="48">
        <f>IF(ISNA(VLOOKUP(D42,'[2]stock-take'!$A:$E,3,FALSE)), 0, VLOOKUP(D42,'[2]stock-take'!$A:$E,3,FALSE))</f>
        <v>0</v>
      </c>
      <c r="I42" s="48" t="str">
        <f>IF(F42="", " ",IF(ISNA(VLOOKUP(D42,'[2]stock-take'!$G:$K,4,FALSE)), "OUT OF STOCK", VLOOKUP(D42,'[2]stock-take'!$G:$K,4,FALSE)))</f>
        <v xml:space="preserve"> </v>
      </c>
      <c r="J42" s="39">
        <f>IF(ISNA(VLOOKUP(D42,'[2]stock-take'!$G:$K,3,FALSE)), 0, VLOOKUP(D42,'[2]stock-take'!$G:$K,3,FALSE))</f>
        <v>0</v>
      </c>
      <c r="K42" s="49" t="str">
        <f>IF(F42="", " ", IF(ISNA(VLOOKUP(D42,'[2]stock-take'!$M:$Q,4,FALSE)), "OUT OF STOCK", VLOOKUP(D42,'[2]stock-take'!$M:$Q,4,FALSE)))</f>
        <v xml:space="preserve"> </v>
      </c>
      <c r="L42" s="47">
        <f>IF(ISNA(VLOOKUP(D42,'[2]stock-take'!$M:$Q,3,FALSE)), 0, VLOOKUP(D42,'[2]stock-take'!$M:$Q,3,FALSE))</f>
        <v>0</v>
      </c>
      <c r="M42" s="48" t="str">
        <f t="shared" si="0"/>
        <v xml:space="preserve"> </v>
      </c>
      <c r="N42" s="39" t="str">
        <f t="shared" si="1"/>
        <v xml:space="preserve"> </v>
      </c>
    </row>
    <row r="43" spans="1:14">
      <c r="A43" s="37">
        <f t="shared" si="2"/>
        <v>32</v>
      </c>
      <c r="C43" s="24"/>
      <c r="D43" s="24"/>
      <c r="G43" s="48" t="str">
        <f>IF(F43=""," ",IF(ISNA(VLOOKUP(D43,'[2]stock-take'!$A:$E,4,FALSE)), "OUT OF STOCK", VLOOKUP(D43,'[2]stock-take'!$A:$E,4,FALSE)))</f>
        <v xml:space="preserve"> </v>
      </c>
      <c r="H43" s="48">
        <f>IF(ISNA(VLOOKUP(D43,'[2]stock-take'!$A:$E,3,FALSE)), 0, VLOOKUP(D43,'[2]stock-take'!$A:$E,3,FALSE))</f>
        <v>0</v>
      </c>
      <c r="I43" s="48" t="str">
        <f>IF(F43="", " ",IF(ISNA(VLOOKUP(D43,'[2]stock-take'!$G:$K,4,FALSE)), "OUT OF STOCK", VLOOKUP(D43,'[2]stock-take'!$G:$K,4,FALSE)))</f>
        <v xml:space="preserve"> </v>
      </c>
      <c r="J43" s="39">
        <f>IF(ISNA(VLOOKUP(D43,'[2]stock-take'!$G:$K,3,FALSE)), 0, VLOOKUP(D43,'[2]stock-take'!$G:$K,3,FALSE))</f>
        <v>0</v>
      </c>
      <c r="K43" s="49" t="str">
        <f>IF(F43="", " ", IF(ISNA(VLOOKUP(D43,'[2]stock-take'!$M:$Q,4,FALSE)), "OUT OF STOCK", VLOOKUP(D43,'[2]stock-take'!$M:$Q,4,FALSE)))</f>
        <v xml:space="preserve"> </v>
      </c>
      <c r="L43" s="47">
        <f>IF(ISNA(VLOOKUP(D43,'[2]stock-take'!$M:$Q,3,FALSE)), 0, VLOOKUP(D43,'[2]stock-take'!$M:$Q,3,FALSE))</f>
        <v>0</v>
      </c>
      <c r="M43" s="48" t="str">
        <f t="shared" si="0"/>
        <v xml:space="preserve"> </v>
      </c>
      <c r="N43" s="39" t="str">
        <f t="shared" si="1"/>
        <v xml:space="preserve"> </v>
      </c>
    </row>
    <row r="44" spans="1:14">
      <c r="A44" s="37">
        <f t="shared" si="2"/>
        <v>33</v>
      </c>
      <c r="C44" s="24"/>
      <c r="D44" s="24"/>
      <c r="G44" s="48" t="str">
        <f>IF(F44=""," ",IF(ISNA(VLOOKUP(D44,'[2]stock-take'!$A:$E,4,FALSE)), "OUT OF STOCK", VLOOKUP(D44,'[2]stock-take'!$A:$E,4,FALSE)))</f>
        <v xml:space="preserve"> </v>
      </c>
      <c r="H44" s="48">
        <f>IF(ISNA(VLOOKUP(D44,'[2]stock-take'!$A:$E,3,FALSE)), 0, VLOOKUP(D44,'[2]stock-take'!$A:$E,3,FALSE))</f>
        <v>0</v>
      </c>
      <c r="I44" s="48" t="str">
        <f>IF(F44="", " ",IF(ISNA(VLOOKUP(D44,'[2]stock-take'!$G:$K,4,FALSE)), "OUT OF STOCK", VLOOKUP(D44,'[2]stock-take'!$G:$K,4,FALSE)))</f>
        <v xml:space="preserve"> </v>
      </c>
      <c r="J44" s="39">
        <f>IF(ISNA(VLOOKUP(D44,'[2]stock-take'!$G:$K,3,FALSE)), 0, VLOOKUP(D44,'[2]stock-take'!$G:$K,3,FALSE))</f>
        <v>0</v>
      </c>
      <c r="K44" s="49" t="str">
        <f>IF(F44="", " ", IF(ISNA(VLOOKUP(D44,'[2]stock-take'!$M:$Q,4,FALSE)), "OUT OF STOCK", VLOOKUP(D44,'[2]stock-take'!$M:$Q,4,FALSE)))</f>
        <v xml:space="preserve"> </v>
      </c>
      <c r="L44" s="47">
        <f>IF(ISNA(VLOOKUP(D44,'[2]stock-take'!$M:$Q,3,FALSE)), 0, VLOOKUP(D44,'[2]stock-take'!$M:$Q,3,FALSE))</f>
        <v>0</v>
      </c>
      <c r="M44" s="48" t="str">
        <f t="shared" si="0"/>
        <v xml:space="preserve"> </v>
      </c>
      <c r="N44" s="39" t="str">
        <f t="shared" si="1"/>
        <v xml:space="preserve"> </v>
      </c>
    </row>
    <row r="45" spans="1:14">
      <c r="A45" s="37">
        <f t="shared" si="2"/>
        <v>34</v>
      </c>
      <c r="C45" s="24"/>
      <c r="D45" s="24"/>
      <c r="G45" s="48" t="str">
        <f>IF(F45=""," ",IF(ISNA(VLOOKUP(D45,'[2]stock-take'!$A:$E,4,FALSE)), "OUT OF STOCK", VLOOKUP(D45,'[2]stock-take'!$A:$E,4,FALSE)))</f>
        <v xml:space="preserve"> </v>
      </c>
      <c r="H45" s="48">
        <f>IF(ISNA(VLOOKUP(D45,'[2]stock-take'!$A:$E,3,FALSE)), 0, VLOOKUP(D45,'[2]stock-take'!$A:$E,3,FALSE))</f>
        <v>0</v>
      </c>
      <c r="I45" s="48" t="str">
        <f>IF(F45="", " ",IF(ISNA(VLOOKUP(D45,'[2]stock-take'!$G:$K,4,FALSE)), "OUT OF STOCK", VLOOKUP(D45,'[2]stock-take'!$G:$K,4,FALSE)))</f>
        <v xml:space="preserve"> </v>
      </c>
      <c r="J45" s="39">
        <f>IF(ISNA(VLOOKUP(D45,'[2]stock-take'!$G:$K,3,FALSE)), 0, VLOOKUP(D45,'[2]stock-take'!$G:$K,3,FALSE))</f>
        <v>0</v>
      </c>
      <c r="K45" s="49" t="str">
        <f>IF(F45="", " ", IF(ISNA(VLOOKUP(D45,'[2]stock-take'!$M:$Q,4,FALSE)), "OUT OF STOCK", VLOOKUP(D45,'[2]stock-take'!$M:$Q,4,FALSE)))</f>
        <v xml:space="preserve"> </v>
      </c>
      <c r="L45" s="47">
        <f>IF(ISNA(VLOOKUP(D45,'[2]stock-take'!$M:$Q,3,FALSE)), 0, VLOOKUP(D45,'[2]stock-take'!$M:$Q,3,FALSE))</f>
        <v>0</v>
      </c>
      <c r="M45" s="48" t="str">
        <f t="shared" si="0"/>
        <v xml:space="preserve"> </v>
      </c>
      <c r="N45" s="39" t="str">
        <f t="shared" si="1"/>
        <v xml:space="preserve"> </v>
      </c>
    </row>
    <row r="46" spans="1:14">
      <c r="A46" s="37">
        <f t="shared" si="2"/>
        <v>35</v>
      </c>
      <c r="C46" s="24"/>
      <c r="D46" s="24"/>
      <c r="G46" s="48" t="str">
        <f>IF(F46=""," ",IF(ISNA(VLOOKUP(D46,'[2]stock-take'!$A:$E,4,FALSE)), "OUT OF STOCK", VLOOKUP(D46,'[2]stock-take'!$A:$E,4,FALSE)))</f>
        <v xml:space="preserve"> </v>
      </c>
      <c r="H46" s="48">
        <f>IF(ISNA(VLOOKUP(D46,'[2]stock-take'!$A:$E,3,FALSE)), 0, VLOOKUP(D46,'[2]stock-take'!$A:$E,3,FALSE))</f>
        <v>0</v>
      </c>
      <c r="I46" s="48" t="str">
        <f>IF(F46="", " ",IF(ISNA(VLOOKUP(D46,'[2]stock-take'!$G:$K,4,FALSE)), "OUT OF STOCK", VLOOKUP(D46,'[2]stock-take'!$G:$K,4,FALSE)))</f>
        <v xml:space="preserve"> </v>
      </c>
      <c r="J46" s="39">
        <f>IF(ISNA(VLOOKUP(D46,'[2]stock-take'!$G:$K,3,FALSE)), 0, VLOOKUP(D46,'[2]stock-take'!$G:$K,3,FALSE))</f>
        <v>0</v>
      </c>
      <c r="K46" s="49" t="str">
        <f>IF(F46="", " ", IF(ISNA(VLOOKUP(D46,'[2]stock-take'!$M:$Q,4,FALSE)), "OUT OF STOCK", VLOOKUP(D46,'[2]stock-take'!$M:$Q,4,FALSE)))</f>
        <v xml:space="preserve"> </v>
      </c>
      <c r="L46" s="47">
        <f>IF(ISNA(VLOOKUP(D46,'[2]stock-take'!$M:$Q,3,FALSE)), 0, VLOOKUP(D46,'[2]stock-take'!$M:$Q,3,FALSE))</f>
        <v>0</v>
      </c>
      <c r="M46" s="48" t="str">
        <f t="shared" si="0"/>
        <v xml:space="preserve"> </v>
      </c>
      <c r="N46" s="39" t="str">
        <f t="shared" si="1"/>
        <v xml:space="preserve"> </v>
      </c>
    </row>
    <row r="47" spans="1:14">
      <c r="A47" s="37">
        <f t="shared" si="2"/>
        <v>36</v>
      </c>
      <c r="C47" s="24"/>
      <c r="D47" s="24"/>
      <c r="G47" s="48" t="str">
        <f>IF(F47=""," ",IF(ISNA(VLOOKUP(D47,'[2]stock-take'!$A:$E,4,FALSE)), "OUT OF STOCK", VLOOKUP(D47,'[2]stock-take'!$A:$E,4,FALSE)))</f>
        <v xml:space="preserve"> </v>
      </c>
      <c r="H47" s="48">
        <f>IF(ISNA(VLOOKUP(D47,'[2]stock-take'!$A:$E,3,FALSE)), 0, VLOOKUP(D47,'[2]stock-take'!$A:$E,3,FALSE))</f>
        <v>0</v>
      </c>
      <c r="I47" s="48" t="str">
        <f>IF(F47="", " ",IF(ISNA(VLOOKUP(D47,'[2]stock-take'!$G:$K,4,FALSE)), "OUT OF STOCK", VLOOKUP(D47,'[2]stock-take'!$G:$K,4,FALSE)))</f>
        <v xml:space="preserve"> </v>
      </c>
      <c r="J47" s="39">
        <f>IF(ISNA(VLOOKUP(D47,'[2]stock-take'!$G:$K,3,FALSE)), 0, VLOOKUP(D47,'[2]stock-take'!$G:$K,3,FALSE))</f>
        <v>0</v>
      </c>
      <c r="K47" s="49" t="str">
        <f>IF(F47="", " ", IF(ISNA(VLOOKUP(D47,'[2]stock-take'!$M:$Q,4,FALSE)), "OUT OF STOCK", VLOOKUP(D47,'[2]stock-take'!$M:$Q,4,FALSE)))</f>
        <v xml:space="preserve"> </v>
      </c>
      <c r="L47" s="47">
        <f>IF(ISNA(VLOOKUP(D47,'[2]stock-take'!$M:$Q,3,FALSE)), 0, VLOOKUP(D47,'[2]stock-take'!$M:$Q,3,FALSE))</f>
        <v>0</v>
      </c>
      <c r="M47" s="48" t="str">
        <f t="shared" si="0"/>
        <v xml:space="preserve"> </v>
      </c>
      <c r="N47" s="39" t="str">
        <f t="shared" si="1"/>
        <v xml:space="preserve"> </v>
      </c>
    </row>
    <row r="48" spans="1:14">
      <c r="A48" s="37">
        <f t="shared" si="2"/>
        <v>37</v>
      </c>
      <c r="C48" s="24"/>
      <c r="D48" s="24"/>
      <c r="G48" s="48" t="str">
        <f>IF(F48=""," ",IF(ISNA(VLOOKUP(D48,'[2]stock-take'!$A:$E,4,FALSE)), "OUT OF STOCK", VLOOKUP(D48,'[2]stock-take'!$A:$E,4,FALSE)))</f>
        <v xml:space="preserve"> </v>
      </c>
      <c r="H48" s="48">
        <f>IF(ISNA(VLOOKUP(D48,'[2]stock-take'!$A:$E,3,FALSE)), 0, VLOOKUP(D48,'[2]stock-take'!$A:$E,3,FALSE))</f>
        <v>0</v>
      </c>
      <c r="I48" s="48" t="str">
        <f>IF(F48="", " ",IF(ISNA(VLOOKUP(D48,'[2]stock-take'!$G:$K,4,FALSE)), "OUT OF STOCK", VLOOKUP(D48,'[2]stock-take'!$G:$K,4,FALSE)))</f>
        <v xml:space="preserve"> </v>
      </c>
      <c r="J48" s="39">
        <f>IF(ISNA(VLOOKUP(D48,'[2]stock-take'!$G:$K,3,FALSE)), 0, VLOOKUP(D48,'[2]stock-take'!$G:$K,3,FALSE))</f>
        <v>0</v>
      </c>
      <c r="K48" s="49" t="str">
        <f>IF(F48="", " ", IF(ISNA(VLOOKUP(D48,'[2]stock-take'!$M:$Q,4,FALSE)), "OUT OF STOCK", VLOOKUP(D48,'[2]stock-take'!$M:$Q,4,FALSE)))</f>
        <v xml:space="preserve"> </v>
      </c>
      <c r="L48" s="47">
        <f>IF(ISNA(VLOOKUP(D48,'[2]stock-take'!$M:$Q,3,FALSE)), 0, VLOOKUP(D48,'[2]stock-take'!$M:$Q,3,FALSE))</f>
        <v>0</v>
      </c>
      <c r="M48" s="48" t="str">
        <f t="shared" si="0"/>
        <v xml:space="preserve"> </v>
      </c>
      <c r="N48" s="39" t="str">
        <f t="shared" si="1"/>
        <v xml:space="preserve"> </v>
      </c>
    </row>
    <row r="49" spans="1:14">
      <c r="A49" s="37">
        <f t="shared" si="2"/>
        <v>38</v>
      </c>
      <c r="C49" s="24"/>
      <c r="D49" s="24"/>
      <c r="G49" s="48" t="str">
        <f>IF(F49=""," ",IF(ISNA(VLOOKUP(D49,'[2]stock-take'!$A:$E,4,FALSE)), "OUT OF STOCK", VLOOKUP(D49,'[2]stock-take'!$A:$E,4,FALSE)))</f>
        <v xml:space="preserve"> </v>
      </c>
      <c r="H49" s="48">
        <f>IF(ISNA(VLOOKUP(D49,'[2]stock-take'!$A:$E,3,FALSE)), 0, VLOOKUP(D49,'[2]stock-take'!$A:$E,3,FALSE))</f>
        <v>0</v>
      </c>
      <c r="I49" s="48" t="str">
        <f>IF(F49="", " ",IF(ISNA(VLOOKUP(D49,'[2]stock-take'!$G:$K,4,FALSE)), "OUT OF STOCK", VLOOKUP(D49,'[2]stock-take'!$G:$K,4,FALSE)))</f>
        <v xml:space="preserve"> </v>
      </c>
      <c r="J49" s="39">
        <f>IF(ISNA(VLOOKUP(D49,'[2]stock-take'!$G:$K,3,FALSE)), 0, VLOOKUP(D49,'[2]stock-take'!$G:$K,3,FALSE))</f>
        <v>0</v>
      </c>
      <c r="K49" s="49" t="str">
        <f>IF(F49="", " ", IF(ISNA(VLOOKUP(D49,'[2]stock-take'!$M:$Q,4,FALSE)), "OUT OF STOCK", VLOOKUP(D49,'[2]stock-take'!$M:$Q,4,FALSE)))</f>
        <v xml:space="preserve"> </v>
      </c>
      <c r="L49" s="47">
        <f>IF(ISNA(VLOOKUP(D49,'[2]stock-take'!$M:$Q,3,FALSE)), 0, VLOOKUP(D49,'[2]stock-take'!$M:$Q,3,FALSE))</f>
        <v>0</v>
      </c>
      <c r="M49" s="48" t="str">
        <f t="shared" si="0"/>
        <v xml:space="preserve"> </v>
      </c>
      <c r="N49" s="39" t="str">
        <f t="shared" si="1"/>
        <v xml:space="preserve"> </v>
      </c>
    </row>
    <row r="50" spans="1:14">
      <c r="A50" s="37">
        <f t="shared" si="2"/>
        <v>39</v>
      </c>
      <c r="C50" s="24"/>
      <c r="D50" s="24"/>
      <c r="G50" s="48" t="str">
        <f>IF(F50=""," ",IF(ISNA(VLOOKUP(D50,'[2]stock-take'!$A:$E,4,FALSE)), "OUT OF STOCK", VLOOKUP(D50,'[2]stock-take'!$A:$E,4,FALSE)))</f>
        <v xml:space="preserve"> </v>
      </c>
      <c r="H50" s="48">
        <f>IF(ISNA(VLOOKUP(D50,'[2]stock-take'!$A:$E,3,FALSE)), 0, VLOOKUP(D50,'[2]stock-take'!$A:$E,3,FALSE))</f>
        <v>0</v>
      </c>
      <c r="I50" s="48" t="str">
        <f>IF(F50="", " ",IF(ISNA(VLOOKUP(D50,'[2]stock-take'!$G:$K,4,FALSE)), "OUT OF STOCK", VLOOKUP(D50,'[2]stock-take'!$G:$K,4,FALSE)))</f>
        <v xml:space="preserve"> </v>
      </c>
      <c r="J50" s="39">
        <f>IF(ISNA(VLOOKUP(D50,'[2]stock-take'!$G:$K,3,FALSE)), 0, VLOOKUP(D50,'[2]stock-take'!$G:$K,3,FALSE))</f>
        <v>0</v>
      </c>
      <c r="K50" s="49" t="str">
        <f>IF(F50="", " ", IF(ISNA(VLOOKUP(D50,'[2]stock-take'!$M:$Q,4,FALSE)), "OUT OF STOCK", VLOOKUP(D50,'[2]stock-take'!$M:$Q,4,FALSE)))</f>
        <v xml:space="preserve"> </v>
      </c>
      <c r="L50" s="47">
        <f>IF(ISNA(VLOOKUP(D50,'[2]stock-take'!$M:$Q,3,FALSE)), 0, VLOOKUP(D50,'[2]stock-take'!$M:$Q,3,FALSE))</f>
        <v>0</v>
      </c>
      <c r="M50" s="48" t="str">
        <f t="shared" si="0"/>
        <v xml:space="preserve"> </v>
      </c>
      <c r="N50" s="39" t="str">
        <f t="shared" si="1"/>
        <v xml:space="preserve"> </v>
      </c>
    </row>
    <row r="51" spans="1:14">
      <c r="A51" s="37">
        <f t="shared" si="2"/>
        <v>40</v>
      </c>
      <c r="D51" s="24"/>
      <c r="G51" s="48" t="str">
        <f>IF(F51=""," ",IF(ISNA(VLOOKUP(D51,'[2]stock-take'!$A:$E,4,FALSE)), "OUT OF STOCK", VLOOKUP(D51,'[2]stock-take'!$A:$E,4,FALSE)))</f>
        <v xml:space="preserve"> </v>
      </c>
      <c r="H51" s="48">
        <f>IF(ISNA(VLOOKUP(D51,'[2]stock-take'!$A:$E,3,FALSE)), 0, VLOOKUP(D51,'[2]stock-take'!$A:$E,3,FALSE))</f>
        <v>0</v>
      </c>
      <c r="I51" s="48" t="str">
        <f>IF(F51="", " ",IF(ISNA(VLOOKUP(D51,'[2]stock-take'!$G:$K,4,FALSE)), "OUT OF STOCK", VLOOKUP(D51,'[2]stock-take'!$G:$K,4,FALSE)))</f>
        <v xml:space="preserve"> </v>
      </c>
      <c r="J51" s="39">
        <f>IF(ISNA(VLOOKUP(D51,'[2]stock-take'!$G:$K,3,FALSE)), 0, VLOOKUP(D51,'[2]stock-take'!$G:$K,3,FALSE))</f>
        <v>0</v>
      </c>
      <c r="K51" s="49" t="str">
        <f>IF(F51="", " ", IF(ISNA(VLOOKUP(D51,'[2]stock-take'!$M:$Q,4,FALSE)), "OUT OF STOCK", VLOOKUP(D51,'[2]stock-take'!$M:$Q,4,FALSE)))</f>
        <v xml:space="preserve"> </v>
      </c>
      <c r="L51" s="47">
        <f>IF(ISNA(VLOOKUP(D51,'[2]stock-take'!$M:$Q,3,FALSE)), 0, VLOOKUP(D51,'[2]stock-take'!$M:$Q,3,FALSE))</f>
        <v>0</v>
      </c>
      <c r="M51" s="48" t="str">
        <f t="shared" si="0"/>
        <v xml:space="preserve"> </v>
      </c>
      <c r="N51" s="39" t="str">
        <f t="shared" si="1"/>
        <v xml:space="preserve"> </v>
      </c>
    </row>
    <row r="52" spans="1:14">
      <c r="A52" s="37">
        <f t="shared" si="2"/>
        <v>41</v>
      </c>
      <c r="D52" s="24"/>
      <c r="G52" s="48" t="str">
        <f>IF(F52=""," ",IF(ISNA(VLOOKUP(D52,'[2]stock-take'!$A:$E,4,FALSE)), "OUT OF STOCK", VLOOKUP(D52,'[2]stock-take'!$A:$E,4,FALSE)))</f>
        <v xml:space="preserve"> </v>
      </c>
      <c r="H52" s="48">
        <f>IF(ISNA(VLOOKUP(D52,'[2]stock-take'!$A:$E,3,FALSE)), 0, VLOOKUP(D52,'[2]stock-take'!$A:$E,3,FALSE))</f>
        <v>0</v>
      </c>
      <c r="I52" s="48" t="str">
        <f>IF(F52="", " ",IF(ISNA(VLOOKUP(D52,'[2]stock-take'!$G:$K,4,FALSE)), "OUT OF STOCK", VLOOKUP(D52,'[2]stock-take'!$G:$K,4,FALSE)))</f>
        <v xml:space="preserve"> </v>
      </c>
      <c r="J52" s="39">
        <f>IF(ISNA(VLOOKUP(D52,'[2]stock-take'!$G:$K,3,FALSE)), 0, VLOOKUP(D52,'[2]stock-take'!$G:$K,3,FALSE))</f>
        <v>0</v>
      </c>
      <c r="K52" s="49" t="str">
        <f>IF(F52="", " ", IF(ISNA(VLOOKUP(D52,'[2]stock-take'!$M:$Q,4,FALSE)), "OUT OF STOCK", VLOOKUP(D52,'[2]stock-take'!$M:$Q,4,FALSE)))</f>
        <v xml:space="preserve"> </v>
      </c>
      <c r="L52" s="47">
        <f>IF(ISNA(VLOOKUP(D52,'[2]stock-take'!$M:$Q,3,FALSE)), 0, VLOOKUP(D52,'[2]stock-take'!$M:$Q,3,FALSE))</f>
        <v>0</v>
      </c>
      <c r="M52" s="48" t="str">
        <f t="shared" si="0"/>
        <v xml:space="preserve"> </v>
      </c>
      <c r="N52" s="39" t="str">
        <f t="shared" si="1"/>
        <v xml:space="preserve"> </v>
      </c>
    </row>
    <row r="53" spans="1:14">
      <c r="A53" s="37">
        <f t="shared" si="2"/>
        <v>42</v>
      </c>
      <c r="D53" s="24"/>
      <c r="G53" s="48" t="str">
        <f>IF(F53=""," ",IF(ISNA(VLOOKUP(D53,'[2]stock-take'!$A:$E,4,FALSE)), "OUT OF STOCK", VLOOKUP(D53,'[2]stock-take'!$A:$E,4,FALSE)))</f>
        <v xml:space="preserve"> </v>
      </c>
      <c r="H53" s="48">
        <f>IF(ISNA(VLOOKUP(D53,'[2]stock-take'!$A:$E,3,FALSE)), 0, VLOOKUP(D53,'[2]stock-take'!$A:$E,3,FALSE))</f>
        <v>0</v>
      </c>
      <c r="I53" s="48" t="str">
        <f>IF(F53="", " ",IF(ISNA(VLOOKUP(D53,'[2]stock-take'!$G:$K,4,FALSE)), "OUT OF STOCK", VLOOKUP(D53,'[2]stock-take'!$G:$K,4,FALSE)))</f>
        <v xml:space="preserve"> </v>
      </c>
      <c r="J53" s="39">
        <f>IF(ISNA(VLOOKUP(D53,'[2]stock-take'!$G:$K,3,FALSE)), 0, VLOOKUP(D53,'[2]stock-take'!$G:$K,3,FALSE))</f>
        <v>0</v>
      </c>
      <c r="K53" s="49" t="str">
        <f>IF(F53="", " ", IF(ISNA(VLOOKUP(D53,'[2]stock-take'!$M:$Q,4,FALSE)), "OUT OF STOCK", VLOOKUP(D53,'[2]stock-take'!$M:$Q,4,FALSE)))</f>
        <v xml:space="preserve"> </v>
      </c>
      <c r="L53" s="47">
        <f>IF(ISNA(VLOOKUP(D53,'[2]stock-take'!$M:$Q,3,FALSE)), 0, VLOOKUP(D53,'[2]stock-take'!$M:$Q,3,FALSE))</f>
        <v>0</v>
      </c>
      <c r="M53" s="48" t="str">
        <f t="shared" si="0"/>
        <v xml:space="preserve"> </v>
      </c>
      <c r="N53" s="39" t="str">
        <f t="shared" si="1"/>
        <v xml:space="preserve"> </v>
      </c>
    </row>
    <row r="54" spans="1:14">
      <c r="A54" s="37">
        <f t="shared" si="2"/>
        <v>43</v>
      </c>
      <c r="D54" s="24"/>
      <c r="G54" s="48" t="str">
        <f>IF(F54=""," ",IF(ISNA(VLOOKUP(D54,'[2]stock-take'!$A:$E,4,FALSE)), "OUT OF STOCK", VLOOKUP(D54,'[2]stock-take'!$A:$E,4,FALSE)))</f>
        <v xml:space="preserve"> </v>
      </c>
      <c r="H54" s="48">
        <f>IF(ISNA(VLOOKUP(D54,'[2]stock-take'!$A:$E,3,FALSE)), 0, VLOOKUP(D54,'[2]stock-take'!$A:$E,3,FALSE))</f>
        <v>0</v>
      </c>
      <c r="I54" s="48" t="str">
        <f>IF(F54="", " ",IF(ISNA(VLOOKUP(D54,'[2]stock-take'!$G:$K,4,FALSE)), "OUT OF STOCK", VLOOKUP(D54,'[2]stock-take'!$G:$K,4,FALSE)))</f>
        <v xml:space="preserve"> </v>
      </c>
      <c r="J54" s="39">
        <f>IF(ISNA(VLOOKUP(D54,'[2]stock-take'!$G:$K,3,FALSE)), 0, VLOOKUP(D54,'[2]stock-take'!$G:$K,3,FALSE))</f>
        <v>0</v>
      </c>
      <c r="K54" s="49" t="str">
        <f>IF(F54="", " ", IF(ISNA(VLOOKUP(D54,'[2]stock-take'!$M:$Q,4,FALSE)), "OUT OF STOCK", VLOOKUP(D54,'[2]stock-take'!$M:$Q,4,FALSE)))</f>
        <v xml:space="preserve"> </v>
      </c>
      <c r="L54" s="47">
        <f>IF(ISNA(VLOOKUP(D54,'[2]stock-take'!$M:$Q,3,FALSE)), 0, VLOOKUP(D54,'[2]stock-take'!$M:$Q,3,FALSE))</f>
        <v>0</v>
      </c>
      <c r="M54" s="48" t="str">
        <f t="shared" si="0"/>
        <v xml:space="preserve"> </v>
      </c>
      <c r="N54" s="39" t="str">
        <f t="shared" si="1"/>
        <v xml:space="preserve"> </v>
      </c>
    </row>
    <row r="55" spans="1:14">
      <c r="A55" s="37">
        <f t="shared" si="2"/>
        <v>44</v>
      </c>
      <c r="D55" s="24"/>
      <c r="G55" s="48" t="str">
        <f>IF(F55=""," ",IF(ISNA(VLOOKUP(D55,'[2]stock-take'!$A:$E,4,FALSE)), "OUT OF STOCK", VLOOKUP(D55,'[2]stock-take'!$A:$E,4,FALSE)))</f>
        <v xml:space="preserve"> </v>
      </c>
      <c r="H55" s="48">
        <f>IF(ISNA(VLOOKUP(D55,'[2]stock-take'!$A:$E,3,FALSE)), 0, VLOOKUP(D55,'[2]stock-take'!$A:$E,3,FALSE))</f>
        <v>0</v>
      </c>
      <c r="I55" s="48" t="str">
        <f>IF(F55="", " ",IF(ISNA(VLOOKUP(D55,'[2]stock-take'!$G:$K,4,FALSE)), "OUT OF STOCK", VLOOKUP(D55,'[2]stock-take'!$G:$K,4,FALSE)))</f>
        <v xml:space="preserve"> </v>
      </c>
      <c r="J55" s="39">
        <f>IF(ISNA(VLOOKUP(D55,'[2]stock-take'!$G:$K,3,FALSE)), 0, VLOOKUP(D55,'[2]stock-take'!$G:$K,3,FALSE))</f>
        <v>0</v>
      </c>
      <c r="K55" s="49" t="str">
        <f>IF(F55="", " ", IF(ISNA(VLOOKUP(D55,'[2]stock-take'!$M:$Q,4,FALSE)), "OUT OF STOCK", VLOOKUP(D55,'[2]stock-take'!$M:$Q,4,FALSE)))</f>
        <v xml:space="preserve"> </v>
      </c>
      <c r="L55" s="47">
        <f>IF(ISNA(VLOOKUP(D55,'[2]stock-take'!$M:$Q,3,FALSE)), 0, VLOOKUP(D55,'[2]stock-take'!$M:$Q,3,FALSE))</f>
        <v>0</v>
      </c>
      <c r="M55" s="48" t="str">
        <f t="shared" si="0"/>
        <v xml:space="preserve"> </v>
      </c>
      <c r="N55" s="39" t="str">
        <f t="shared" si="1"/>
        <v xml:space="preserve"> </v>
      </c>
    </row>
    <row r="56" spans="1:14">
      <c r="A56" s="37">
        <f t="shared" si="2"/>
        <v>45</v>
      </c>
      <c r="D56" s="24"/>
      <c r="G56" s="48" t="str">
        <f>IF(F56=""," ",IF(ISNA(VLOOKUP(D56,'[2]stock-take'!$A:$E,4,FALSE)), "OUT OF STOCK", VLOOKUP(D56,'[2]stock-take'!$A:$E,4,FALSE)))</f>
        <v xml:space="preserve"> </v>
      </c>
      <c r="H56" s="48">
        <f>IF(ISNA(VLOOKUP(D56,'[2]stock-take'!$A:$E,3,FALSE)), 0, VLOOKUP(D56,'[2]stock-take'!$A:$E,3,FALSE))</f>
        <v>0</v>
      </c>
      <c r="I56" s="48" t="str">
        <f>IF(F56="", " ",IF(ISNA(VLOOKUP(D56,'[2]stock-take'!$G:$K,4,FALSE)), "OUT OF STOCK", VLOOKUP(D56,'[2]stock-take'!$G:$K,4,FALSE)))</f>
        <v xml:space="preserve"> </v>
      </c>
      <c r="J56" s="39">
        <f>IF(ISNA(VLOOKUP(D56,'[2]stock-take'!$G:$K,3,FALSE)), 0, VLOOKUP(D56,'[2]stock-take'!$G:$K,3,FALSE))</f>
        <v>0</v>
      </c>
      <c r="K56" s="49" t="str">
        <f>IF(F56="", " ", IF(ISNA(VLOOKUP(D56,'[2]stock-take'!$M:$Q,4,FALSE)), "OUT OF STOCK", VLOOKUP(D56,'[2]stock-take'!$M:$Q,4,FALSE)))</f>
        <v xml:space="preserve"> </v>
      </c>
      <c r="L56" s="47">
        <f>IF(ISNA(VLOOKUP(D56,'[2]stock-take'!$M:$Q,3,FALSE)), 0, VLOOKUP(D56,'[2]stock-take'!$M:$Q,3,FALSE))</f>
        <v>0</v>
      </c>
      <c r="M56" s="48" t="str">
        <f t="shared" si="0"/>
        <v xml:space="preserve"> </v>
      </c>
      <c r="N56" s="39" t="str">
        <f t="shared" si="1"/>
        <v xml:space="preserve"> </v>
      </c>
    </row>
    <row r="57" spans="1:14">
      <c r="A57" s="37">
        <f t="shared" si="2"/>
        <v>46</v>
      </c>
      <c r="D57" s="24"/>
      <c r="G57" s="48" t="str">
        <f>IF(F57=""," ",IF(ISNA(VLOOKUP(D57,'[2]stock-take'!$A:$E,4,FALSE)), "OUT OF STOCK", VLOOKUP(D57,'[2]stock-take'!$A:$E,4,FALSE)))</f>
        <v xml:space="preserve"> </v>
      </c>
      <c r="H57" s="48">
        <f>IF(ISNA(VLOOKUP(D57,'[2]stock-take'!$A:$E,3,FALSE)), 0, VLOOKUP(D57,'[2]stock-take'!$A:$E,3,FALSE))</f>
        <v>0</v>
      </c>
      <c r="I57" s="48" t="str">
        <f>IF(F57="", " ",IF(ISNA(VLOOKUP(D57,'[2]stock-take'!$G:$K,4,FALSE)), "OUT OF STOCK", VLOOKUP(D57,'[2]stock-take'!$G:$K,4,FALSE)))</f>
        <v xml:space="preserve"> </v>
      </c>
      <c r="J57" s="39">
        <f>IF(ISNA(VLOOKUP(D57,'[2]stock-take'!$G:$K,3,FALSE)), 0, VLOOKUP(D57,'[2]stock-take'!$G:$K,3,FALSE))</f>
        <v>0</v>
      </c>
      <c r="K57" s="49" t="str">
        <f>IF(F57="", " ", IF(ISNA(VLOOKUP(D57,'[2]stock-take'!$M:$Q,4,FALSE)), "OUT OF STOCK", VLOOKUP(D57,'[2]stock-take'!$M:$Q,4,FALSE)))</f>
        <v xml:space="preserve"> </v>
      </c>
      <c r="L57" s="47">
        <f>IF(ISNA(VLOOKUP(D57,'[2]stock-take'!$M:$Q,3,FALSE)), 0, VLOOKUP(D57,'[2]stock-take'!$M:$Q,3,FALSE))</f>
        <v>0</v>
      </c>
      <c r="M57" s="48" t="str">
        <f t="shared" si="0"/>
        <v xml:space="preserve"> </v>
      </c>
      <c r="N57" s="39" t="str">
        <f t="shared" si="1"/>
        <v xml:space="preserve"> </v>
      </c>
    </row>
    <row r="58" spans="1:14">
      <c r="A58" s="37">
        <f t="shared" si="2"/>
        <v>47</v>
      </c>
      <c r="D58" s="24"/>
      <c r="G58" s="48" t="str">
        <f>IF(F58=""," ",IF(ISNA(VLOOKUP(D58,'[2]stock-take'!$A:$E,4,FALSE)), "OUT OF STOCK", VLOOKUP(D58,'[2]stock-take'!$A:$E,4,FALSE)))</f>
        <v xml:space="preserve"> </v>
      </c>
      <c r="H58" s="48">
        <f>IF(ISNA(VLOOKUP(D58,'[2]stock-take'!$A:$E,3,FALSE)), 0, VLOOKUP(D58,'[2]stock-take'!$A:$E,3,FALSE))</f>
        <v>0</v>
      </c>
      <c r="I58" s="48" t="str">
        <f>IF(F58="", " ",IF(ISNA(VLOOKUP(D58,'[2]stock-take'!$G:$K,4,FALSE)), "OUT OF STOCK", VLOOKUP(D58,'[2]stock-take'!$G:$K,4,FALSE)))</f>
        <v xml:space="preserve"> </v>
      </c>
      <c r="J58" s="39">
        <f>IF(ISNA(VLOOKUP(D58,'[2]stock-take'!$G:$K,3,FALSE)), 0, VLOOKUP(D58,'[2]stock-take'!$G:$K,3,FALSE))</f>
        <v>0</v>
      </c>
      <c r="K58" s="49" t="str">
        <f>IF(F58="", " ", IF(ISNA(VLOOKUP(D58,'[2]stock-take'!$M:$Q,4,FALSE)), "OUT OF STOCK", VLOOKUP(D58,'[2]stock-take'!$M:$Q,4,FALSE)))</f>
        <v xml:space="preserve"> </v>
      </c>
      <c r="L58" s="47">
        <f>IF(ISNA(VLOOKUP(D58,'[2]stock-take'!$M:$Q,3,FALSE)), 0, VLOOKUP(D58,'[2]stock-take'!$M:$Q,3,FALSE))</f>
        <v>0</v>
      </c>
      <c r="M58" s="48" t="str">
        <f t="shared" si="0"/>
        <v xml:space="preserve"> </v>
      </c>
      <c r="N58" s="39" t="str">
        <f t="shared" si="1"/>
        <v xml:space="preserve"> </v>
      </c>
    </row>
    <row r="59" spans="1:14">
      <c r="A59" s="37">
        <f t="shared" si="2"/>
        <v>48</v>
      </c>
      <c r="D59" s="24"/>
      <c r="G59" s="48" t="str">
        <f>IF(F59=""," ",IF(ISNA(VLOOKUP(D59,'[2]stock-take'!$A:$E,4,FALSE)), "OUT OF STOCK", VLOOKUP(D59,'[2]stock-take'!$A:$E,4,FALSE)))</f>
        <v xml:space="preserve"> </v>
      </c>
      <c r="H59" s="48">
        <f>IF(ISNA(VLOOKUP(D59,'[2]stock-take'!$A:$E,3,FALSE)), 0, VLOOKUP(D59,'[2]stock-take'!$A:$E,3,FALSE))</f>
        <v>0</v>
      </c>
      <c r="I59" s="48" t="str">
        <f>IF(F59="", " ",IF(ISNA(VLOOKUP(D59,'[2]stock-take'!$G:$K,4,FALSE)), "OUT OF STOCK", VLOOKUP(D59,'[2]stock-take'!$G:$K,4,FALSE)))</f>
        <v xml:space="preserve"> </v>
      </c>
      <c r="J59" s="39">
        <f>IF(ISNA(VLOOKUP(D59,'[2]stock-take'!$G:$K,3,FALSE)), 0, VLOOKUP(D59,'[2]stock-take'!$G:$K,3,FALSE))</f>
        <v>0</v>
      </c>
      <c r="K59" s="49" t="str">
        <f>IF(F59="", " ", IF(ISNA(VLOOKUP(D59,'[2]stock-take'!$M:$Q,4,FALSE)), "OUT OF STOCK", VLOOKUP(D59,'[2]stock-take'!$M:$Q,4,FALSE)))</f>
        <v xml:space="preserve"> </v>
      </c>
      <c r="L59" s="47">
        <f>IF(ISNA(VLOOKUP(D59,'[2]stock-take'!$M:$Q,3,FALSE)), 0, VLOOKUP(D59,'[2]stock-take'!$M:$Q,3,FALSE))</f>
        <v>0</v>
      </c>
      <c r="M59" s="48" t="str">
        <f t="shared" si="0"/>
        <v xml:space="preserve"> </v>
      </c>
      <c r="N59" s="39" t="str">
        <f t="shared" si="1"/>
        <v xml:space="preserve"> </v>
      </c>
    </row>
    <row r="60" spans="1:14">
      <c r="A60" s="37">
        <f t="shared" si="2"/>
        <v>49</v>
      </c>
      <c r="D60" s="24"/>
      <c r="G60" s="48" t="str">
        <f>IF(F60=""," ",IF(ISNA(VLOOKUP(D60,'[2]stock-take'!$A:$E,4,FALSE)), "OUT OF STOCK", VLOOKUP(D60,'[2]stock-take'!$A:$E,4,FALSE)))</f>
        <v xml:space="preserve"> </v>
      </c>
      <c r="H60" s="48">
        <f>IF(ISNA(VLOOKUP(D60,'[2]stock-take'!$A:$E,3,FALSE)), 0, VLOOKUP(D60,'[2]stock-take'!$A:$E,3,FALSE))</f>
        <v>0</v>
      </c>
      <c r="I60" s="48" t="str">
        <f>IF(F60="", " ",IF(ISNA(VLOOKUP(D60,'[2]stock-take'!$G:$K,4,FALSE)), "OUT OF STOCK", VLOOKUP(D60,'[2]stock-take'!$G:$K,4,FALSE)))</f>
        <v xml:space="preserve"> </v>
      </c>
      <c r="J60" s="39">
        <f>IF(ISNA(VLOOKUP(D60,'[2]stock-take'!$G:$K,3,FALSE)), 0, VLOOKUP(D60,'[2]stock-take'!$G:$K,3,FALSE))</f>
        <v>0</v>
      </c>
      <c r="K60" s="49" t="str">
        <f>IF(F60="", " ", IF(ISNA(VLOOKUP(D60,'[2]stock-take'!$M:$Q,4,FALSE)), "OUT OF STOCK", VLOOKUP(D60,'[2]stock-take'!$M:$Q,4,FALSE)))</f>
        <v xml:space="preserve"> </v>
      </c>
      <c r="L60" s="47">
        <f>IF(ISNA(VLOOKUP(D60,'[2]stock-take'!$M:$Q,3,FALSE)), 0, VLOOKUP(D60,'[2]stock-take'!$M:$Q,3,FALSE))</f>
        <v>0</v>
      </c>
      <c r="M60" s="48" t="str">
        <f t="shared" si="0"/>
        <v xml:space="preserve"> </v>
      </c>
      <c r="N60" s="39" t="str">
        <f t="shared" si="1"/>
        <v xml:space="preserve"> </v>
      </c>
    </row>
    <row r="61" spans="1:14">
      <c r="A61" s="37">
        <f t="shared" si="2"/>
        <v>50</v>
      </c>
      <c r="D61" s="24"/>
      <c r="G61" s="48" t="str">
        <f>IF(F61=""," ",IF(ISNA(VLOOKUP(D61,'[2]stock-take'!$A:$E,4,FALSE)), "OUT OF STOCK", VLOOKUP(D61,'[2]stock-take'!$A:$E,4,FALSE)))</f>
        <v xml:space="preserve"> </v>
      </c>
      <c r="H61" s="48">
        <f>IF(ISNA(VLOOKUP(D61,'[2]stock-take'!$A:$E,3,FALSE)), 0, VLOOKUP(D61,'[2]stock-take'!$A:$E,3,FALSE))</f>
        <v>0</v>
      </c>
      <c r="I61" s="48" t="str">
        <f>IF(F61="", " ",IF(ISNA(VLOOKUP(D61,'[2]stock-take'!$G:$K,4,FALSE)), "OUT OF STOCK", VLOOKUP(D61,'[2]stock-take'!$G:$K,4,FALSE)))</f>
        <v xml:space="preserve"> </v>
      </c>
      <c r="J61" s="39">
        <f>IF(ISNA(VLOOKUP(D61,'[2]stock-take'!$G:$K,3,FALSE)), 0, VLOOKUP(D61,'[2]stock-take'!$G:$K,3,FALSE))</f>
        <v>0</v>
      </c>
      <c r="K61" s="49" t="str">
        <f>IF(F61="", " ", IF(ISNA(VLOOKUP(D61,'[2]stock-take'!$M:$Q,4,FALSE)), "OUT OF STOCK", VLOOKUP(D61,'[2]stock-take'!$M:$Q,4,FALSE)))</f>
        <v xml:space="preserve"> </v>
      </c>
      <c r="L61" s="47">
        <f>IF(ISNA(VLOOKUP(D61,'[2]stock-take'!$M:$Q,3,FALSE)), 0, VLOOKUP(D61,'[2]stock-take'!$M:$Q,3,FALSE))</f>
        <v>0</v>
      </c>
      <c r="M61" s="48" t="str">
        <f t="shared" si="0"/>
        <v xml:space="preserve"> </v>
      </c>
      <c r="N61" s="39" t="str">
        <f t="shared" si="1"/>
        <v xml:space="preserve"> </v>
      </c>
    </row>
    <row r="62" spans="1:14">
      <c r="A62" s="37">
        <f t="shared" si="2"/>
        <v>51</v>
      </c>
      <c r="D62" s="24"/>
      <c r="G62" s="48" t="str">
        <f>IF(F62=""," ",IF(ISNA(VLOOKUP(D62,'[2]stock-take'!$A:$E,4,FALSE)), "OUT OF STOCK", VLOOKUP(D62,'[2]stock-take'!$A:$E,4,FALSE)))</f>
        <v xml:space="preserve"> </v>
      </c>
      <c r="H62" s="48">
        <f>IF(ISNA(VLOOKUP(D62,'[2]stock-take'!$A:$E,3,FALSE)), 0, VLOOKUP(D62,'[2]stock-take'!$A:$E,3,FALSE))</f>
        <v>0</v>
      </c>
      <c r="I62" s="48" t="str">
        <f>IF(F62="", " ",IF(ISNA(VLOOKUP(D62,'[2]stock-take'!$G:$K,4,FALSE)), "OUT OF STOCK", VLOOKUP(D62,'[2]stock-take'!$G:$K,4,FALSE)))</f>
        <v xml:space="preserve"> </v>
      </c>
      <c r="J62" s="39">
        <f>IF(ISNA(VLOOKUP(D62,'[2]stock-take'!$G:$K,3,FALSE)), 0, VLOOKUP(D62,'[2]stock-take'!$G:$K,3,FALSE))</f>
        <v>0</v>
      </c>
      <c r="K62" s="49" t="str">
        <f>IF(F62="", " ", IF(ISNA(VLOOKUP(D62,'[2]stock-take'!$M:$Q,4,FALSE)), "OUT OF STOCK", VLOOKUP(D62,'[2]stock-take'!$M:$Q,4,FALSE)))</f>
        <v xml:space="preserve"> </v>
      </c>
      <c r="L62" s="47">
        <f>IF(ISNA(VLOOKUP(D62,'[2]stock-take'!$M:$Q,3,FALSE)), 0, VLOOKUP(D62,'[2]stock-take'!$M:$Q,3,FALSE))</f>
        <v>0</v>
      </c>
      <c r="M62" s="48" t="str">
        <f t="shared" si="0"/>
        <v xml:space="preserve"> </v>
      </c>
      <c r="N62" s="39" t="str">
        <f t="shared" si="1"/>
        <v xml:space="preserve"> </v>
      </c>
    </row>
    <row r="63" spans="1:14">
      <c r="A63" s="37">
        <f t="shared" si="2"/>
        <v>52</v>
      </c>
      <c r="D63" s="24"/>
      <c r="G63" s="48" t="str">
        <f>IF(F63=""," ",IF(ISNA(VLOOKUP(D63,'[2]stock-take'!$A:$E,4,FALSE)), "OUT OF STOCK", VLOOKUP(D63,'[2]stock-take'!$A:$E,4,FALSE)))</f>
        <v xml:space="preserve"> </v>
      </c>
      <c r="H63" s="48">
        <f>IF(ISNA(VLOOKUP(D63,'[2]stock-take'!$A:$E,3,FALSE)), 0, VLOOKUP(D63,'[2]stock-take'!$A:$E,3,FALSE))</f>
        <v>0</v>
      </c>
      <c r="I63" s="48" t="str">
        <f>IF(F63="", " ",IF(ISNA(VLOOKUP(D63,'[2]stock-take'!$G:$K,4,FALSE)), "OUT OF STOCK", VLOOKUP(D63,'[2]stock-take'!$G:$K,4,FALSE)))</f>
        <v xml:space="preserve"> </v>
      </c>
      <c r="J63" s="39">
        <f>IF(ISNA(VLOOKUP(D63,'[2]stock-take'!$G:$K,3,FALSE)), 0, VLOOKUP(D63,'[2]stock-take'!$G:$K,3,FALSE))</f>
        <v>0</v>
      </c>
      <c r="K63" s="49" t="str">
        <f>IF(F63="", " ", IF(ISNA(VLOOKUP(D63,'[2]stock-take'!$M:$Q,4,FALSE)), "OUT OF STOCK", VLOOKUP(D63,'[2]stock-take'!$M:$Q,4,FALSE)))</f>
        <v xml:space="preserve"> </v>
      </c>
      <c r="L63" s="47">
        <f>IF(ISNA(VLOOKUP(D63,'[2]stock-take'!$M:$Q,3,FALSE)), 0, VLOOKUP(D63,'[2]stock-take'!$M:$Q,3,FALSE))</f>
        <v>0</v>
      </c>
      <c r="M63" s="48" t="str">
        <f t="shared" si="0"/>
        <v xml:space="preserve"> </v>
      </c>
      <c r="N63" s="39" t="str">
        <f t="shared" si="1"/>
        <v xml:space="preserve"> </v>
      </c>
    </row>
    <row r="64" spans="1:14">
      <c r="A64" s="37">
        <f t="shared" si="2"/>
        <v>53</v>
      </c>
      <c r="D64" s="24"/>
      <c r="G64" s="48" t="str">
        <f>IF(F64=""," ",IF(ISNA(VLOOKUP(D64,'[2]stock-take'!$A:$E,4,FALSE)), "OUT OF STOCK", VLOOKUP(D64,'[2]stock-take'!$A:$E,4,FALSE)))</f>
        <v xml:space="preserve"> </v>
      </c>
      <c r="H64" s="48">
        <f>IF(ISNA(VLOOKUP(D64,'[2]stock-take'!$A:$E,3,FALSE)), 0, VLOOKUP(D64,'[2]stock-take'!$A:$E,3,FALSE))</f>
        <v>0</v>
      </c>
      <c r="I64" s="48" t="str">
        <f>IF(F64="", " ",IF(ISNA(VLOOKUP(D64,'[2]stock-take'!$G:$K,4,FALSE)), "OUT OF STOCK", VLOOKUP(D64,'[2]stock-take'!$G:$K,4,FALSE)))</f>
        <v xml:space="preserve"> </v>
      </c>
      <c r="J64" s="39">
        <f>IF(ISNA(VLOOKUP(D64,'[2]stock-take'!$G:$K,3,FALSE)), 0, VLOOKUP(D64,'[2]stock-take'!$G:$K,3,FALSE))</f>
        <v>0</v>
      </c>
      <c r="K64" s="49" t="str">
        <f>IF(F64="", " ", IF(ISNA(VLOOKUP(D64,'[2]stock-take'!$M:$Q,4,FALSE)), "OUT OF STOCK", VLOOKUP(D64,'[2]stock-take'!$M:$Q,4,FALSE)))</f>
        <v xml:space="preserve"> </v>
      </c>
      <c r="L64" s="47">
        <f>IF(ISNA(VLOOKUP(D64,'[2]stock-take'!$M:$Q,3,FALSE)), 0, VLOOKUP(D64,'[2]stock-take'!$M:$Q,3,FALSE))</f>
        <v>0</v>
      </c>
      <c r="M64" s="48" t="str">
        <f t="shared" si="0"/>
        <v xml:space="preserve"> </v>
      </c>
      <c r="N64" s="39" t="str">
        <f t="shared" si="1"/>
        <v xml:space="preserve"> </v>
      </c>
    </row>
    <row r="65" spans="1:14">
      <c r="A65" s="37">
        <f t="shared" si="2"/>
        <v>54</v>
      </c>
      <c r="D65" s="24"/>
      <c r="G65" s="48" t="str">
        <f>IF(F65=""," ",IF(ISNA(VLOOKUP(D65,'[2]stock-take'!$A:$E,4,FALSE)), "OUT OF STOCK", VLOOKUP(D65,'[2]stock-take'!$A:$E,4,FALSE)))</f>
        <v xml:space="preserve"> </v>
      </c>
      <c r="H65" s="48">
        <f>IF(ISNA(VLOOKUP(D65,'[2]stock-take'!$A:$E,3,FALSE)), 0, VLOOKUP(D65,'[2]stock-take'!$A:$E,3,FALSE))</f>
        <v>0</v>
      </c>
      <c r="I65" s="48" t="str">
        <f>IF(F65="", " ",IF(ISNA(VLOOKUP(D65,'[2]stock-take'!$G:$K,4,FALSE)), "OUT OF STOCK", VLOOKUP(D65,'[2]stock-take'!$G:$K,4,FALSE)))</f>
        <v xml:space="preserve"> </v>
      </c>
      <c r="J65" s="39">
        <f>IF(ISNA(VLOOKUP(D65,'[2]stock-take'!$G:$K,3,FALSE)), 0, VLOOKUP(D65,'[2]stock-take'!$G:$K,3,FALSE))</f>
        <v>0</v>
      </c>
      <c r="K65" s="49" t="str">
        <f>IF(F65="", " ", IF(ISNA(VLOOKUP(D65,'[2]stock-take'!$M:$Q,4,FALSE)), "OUT OF STOCK", VLOOKUP(D65,'[2]stock-take'!$M:$Q,4,FALSE)))</f>
        <v xml:space="preserve"> </v>
      </c>
      <c r="L65" s="47">
        <f>IF(ISNA(VLOOKUP(D65,'[2]stock-take'!$M:$Q,3,FALSE)), 0, VLOOKUP(D65,'[2]stock-take'!$M:$Q,3,FALSE))</f>
        <v>0</v>
      </c>
      <c r="M65" s="48" t="str">
        <f t="shared" si="0"/>
        <v xml:space="preserve"> </v>
      </c>
      <c r="N65" s="39" t="str">
        <f t="shared" si="1"/>
        <v xml:space="preserve"> </v>
      </c>
    </row>
    <row r="66" spans="1:14">
      <c r="A66" s="37">
        <f t="shared" si="2"/>
        <v>55</v>
      </c>
      <c r="D66" s="24"/>
      <c r="G66" s="48" t="str">
        <f>IF(F66=""," ",IF(ISNA(VLOOKUP(D66,'[2]stock-take'!$A:$E,4,FALSE)), "OUT OF STOCK", VLOOKUP(D66,'[2]stock-take'!$A:$E,4,FALSE)))</f>
        <v xml:space="preserve"> </v>
      </c>
      <c r="H66" s="48">
        <f>IF(ISNA(VLOOKUP(D66,'[2]stock-take'!$A:$E,3,FALSE)), 0, VLOOKUP(D66,'[2]stock-take'!$A:$E,3,FALSE))</f>
        <v>0</v>
      </c>
      <c r="I66" s="48" t="str">
        <f>IF(F66="", " ",IF(ISNA(VLOOKUP(D66,'[2]stock-take'!$G:$K,4,FALSE)), "OUT OF STOCK", VLOOKUP(D66,'[2]stock-take'!$G:$K,4,FALSE)))</f>
        <v xml:space="preserve"> </v>
      </c>
      <c r="J66" s="39">
        <f>IF(ISNA(VLOOKUP(D66,'[2]stock-take'!$G:$K,3,FALSE)), 0, VLOOKUP(D66,'[2]stock-take'!$G:$K,3,FALSE))</f>
        <v>0</v>
      </c>
      <c r="K66" s="49" t="str">
        <f>IF(F66="", " ", IF(ISNA(VLOOKUP(D66,'[2]stock-take'!$M:$Q,4,FALSE)), "OUT OF STOCK", VLOOKUP(D66,'[2]stock-take'!$M:$Q,4,FALSE)))</f>
        <v xml:space="preserve"> </v>
      </c>
      <c r="L66" s="47">
        <f>IF(ISNA(VLOOKUP(D66,'[2]stock-take'!$M:$Q,3,FALSE)), 0, VLOOKUP(D66,'[2]stock-take'!$M:$Q,3,FALSE))</f>
        <v>0</v>
      </c>
      <c r="M66" s="48" t="str">
        <f t="shared" si="0"/>
        <v xml:space="preserve"> </v>
      </c>
      <c r="N66" s="39" t="str">
        <f t="shared" si="1"/>
        <v xml:space="preserve"> </v>
      </c>
    </row>
    <row r="67" spans="1:14">
      <c r="A67" s="37">
        <f t="shared" si="2"/>
        <v>56</v>
      </c>
      <c r="D67" s="24"/>
      <c r="G67" s="48" t="str">
        <f>IF(F67=""," ",IF(ISNA(VLOOKUP(D67,'[2]stock-take'!$A:$E,4,FALSE)), "OUT OF STOCK", VLOOKUP(D67,'[2]stock-take'!$A:$E,4,FALSE)))</f>
        <v xml:space="preserve"> </v>
      </c>
      <c r="H67" s="48">
        <f>IF(ISNA(VLOOKUP(D67,'[2]stock-take'!$A:$E,3,FALSE)), 0, VLOOKUP(D67,'[2]stock-take'!$A:$E,3,FALSE))</f>
        <v>0</v>
      </c>
      <c r="I67" s="48" t="str">
        <f>IF(F67="", " ",IF(ISNA(VLOOKUP(D67,'[2]stock-take'!$G:$K,4,FALSE)), "OUT OF STOCK", VLOOKUP(D67,'[2]stock-take'!$G:$K,4,FALSE)))</f>
        <v xml:space="preserve"> </v>
      </c>
      <c r="J67" s="39">
        <f>IF(ISNA(VLOOKUP(D67,'[2]stock-take'!$G:$K,3,FALSE)), 0, VLOOKUP(D67,'[2]stock-take'!$G:$K,3,FALSE))</f>
        <v>0</v>
      </c>
      <c r="K67" s="49" t="str">
        <f>IF(F67="", " ", IF(ISNA(VLOOKUP(D67,'[2]stock-take'!$M:$Q,4,FALSE)), "OUT OF STOCK", VLOOKUP(D67,'[2]stock-take'!$M:$Q,4,FALSE)))</f>
        <v xml:space="preserve"> </v>
      </c>
      <c r="L67" s="47">
        <f>IF(ISNA(VLOOKUP(D67,'[2]stock-take'!$M:$Q,3,FALSE)), 0, VLOOKUP(D67,'[2]stock-take'!$M:$Q,3,FALSE))</f>
        <v>0</v>
      </c>
      <c r="M67" s="48" t="str">
        <f t="shared" si="0"/>
        <v xml:space="preserve"> </v>
      </c>
      <c r="N67" s="39" t="str">
        <f t="shared" si="1"/>
        <v xml:space="preserve"> </v>
      </c>
    </row>
    <row r="68" spans="1:14">
      <c r="A68" s="37">
        <f t="shared" si="2"/>
        <v>57</v>
      </c>
      <c r="D68" s="24"/>
      <c r="G68" s="48" t="str">
        <f>IF(F68=""," ",IF(ISNA(VLOOKUP(D68,'[2]stock-take'!$A:$E,4,FALSE)), "OUT OF STOCK", VLOOKUP(D68,'[2]stock-take'!$A:$E,4,FALSE)))</f>
        <v xml:space="preserve"> </v>
      </c>
      <c r="H68" s="48">
        <f>IF(ISNA(VLOOKUP(D68,'[2]stock-take'!$A:$E,3,FALSE)), 0, VLOOKUP(D68,'[2]stock-take'!$A:$E,3,FALSE))</f>
        <v>0</v>
      </c>
      <c r="I68" s="48" t="str">
        <f>IF(F68="", " ",IF(ISNA(VLOOKUP(D68,'[2]stock-take'!$G:$K,4,FALSE)), "OUT OF STOCK", VLOOKUP(D68,'[2]stock-take'!$G:$K,4,FALSE)))</f>
        <v xml:space="preserve"> </v>
      </c>
      <c r="J68" s="39">
        <f>IF(ISNA(VLOOKUP(D68,'[2]stock-take'!$G:$K,3,FALSE)), 0, VLOOKUP(D68,'[2]stock-take'!$G:$K,3,FALSE))</f>
        <v>0</v>
      </c>
      <c r="K68" s="49" t="str">
        <f>IF(F68="", " ", IF(ISNA(VLOOKUP(D68,'[2]stock-take'!$M:$Q,4,FALSE)), "OUT OF STOCK", VLOOKUP(D68,'[2]stock-take'!$M:$Q,4,FALSE)))</f>
        <v xml:space="preserve"> </v>
      </c>
      <c r="L68" s="47">
        <f>IF(ISNA(VLOOKUP(D68,'[2]stock-take'!$M:$Q,3,FALSE)), 0, VLOOKUP(D68,'[2]stock-take'!$M:$Q,3,FALSE))</f>
        <v>0</v>
      </c>
      <c r="M68" s="48" t="str">
        <f t="shared" si="0"/>
        <v xml:space="preserve"> </v>
      </c>
      <c r="N68" s="39" t="str">
        <f t="shared" si="1"/>
        <v xml:space="preserve"> </v>
      </c>
    </row>
    <row r="69" spans="1:14">
      <c r="A69" s="37">
        <f t="shared" si="2"/>
        <v>58</v>
      </c>
      <c r="D69" s="24"/>
      <c r="G69" s="48" t="str">
        <f>IF(F69=""," ",IF(ISNA(VLOOKUP(D69,'[2]stock-take'!$A:$E,4,FALSE)), "OUT OF STOCK", VLOOKUP(D69,'[2]stock-take'!$A:$E,4,FALSE)))</f>
        <v xml:space="preserve"> </v>
      </c>
      <c r="H69" s="48">
        <f>IF(ISNA(VLOOKUP(D69,'[2]stock-take'!$A:$E,3,FALSE)), 0, VLOOKUP(D69,'[2]stock-take'!$A:$E,3,FALSE))</f>
        <v>0</v>
      </c>
      <c r="I69" s="48" t="str">
        <f>IF(F69="", " ",IF(ISNA(VLOOKUP(D69,'[2]stock-take'!$G:$K,4,FALSE)), "OUT OF STOCK", VLOOKUP(D69,'[2]stock-take'!$G:$K,4,FALSE)))</f>
        <v xml:space="preserve"> </v>
      </c>
      <c r="J69" s="39">
        <f>IF(ISNA(VLOOKUP(D69,'[2]stock-take'!$G:$K,3,FALSE)), 0, VLOOKUP(D69,'[2]stock-take'!$G:$K,3,FALSE))</f>
        <v>0</v>
      </c>
      <c r="K69" s="49" t="str">
        <f>IF(F69="", " ", IF(ISNA(VLOOKUP(D69,'[2]stock-take'!$M:$Q,4,FALSE)), "OUT OF STOCK", VLOOKUP(D69,'[2]stock-take'!$M:$Q,4,FALSE)))</f>
        <v xml:space="preserve"> </v>
      </c>
      <c r="L69" s="47">
        <f>IF(ISNA(VLOOKUP(D69,'[2]stock-take'!$M:$Q,3,FALSE)), 0, VLOOKUP(D69,'[2]stock-take'!$M:$Q,3,FALSE))</f>
        <v>0</v>
      </c>
      <c r="M69" s="48" t="str">
        <f t="shared" si="0"/>
        <v xml:space="preserve"> </v>
      </c>
      <c r="N69" s="39" t="str">
        <f t="shared" si="1"/>
        <v xml:space="preserve"> </v>
      </c>
    </row>
    <row r="70" spans="1:14">
      <c r="A70" s="37">
        <f t="shared" si="2"/>
        <v>59</v>
      </c>
      <c r="D70" s="24"/>
      <c r="G70" s="48" t="str">
        <f>IF(F70=""," ",IF(ISNA(VLOOKUP(D70,'[2]stock-take'!$A:$E,4,FALSE)), "OUT OF STOCK", VLOOKUP(D70,'[2]stock-take'!$A:$E,4,FALSE)))</f>
        <v xml:space="preserve"> </v>
      </c>
      <c r="H70" s="48">
        <f>IF(ISNA(VLOOKUP(D70,'[2]stock-take'!$A:$E,3,FALSE)), 0, VLOOKUP(D70,'[2]stock-take'!$A:$E,3,FALSE))</f>
        <v>0</v>
      </c>
      <c r="I70" s="48" t="str">
        <f>IF(F70="", " ",IF(ISNA(VLOOKUP(D70,'[2]stock-take'!$G:$K,4,FALSE)), "OUT OF STOCK", VLOOKUP(D70,'[2]stock-take'!$G:$K,4,FALSE)))</f>
        <v xml:space="preserve"> </v>
      </c>
      <c r="J70" s="39">
        <f>IF(ISNA(VLOOKUP(D70,'[2]stock-take'!$G:$K,3,FALSE)), 0, VLOOKUP(D70,'[2]stock-take'!$G:$K,3,FALSE))</f>
        <v>0</v>
      </c>
      <c r="K70" s="49" t="str">
        <f>IF(F70="", " ", IF(ISNA(VLOOKUP(D70,'[2]stock-take'!$M:$Q,4,FALSE)), "OUT OF STOCK", VLOOKUP(D70,'[2]stock-take'!$M:$Q,4,FALSE)))</f>
        <v xml:space="preserve"> </v>
      </c>
      <c r="L70" s="47">
        <f>IF(ISNA(VLOOKUP(D70,'[2]stock-take'!$M:$Q,3,FALSE)), 0, VLOOKUP(D70,'[2]stock-take'!$M:$Q,3,FALSE))</f>
        <v>0</v>
      </c>
      <c r="M70" s="48" t="str">
        <f t="shared" si="0"/>
        <v xml:space="preserve"> </v>
      </c>
      <c r="N70" s="39" t="str">
        <f t="shared" si="1"/>
        <v xml:space="preserve"> </v>
      </c>
    </row>
    <row r="71" spans="1:14">
      <c r="A71" s="37">
        <f t="shared" si="2"/>
        <v>60</v>
      </c>
      <c r="D71" s="24"/>
      <c r="G71" s="48" t="str">
        <f>IF(F71=""," ",IF(ISNA(VLOOKUP(D71,'[2]stock-take'!$A:$E,4,FALSE)), "OUT OF STOCK", VLOOKUP(D71,'[2]stock-take'!$A:$E,4,FALSE)))</f>
        <v xml:space="preserve"> </v>
      </c>
      <c r="H71" s="48">
        <f>IF(ISNA(VLOOKUP(D71,'[2]stock-take'!$A:$E,3,FALSE)), 0, VLOOKUP(D71,'[2]stock-take'!$A:$E,3,FALSE))</f>
        <v>0</v>
      </c>
      <c r="I71" s="48" t="str">
        <f>IF(F71="", " ",IF(ISNA(VLOOKUP(D71,'[2]stock-take'!$G:$K,4,FALSE)), "OUT OF STOCK", VLOOKUP(D71,'[2]stock-take'!$G:$K,4,FALSE)))</f>
        <v xml:space="preserve"> </v>
      </c>
      <c r="J71" s="39">
        <f>IF(ISNA(VLOOKUP(D71,'[2]stock-take'!$G:$K,3,FALSE)), 0, VLOOKUP(D71,'[2]stock-take'!$G:$K,3,FALSE))</f>
        <v>0</v>
      </c>
      <c r="K71" s="49" t="str">
        <f>IF(F71="", " ", IF(ISNA(VLOOKUP(D71,'[2]stock-take'!$M:$Q,4,FALSE)), "OUT OF STOCK", VLOOKUP(D71,'[2]stock-take'!$M:$Q,4,FALSE)))</f>
        <v xml:space="preserve"> </v>
      </c>
      <c r="L71" s="47">
        <f>IF(ISNA(VLOOKUP(D71,'[2]stock-take'!$M:$Q,3,FALSE)), 0, VLOOKUP(D71,'[2]stock-take'!$M:$Q,3,FALSE))</f>
        <v>0</v>
      </c>
      <c r="M71" s="48" t="str">
        <f t="shared" si="0"/>
        <v xml:space="preserve"> </v>
      </c>
      <c r="N71" s="39" t="str">
        <f t="shared" si="1"/>
        <v xml:space="preserve"> </v>
      </c>
    </row>
    <row r="72" spans="1:14">
      <c r="A72" s="37">
        <f t="shared" si="2"/>
        <v>61</v>
      </c>
      <c r="D72" s="24"/>
      <c r="G72" s="48" t="str">
        <f>IF(F72=""," ",IF(ISNA(VLOOKUP(D72,'[2]stock-take'!$A:$E,4,FALSE)), "OUT OF STOCK", VLOOKUP(D72,'[2]stock-take'!$A:$E,4,FALSE)))</f>
        <v xml:space="preserve"> </v>
      </c>
      <c r="H72" s="48">
        <f>IF(ISNA(VLOOKUP(D72,'[2]stock-take'!$A:$E,3,FALSE)), 0, VLOOKUP(D72,'[2]stock-take'!$A:$E,3,FALSE))</f>
        <v>0</v>
      </c>
      <c r="I72" s="48" t="str">
        <f>IF(F72="", " ",IF(ISNA(VLOOKUP(D72,'[2]stock-take'!$G:$K,4,FALSE)), "OUT OF STOCK", VLOOKUP(D72,'[2]stock-take'!$G:$K,4,FALSE)))</f>
        <v xml:space="preserve"> </v>
      </c>
      <c r="J72" s="39">
        <f>IF(ISNA(VLOOKUP(D72,'[2]stock-take'!$G:$K,3,FALSE)), 0, VLOOKUP(D72,'[2]stock-take'!$G:$K,3,FALSE))</f>
        <v>0</v>
      </c>
      <c r="K72" s="49" t="str">
        <f>IF(F72="", " ", IF(ISNA(VLOOKUP(D72,'[2]stock-take'!$M:$Q,4,FALSE)), "OUT OF STOCK", VLOOKUP(D72,'[2]stock-take'!$M:$Q,4,FALSE)))</f>
        <v xml:space="preserve"> </v>
      </c>
      <c r="L72" s="47">
        <f>IF(ISNA(VLOOKUP(D72,'[2]stock-take'!$M:$Q,3,FALSE)), 0, VLOOKUP(D72,'[2]stock-take'!$M:$Q,3,FALSE))</f>
        <v>0</v>
      </c>
      <c r="M72" s="48" t="str">
        <f t="shared" si="0"/>
        <v xml:space="preserve"> </v>
      </c>
      <c r="N72" s="39" t="str">
        <f t="shared" si="1"/>
        <v xml:space="preserve"> </v>
      </c>
    </row>
    <row r="73" spans="1:14">
      <c r="A73" s="37">
        <f t="shared" si="2"/>
        <v>62</v>
      </c>
      <c r="D73" s="24"/>
      <c r="G73" s="48" t="str">
        <f>IF(F73=""," ",IF(ISNA(VLOOKUP(D73,'[2]stock-take'!$A:$E,4,FALSE)), "OUT OF STOCK", VLOOKUP(D73,'[2]stock-take'!$A:$E,4,FALSE)))</f>
        <v xml:space="preserve"> </v>
      </c>
      <c r="H73" s="48">
        <f>IF(ISNA(VLOOKUP(D73,'[2]stock-take'!$A:$E,3,FALSE)), 0, VLOOKUP(D73,'[2]stock-take'!$A:$E,3,FALSE))</f>
        <v>0</v>
      </c>
      <c r="I73" s="48" t="str">
        <f>IF(F73="", " ",IF(ISNA(VLOOKUP(D73,'[2]stock-take'!$G:$K,4,FALSE)), "OUT OF STOCK", VLOOKUP(D73,'[2]stock-take'!$G:$K,4,FALSE)))</f>
        <v xml:space="preserve"> </v>
      </c>
      <c r="J73" s="39">
        <f>IF(ISNA(VLOOKUP(D73,'[2]stock-take'!$G:$K,3,FALSE)), 0, VLOOKUP(D73,'[2]stock-take'!$G:$K,3,FALSE))</f>
        <v>0</v>
      </c>
      <c r="K73" s="49" t="str">
        <f>IF(F73="", " ", IF(ISNA(VLOOKUP(D73,'[2]stock-take'!$M:$Q,4,FALSE)), "OUT OF STOCK", VLOOKUP(D73,'[2]stock-take'!$M:$Q,4,FALSE)))</f>
        <v xml:space="preserve"> </v>
      </c>
      <c r="L73" s="47">
        <f>IF(ISNA(VLOOKUP(D73,'[2]stock-take'!$M:$Q,3,FALSE)), 0, VLOOKUP(D73,'[2]stock-take'!$M:$Q,3,FALSE))</f>
        <v>0</v>
      </c>
      <c r="M73" s="48" t="str">
        <f t="shared" si="0"/>
        <v xml:space="preserve"> </v>
      </c>
      <c r="N73" s="39" t="str">
        <f t="shared" si="1"/>
        <v xml:space="preserve"> </v>
      </c>
    </row>
    <row r="74" spans="1:14">
      <c r="A74" s="37">
        <f t="shared" si="2"/>
        <v>63</v>
      </c>
      <c r="D74" s="24"/>
      <c r="G74" s="48" t="str">
        <f>IF(F74=""," ",IF(ISNA(VLOOKUP(D74,'[2]stock-take'!$A:$E,4,FALSE)), "OUT OF STOCK", VLOOKUP(D74,'[2]stock-take'!$A:$E,4,FALSE)))</f>
        <v xml:space="preserve"> </v>
      </c>
      <c r="H74" s="48">
        <f>IF(ISNA(VLOOKUP(D74,'[2]stock-take'!$A:$E,3,FALSE)), 0, VLOOKUP(D74,'[2]stock-take'!$A:$E,3,FALSE))</f>
        <v>0</v>
      </c>
      <c r="I74" s="48" t="str">
        <f>IF(F74="", " ",IF(ISNA(VLOOKUP(D74,'[2]stock-take'!$G:$K,4,FALSE)), "OUT OF STOCK", VLOOKUP(D74,'[2]stock-take'!$G:$K,4,FALSE)))</f>
        <v xml:space="preserve"> </v>
      </c>
      <c r="J74" s="39">
        <f>IF(ISNA(VLOOKUP(D74,'[2]stock-take'!$G:$K,3,FALSE)), 0, VLOOKUP(D74,'[2]stock-take'!$G:$K,3,FALSE))</f>
        <v>0</v>
      </c>
      <c r="K74" s="49" t="str">
        <f>IF(F74="", " ", IF(ISNA(VLOOKUP(D74,'[2]stock-take'!$M:$Q,4,FALSE)), "OUT OF STOCK", VLOOKUP(D74,'[2]stock-take'!$M:$Q,4,FALSE)))</f>
        <v xml:space="preserve"> </v>
      </c>
      <c r="L74" s="47">
        <f>IF(ISNA(VLOOKUP(D74,'[2]stock-take'!$M:$Q,3,FALSE)), 0, VLOOKUP(D74,'[2]stock-take'!$M:$Q,3,FALSE))</f>
        <v>0</v>
      </c>
      <c r="M74" s="48" t="str">
        <f t="shared" si="0"/>
        <v xml:space="preserve"> </v>
      </c>
      <c r="N74" s="39" t="str">
        <f t="shared" si="1"/>
        <v xml:space="preserve"> </v>
      </c>
    </row>
    <row r="75" spans="1:14">
      <c r="A75" s="37">
        <f t="shared" si="2"/>
        <v>64</v>
      </c>
      <c r="D75" s="24"/>
      <c r="G75" s="48" t="str">
        <f>IF(F75=""," ",IF(ISNA(VLOOKUP(D75,'[2]stock-take'!$A:$E,4,FALSE)), "OUT OF STOCK", VLOOKUP(D75,'[2]stock-take'!$A:$E,4,FALSE)))</f>
        <v xml:space="preserve"> </v>
      </c>
      <c r="H75" s="48">
        <f>IF(ISNA(VLOOKUP(D75,'[2]stock-take'!$A:$E,3,FALSE)), 0, VLOOKUP(D75,'[2]stock-take'!$A:$E,3,FALSE))</f>
        <v>0</v>
      </c>
      <c r="I75" s="48" t="str">
        <f>IF(F75="", " ",IF(ISNA(VLOOKUP(D75,'[2]stock-take'!$G:$K,4,FALSE)), "OUT OF STOCK", VLOOKUP(D75,'[2]stock-take'!$G:$K,4,FALSE)))</f>
        <v xml:space="preserve"> </v>
      </c>
      <c r="J75" s="39">
        <f>IF(ISNA(VLOOKUP(D75,'[2]stock-take'!$G:$K,3,FALSE)), 0, VLOOKUP(D75,'[2]stock-take'!$G:$K,3,FALSE))</f>
        <v>0</v>
      </c>
      <c r="K75" s="49" t="str">
        <f>IF(F75="", " ", IF(ISNA(VLOOKUP(D75,'[2]stock-take'!$M:$Q,4,FALSE)), "OUT OF STOCK", VLOOKUP(D75,'[2]stock-take'!$M:$Q,4,FALSE)))</f>
        <v xml:space="preserve"> </v>
      </c>
      <c r="L75" s="47">
        <f>IF(ISNA(VLOOKUP(D75,'[2]stock-take'!$M:$Q,3,FALSE)), 0, VLOOKUP(D75,'[2]stock-take'!$M:$Q,3,FALSE))</f>
        <v>0</v>
      </c>
      <c r="M75" s="48" t="str">
        <f t="shared" si="0"/>
        <v xml:space="preserve"> </v>
      </c>
      <c r="N75" s="39" t="str">
        <f t="shared" si="1"/>
        <v xml:space="preserve"> </v>
      </c>
    </row>
    <row r="76" spans="1:14">
      <c r="A76" s="37">
        <f t="shared" ref="A76:A139" si="3">ROW(A76)-11</f>
        <v>65</v>
      </c>
      <c r="D76" s="24"/>
      <c r="G76" s="48" t="str">
        <f>IF(F76=""," ",IF(ISNA(VLOOKUP(D76,'[2]stock-take'!$A:$E,4,FALSE)), "OUT OF STOCK", VLOOKUP(D76,'[2]stock-take'!$A:$E,4,FALSE)))</f>
        <v xml:space="preserve"> </v>
      </c>
      <c r="H76" s="48">
        <f>IF(ISNA(VLOOKUP(D76,'[2]stock-take'!$A:$E,3,FALSE)), 0, VLOOKUP(D76,'[2]stock-take'!$A:$E,3,FALSE))</f>
        <v>0</v>
      </c>
      <c r="I76" s="48" t="str">
        <f>IF(F76="", " ",IF(ISNA(VLOOKUP(D76,'[2]stock-take'!$G:$K,4,FALSE)), "OUT OF STOCK", VLOOKUP(D76,'[2]stock-take'!$G:$K,4,FALSE)))</f>
        <v xml:space="preserve"> </v>
      </c>
      <c r="J76" s="39">
        <f>IF(ISNA(VLOOKUP(D76,'[2]stock-take'!$G:$K,3,FALSE)), 0, VLOOKUP(D76,'[2]stock-take'!$G:$K,3,FALSE))</f>
        <v>0</v>
      </c>
      <c r="K76" s="49" t="str">
        <f>IF(F76="", " ", IF(ISNA(VLOOKUP(D76,'[2]stock-take'!$M:$Q,4,FALSE)), "OUT OF STOCK", VLOOKUP(D76,'[2]stock-take'!$M:$Q,4,FALSE)))</f>
        <v xml:space="preserve"> </v>
      </c>
      <c r="L76" s="47">
        <f>IF(ISNA(VLOOKUP(D76,'[2]stock-take'!$M:$Q,3,FALSE)), 0, VLOOKUP(D76,'[2]stock-take'!$M:$Q,3,FALSE))</f>
        <v>0</v>
      </c>
      <c r="M76" s="48" t="str">
        <f t="shared" si="0"/>
        <v xml:space="preserve"> </v>
      </c>
      <c r="N76" s="39" t="str">
        <f t="shared" si="1"/>
        <v xml:space="preserve"> </v>
      </c>
    </row>
    <row r="77" spans="1:14">
      <c r="A77" s="37">
        <f t="shared" si="3"/>
        <v>66</v>
      </c>
      <c r="D77" s="24"/>
      <c r="G77" s="48" t="str">
        <f>IF(F77=""," ",IF(ISNA(VLOOKUP(D77,'[2]stock-take'!$A:$E,4,FALSE)), "OUT OF STOCK", VLOOKUP(D77,'[2]stock-take'!$A:$E,4,FALSE)))</f>
        <v xml:space="preserve"> </v>
      </c>
      <c r="H77" s="48">
        <f>IF(ISNA(VLOOKUP(D77,'[2]stock-take'!$A:$E,3,FALSE)), 0, VLOOKUP(D77,'[2]stock-take'!$A:$E,3,FALSE))</f>
        <v>0</v>
      </c>
      <c r="I77" s="48" t="str">
        <f>IF(F77="", " ",IF(ISNA(VLOOKUP(D77,'[2]stock-take'!$G:$K,4,FALSE)), "OUT OF STOCK", VLOOKUP(D77,'[2]stock-take'!$G:$K,4,FALSE)))</f>
        <v xml:space="preserve"> </v>
      </c>
      <c r="J77" s="39">
        <f>IF(ISNA(VLOOKUP(D77,'[2]stock-take'!$G:$K,3,FALSE)), 0, VLOOKUP(D77,'[2]stock-take'!$G:$K,3,FALSE))</f>
        <v>0</v>
      </c>
      <c r="K77" s="49" t="str">
        <f>IF(F77="", " ", IF(ISNA(VLOOKUP(D77,'[2]stock-take'!$M:$Q,4,FALSE)), "OUT OF STOCK", VLOOKUP(D77,'[2]stock-take'!$M:$Q,4,FALSE)))</f>
        <v xml:space="preserve"> </v>
      </c>
      <c r="L77" s="47">
        <f>IF(ISNA(VLOOKUP(D77,'[2]stock-take'!$M:$Q,3,FALSE)), 0, VLOOKUP(D77,'[2]stock-take'!$M:$Q,3,FALSE))</f>
        <v>0</v>
      </c>
      <c r="M77" s="48" t="str">
        <f t="shared" ref="M77:M140" si="4">IF(F77=""," ",IF(H77&gt;=F77,"Y",IF(J77&gt;=F77,"Y",IF(L77&gt;=F77,"Y",IF(SUM(H77,J77,L77)&gt;=F77,"Y","N")))))</f>
        <v xml:space="preserve"> </v>
      </c>
      <c r="N77" s="39" t="str">
        <f t="shared" ref="N77:N140" si="5">IF(F77=""," ",IF(H77&gt;=F77,"ILOOM",IF(J77&gt;=F77,"NO.6",IF(L77&gt;=F77,"RMD",IF(SUM(H77,J77,L77)&gt;=F77,"MULTI","LACK")))))</f>
        <v xml:space="preserve"> </v>
      </c>
    </row>
    <row r="78" spans="1:14">
      <c r="A78" s="37">
        <f t="shared" si="3"/>
        <v>67</v>
      </c>
      <c r="D78" s="24"/>
      <c r="G78" s="48" t="str">
        <f>IF(F78=""," ",IF(ISNA(VLOOKUP(D78,'[2]stock-take'!$A:$E,4,FALSE)), "OUT OF STOCK", VLOOKUP(D78,'[2]stock-take'!$A:$E,4,FALSE)))</f>
        <v xml:space="preserve"> </v>
      </c>
      <c r="H78" s="48">
        <f>IF(ISNA(VLOOKUP(D78,'[2]stock-take'!$A:$E,3,FALSE)), 0, VLOOKUP(D78,'[2]stock-take'!$A:$E,3,FALSE))</f>
        <v>0</v>
      </c>
      <c r="I78" s="48" t="str">
        <f>IF(F78="", " ",IF(ISNA(VLOOKUP(D78,'[2]stock-take'!$G:$K,4,FALSE)), "OUT OF STOCK", VLOOKUP(D78,'[2]stock-take'!$G:$K,4,FALSE)))</f>
        <v xml:space="preserve"> </v>
      </c>
      <c r="J78" s="39">
        <f>IF(ISNA(VLOOKUP(D78,'[2]stock-take'!$G:$K,3,FALSE)), 0, VLOOKUP(D78,'[2]stock-take'!$G:$K,3,FALSE))</f>
        <v>0</v>
      </c>
      <c r="K78" s="49" t="str">
        <f>IF(F78="", " ", IF(ISNA(VLOOKUP(D78,'[2]stock-take'!$M:$Q,4,FALSE)), "OUT OF STOCK", VLOOKUP(D78,'[2]stock-take'!$M:$Q,4,FALSE)))</f>
        <v xml:space="preserve"> </v>
      </c>
      <c r="L78" s="47">
        <f>IF(ISNA(VLOOKUP(D78,'[2]stock-take'!$M:$Q,3,FALSE)), 0, VLOOKUP(D78,'[2]stock-take'!$M:$Q,3,FALSE))</f>
        <v>0</v>
      </c>
      <c r="M78" s="48" t="str">
        <f t="shared" si="4"/>
        <v xml:space="preserve"> </v>
      </c>
      <c r="N78" s="39" t="str">
        <f t="shared" si="5"/>
        <v xml:space="preserve"> </v>
      </c>
    </row>
    <row r="79" spans="1:14">
      <c r="A79" s="37">
        <f t="shared" si="3"/>
        <v>68</v>
      </c>
      <c r="D79" s="24"/>
      <c r="G79" s="48" t="str">
        <f>IF(F79=""," ",IF(ISNA(VLOOKUP(D79,'[2]stock-take'!$A:$E,4,FALSE)), "OUT OF STOCK", VLOOKUP(D79,'[2]stock-take'!$A:$E,4,FALSE)))</f>
        <v xml:space="preserve"> </v>
      </c>
      <c r="H79" s="48">
        <f>IF(ISNA(VLOOKUP(D79,'[2]stock-take'!$A:$E,3,FALSE)), 0, VLOOKUP(D79,'[2]stock-take'!$A:$E,3,FALSE))</f>
        <v>0</v>
      </c>
      <c r="I79" s="48" t="str">
        <f>IF(F79="", " ",IF(ISNA(VLOOKUP(D79,'[2]stock-take'!$G:$K,4,FALSE)), "OUT OF STOCK", VLOOKUP(D79,'[2]stock-take'!$G:$K,4,FALSE)))</f>
        <v xml:space="preserve"> </v>
      </c>
      <c r="J79" s="39">
        <f>IF(ISNA(VLOOKUP(D79,'[2]stock-take'!$G:$K,3,FALSE)), 0, VLOOKUP(D79,'[2]stock-take'!$G:$K,3,FALSE))</f>
        <v>0</v>
      </c>
      <c r="K79" s="49" t="str">
        <f>IF(F79="", " ", IF(ISNA(VLOOKUP(D79,'[2]stock-take'!$M:$Q,4,FALSE)), "OUT OF STOCK", VLOOKUP(D79,'[2]stock-take'!$M:$Q,4,FALSE)))</f>
        <v xml:space="preserve"> </v>
      </c>
      <c r="L79" s="47">
        <f>IF(ISNA(VLOOKUP(D79,'[2]stock-take'!$M:$Q,3,FALSE)), 0, VLOOKUP(D79,'[2]stock-take'!$M:$Q,3,FALSE))</f>
        <v>0</v>
      </c>
      <c r="M79" s="48" t="str">
        <f t="shared" si="4"/>
        <v xml:space="preserve"> </v>
      </c>
      <c r="N79" s="39" t="str">
        <f t="shared" si="5"/>
        <v xml:space="preserve"> </v>
      </c>
    </row>
    <row r="80" spans="1:14">
      <c r="A80" s="37">
        <f t="shared" si="3"/>
        <v>69</v>
      </c>
      <c r="D80" s="24"/>
      <c r="G80" s="48" t="str">
        <f>IF(F80=""," ",IF(ISNA(VLOOKUP(D80,'[2]stock-take'!$A:$E,4,FALSE)), "OUT OF STOCK", VLOOKUP(D80,'[2]stock-take'!$A:$E,4,FALSE)))</f>
        <v xml:space="preserve"> </v>
      </c>
      <c r="H80" s="48">
        <f>IF(ISNA(VLOOKUP(D80,'[2]stock-take'!$A:$E,3,FALSE)), 0, VLOOKUP(D80,'[2]stock-take'!$A:$E,3,FALSE))</f>
        <v>0</v>
      </c>
      <c r="I80" s="48" t="str">
        <f>IF(F80="", " ",IF(ISNA(VLOOKUP(D80,'[2]stock-take'!$G:$K,4,FALSE)), "OUT OF STOCK", VLOOKUP(D80,'[2]stock-take'!$G:$K,4,FALSE)))</f>
        <v xml:space="preserve"> </v>
      </c>
      <c r="J80" s="39">
        <f>IF(ISNA(VLOOKUP(D80,'[2]stock-take'!$G:$K,3,FALSE)), 0, VLOOKUP(D80,'[2]stock-take'!$G:$K,3,FALSE))</f>
        <v>0</v>
      </c>
      <c r="K80" s="49" t="str">
        <f>IF(F80="", " ", IF(ISNA(VLOOKUP(D80,'[2]stock-take'!$M:$Q,4,FALSE)), "OUT OF STOCK", VLOOKUP(D80,'[2]stock-take'!$M:$Q,4,FALSE)))</f>
        <v xml:space="preserve"> </v>
      </c>
      <c r="L80" s="47">
        <f>IF(ISNA(VLOOKUP(D80,'[2]stock-take'!$M:$Q,3,FALSE)), 0, VLOOKUP(D80,'[2]stock-take'!$M:$Q,3,FALSE))</f>
        <v>0</v>
      </c>
      <c r="M80" s="48" t="str">
        <f t="shared" si="4"/>
        <v xml:space="preserve"> </v>
      </c>
      <c r="N80" s="39" t="str">
        <f t="shared" si="5"/>
        <v xml:space="preserve"> </v>
      </c>
    </row>
    <row r="81" spans="1:14">
      <c r="A81" s="37">
        <f t="shared" si="3"/>
        <v>70</v>
      </c>
      <c r="D81" s="24"/>
      <c r="G81" s="48" t="str">
        <f>IF(F81=""," ",IF(ISNA(VLOOKUP(D81,'[2]stock-take'!$A:$E,4,FALSE)), "OUT OF STOCK", VLOOKUP(D81,'[2]stock-take'!$A:$E,4,FALSE)))</f>
        <v xml:space="preserve"> </v>
      </c>
      <c r="H81" s="48">
        <f>IF(ISNA(VLOOKUP(D81,'[2]stock-take'!$A:$E,3,FALSE)), 0, VLOOKUP(D81,'[2]stock-take'!$A:$E,3,FALSE))</f>
        <v>0</v>
      </c>
      <c r="I81" s="48" t="str">
        <f>IF(F81="", " ",IF(ISNA(VLOOKUP(D81,'[2]stock-take'!$G:$K,4,FALSE)), "OUT OF STOCK", VLOOKUP(D81,'[2]stock-take'!$G:$K,4,FALSE)))</f>
        <v xml:space="preserve"> </v>
      </c>
      <c r="J81" s="39">
        <f>IF(ISNA(VLOOKUP(D81,'[2]stock-take'!$G:$K,3,FALSE)), 0, VLOOKUP(D81,'[2]stock-take'!$G:$K,3,FALSE))</f>
        <v>0</v>
      </c>
      <c r="K81" s="49" t="str">
        <f>IF(F81="", " ", IF(ISNA(VLOOKUP(D81,'[2]stock-take'!$M:$Q,4,FALSE)), "OUT OF STOCK", VLOOKUP(D81,'[2]stock-take'!$M:$Q,4,FALSE)))</f>
        <v xml:space="preserve"> </v>
      </c>
      <c r="L81" s="47">
        <f>IF(ISNA(VLOOKUP(D81,'[2]stock-take'!$M:$Q,3,FALSE)), 0, VLOOKUP(D81,'[2]stock-take'!$M:$Q,3,FALSE))</f>
        <v>0</v>
      </c>
      <c r="M81" s="48" t="str">
        <f t="shared" si="4"/>
        <v xml:space="preserve"> </v>
      </c>
      <c r="N81" s="39" t="str">
        <f t="shared" si="5"/>
        <v xml:space="preserve"> </v>
      </c>
    </row>
    <row r="82" spans="1:14">
      <c r="A82" s="37">
        <f t="shared" si="3"/>
        <v>71</v>
      </c>
      <c r="D82" s="24"/>
      <c r="G82" s="48" t="str">
        <f>IF(F82=""," ",IF(ISNA(VLOOKUP(D82,'[2]stock-take'!$A:$E,4,FALSE)), "OUT OF STOCK", VLOOKUP(D82,'[2]stock-take'!$A:$E,4,FALSE)))</f>
        <v xml:space="preserve"> </v>
      </c>
      <c r="H82" s="48">
        <f>IF(ISNA(VLOOKUP(D82,'[2]stock-take'!$A:$E,3,FALSE)), 0, VLOOKUP(D82,'[2]stock-take'!$A:$E,3,FALSE))</f>
        <v>0</v>
      </c>
      <c r="I82" s="48" t="str">
        <f>IF(F82="", " ",IF(ISNA(VLOOKUP(D82,'[2]stock-take'!$G:$K,4,FALSE)), "OUT OF STOCK", VLOOKUP(D82,'[2]stock-take'!$G:$K,4,FALSE)))</f>
        <v xml:space="preserve"> </v>
      </c>
      <c r="J82" s="39">
        <f>IF(ISNA(VLOOKUP(D82,'[2]stock-take'!$G:$K,3,FALSE)), 0, VLOOKUP(D82,'[2]stock-take'!$G:$K,3,FALSE))</f>
        <v>0</v>
      </c>
      <c r="K82" s="49" t="str">
        <f>IF(F82="", " ", IF(ISNA(VLOOKUP(D82,'[2]stock-take'!$M:$Q,4,FALSE)), "OUT OF STOCK", VLOOKUP(D82,'[2]stock-take'!$M:$Q,4,FALSE)))</f>
        <v xml:space="preserve"> </v>
      </c>
      <c r="L82" s="47">
        <f>IF(ISNA(VLOOKUP(D82,'[2]stock-take'!$M:$Q,3,FALSE)), 0, VLOOKUP(D82,'[2]stock-take'!$M:$Q,3,FALSE))</f>
        <v>0</v>
      </c>
      <c r="M82" s="48" t="str">
        <f t="shared" si="4"/>
        <v xml:space="preserve"> </v>
      </c>
      <c r="N82" s="39" t="str">
        <f t="shared" si="5"/>
        <v xml:space="preserve"> </v>
      </c>
    </row>
    <row r="83" spans="1:14">
      <c r="A83" s="37">
        <f t="shared" si="3"/>
        <v>72</v>
      </c>
      <c r="D83" s="24"/>
      <c r="G83" s="48" t="str">
        <f>IF(F83=""," ",IF(ISNA(VLOOKUP(D83,'[2]stock-take'!$A:$E,4,FALSE)), "OUT OF STOCK", VLOOKUP(D83,'[2]stock-take'!$A:$E,4,FALSE)))</f>
        <v xml:space="preserve"> </v>
      </c>
      <c r="H83" s="48">
        <f>IF(ISNA(VLOOKUP(D83,'[2]stock-take'!$A:$E,3,FALSE)), 0, VLOOKUP(D83,'[2]stock-take'!$A:$E,3,FALSE))</f>
        <v>0</v>
      </c>
      <c r="I83" s="48" t="str">
        <f>IF(F83="", " ",IF(ISNA(VLOOKUP(D83,'[2]stock-take'!$G:$K,4,FALSE)), "OUT OF STOCK", VLOOKUP(D83,'[2]stock-take'!$G:$K,4,FALSE)))</f>
        <v xml:space="preserve"> </v>
      </c>
      <c r="J83" s="39">
        <f>IF(ISNA(VLOOKUP(D83,'[2]stock-take'!$G:$K,3,FALSE)), 0, VLOOKUP(D83,'[2]stock-take'!$G:$K,3,FALSE))</f>
        <v>0</v>
      </c>
      <c r="K83" s="49" t="str">
        <f>IF(F83="", " ", IF(ISNA(VLOOKUP(D83,'[2]stock-take'!$M:$Q,4,FALSE)), "OUT OF STOCK", VLOOKUP(D83,'[2]stock-take'!$M:$Q,4,FALSE)))</f>
        <v xml:space="preserve"> </v>
      </c>
      <c r="L83" s="47">
        <f>IF(ISNA(VLOOKUP(D83,'[2]stock-take'!$M:$Q,3,FALSE)), 0, VLOOKUP(D83,'[2]stock-take'!$M:$Q,3,FALSE))</f>
        <v>0</v>
      </c>
      <c r="M83" s="48" t="str">
        <f t="shared" si="4"/>
        <v xml:space="preserve"> </v>
      </c>
      <c r="N83" s="39" t="str">
        <f t="shared" si="5"/>
        <v xml:space="preserve"> </v>
      </c>
    </row>
    <row r="84" spans="1:14">
      <c r="A84" s="37">
        <f t="shared" si="3"/>
        <v>73</v>
      </c>
      <c r="D84" s="24"/>
      <c r="G84" s="48" t="str">
        <f>IF(F84=""," ",IF(ISNA(VLOOKUP(D84,'[2]stock-take'!$A:$E,4,FALSE)), "OUT OF STOCK", VLOOKUP(D84,'[2]stock-take'!$A:$E,4,FALSE)))</f>
        <v xml:space="preserve"> </v>
      </c>
      <c r="H84" s="48">
        <f>IF(ISNA(VLOOKUP(D84,'[2]stock-take'!$A:$E,3,FALSE)), 0, VLOOKUP(D84,'[2]stock-take'!$A:$E,3,FALSE))</f>
        <v>0</v>
      </c>
      <c r="I84" s="48" t="str">
        <f>IF(F84="", " ",IF(ISNA(VLOOKUP(D84,'[2]stock-take'!$G:$K,4,FALSE)), "OUT OF STOCK", VLOOKUP(D84,'[2]stock-take'!$G:$K,4,FALSE)))</f>
        <v xml:space="preserve"> </v>
      </c>
      <c r="J84" s="39">
        <f>IF(ISNA(VLOOKUP(D84,'[2]stock-take'!$G:$K,3,FALSE)), 0, VLOOKUP(D84,'[2]stock-take'!$G:$K,3,FALSE))</f>
        <v>0</v>
      </c>
      <c r="K84" s="49" t="str">
        <f>IF(F84="", " ", IF(ISNA(VLOOKUP(D84,'[2]stock-take'!$M:$Q,4,FALSE)), "OUT OF STOCK", VLOOKUP(D84,'[2]stock-take'!$M:$Q,4,FALSE)))</f>
        <v xml:space="preserve"> </v>
      </c>
      <c r="L84" s="47">
        <f>IF(ISNA(VLOOKUP(D84,'[2]stock-take'!$M:$Q,3,FALSE)), 0, VLOOKUP(D84,'[2]stock-take'!$M:$Q,3,FALSE))</f>
        <v>0</v>
      </c>
      <c r="M84" s="48" t="str">
        <f t="shared" si="4"/>
        <v xml:space="preserve"> </v>
      </c>
      <c r="N84" s="39" t="str">
        <f t="shared" si="5"/>
        <v xml:space="preserve"> </v>
      </c>
    </row>
    <row r="85" spans="1:14">
      <c r="A85" s="37">
        <f t="shared" si="3"/>
        <v>74</v>
      </c>
      <c r="D85" s="24"/>
      <c r="G85" s="48" t="str">
        <f>IF(F85=""," ",IF(ISNA(VLOOKUP(D85,'[2]stock-take'!$A:$E,4,FALSE)), "OUT OF STOCK", VLOOKUP(D85,'[2]stock-take'!$A:$E,4,FALSE)))</f>
        <v xml:space="preserve"> </v>
      </c>
      <c r="H85" s="48">
        <f>IF(ISNA(VLOOKUP(D85,'[2]stock-take'!$A:$E,3,FALSE)), 0, VLOOKUP(D85,'[2]stock-take'!$A:$E,3,FALSE))</f>
        <v>0</v>
      </c>
      <c r="I85" s="48" t="str">
        <f>IF(F85="", " ",IF(ISNA(VLOOKUP(D85,'[2]stock-take'!$G:$K,4,FALSE)), "OUT OF STOCK", VLOOKUP(D85,'[2]stock-take'!$G:$K,4,FALSE)))</f>
        <v xml:space="preserve"> </v>
      </c>
      <c r="J85" s="39">
        <f>IF(ISNA(VLOOKUP(D85,'[2]stock-take'!$G:$K,3,FALSE)), 0, VLOOKUP(D85,'[2]stock-take'!$G:$K,3,FALSE))</f>
        <v>0</v>
      </c>
      <c r="K85" s="49" t="str">
        <f>IF(F85="", " ", IF(ISNA(VLOOKUP(D85,'[2]stock-take'!$M:$Q,4,FALSE)), "OUT OF STOCK", VLOOKUP(D85,'[2]stock-take'!$M:$Q,4,FALSE)))</f>
        <v xml:space="preserve"> </v>
      </c>
      <c r="L85" s="47">
        <f>IF(ISNA(VLOOKUP(D85,'[2]stock-take'!$M:$Q,3,FALSE)), 0, VLOOKUP(D85,'[2]stock-take'!$M:$Q,3,FALSE))</f>
        <v>0</v>
      </c>
      <c r="M85" s="48" t="str">
        <f t="shared" si="4"/>
        <v xml:space="preserve"> </v>
      </c>
      <c r="N85" s="39" t="str">
        <f t="shared" si="5"/>
        <v xml:space="preserve"> </v>
      </c>
    </row>
    <row r="86" spans="1:14">
      <c r="A86" s="37">
        <f t="shared" si="3"/>
        <v>75</v>
      </c>
      <c r="D86" s="24"/>
      <c r="G86" s="48" t="str">
        <f>IF(F86=""," ",IF(ISNA(VLOOKUP(D86,'[2]stock-take'!$A:$E,4,FALSE)), "OUT OF STOCK", VLOOKUP(D86,'[2]stock-take'!$A:$E,4,FALSE)))</f>
        <v xml:space="preserve"> </v>
      </c>
      <c r="H86" s="48">
        <f>IF(ISNA(VLOOKUP(D86,'[2]stock-take'!$A:$E,3,FALSE)), 0, VLOOKUP(D86,'[2]stock-take'!$A:$E,3,FALSE))</f>
        <v>0</v>
      </c>
      <c r="I86" s="48" t="str">
        <f>IF(F86="", " ",IF(ISNA(VLOOKUP(D86,'[2]stock-take'!$G:$K,4,FALSE)), "OUT OF STOCK", VLOOKUP(D86,'[2]stock-take'!$G:$K,4,FALSE)))</f>
        <v xml:space="preserve"> </v>
      </c>
      <c r="J86" s="39">
        <f>IF(ISNA(VLOOKUP(D86,'[2]stock-take'!$G:$K,3,FALSE)), 0, VLOOKUP(D86,'[2]stock-take'!$G:$K,3,FALSE))</f>
        <v>0</v>
      </c>
      <c r="K86" s="49" t="str">
        <f>IF(F86="", " ", IF(ISNA(VLOOKUP(D86,'[2]stock-take'!$M:$Q,4,FALSE)), "OUT OF STOCK", VLOOKUP(D86,'[2]stock-take'!$M:$Q,4,FALSE)))</f>
        <v xml:space="preserve"> </v>
      </c>
      <c r="L86" s="47">
        <f>IF(ISNA(VLOOKUP(D86,'[2]stock-take'!$M:$Q,3,FALSE)), 0, VLOOKUP(D86,'[2]stock-take'!$M:$Q,3,FALSE))</f>
        <v>0</v>
      </c>
      <c r="M86" s="48" t="str">
        <f t="shared" si="4"/>
        <v xml:space="preserve"> </v>
      </c>
      <c r="N86" s="39" t="str">
        <f t="shared" si="5"/>
        <v xml:space="preserve"> </v>
      </c>
    </row>
    <row r="87" spans="1:14">
      <c r="A87" s="37">
        <f t="shared" si="3"/>
        <v>76</v>
      </c>
      <c r="D87" s="24"/>
      <c r="G87" s="48" t="str">
        <f>IF(F87=""," ",IF(ISNA(VLOOKUP(D87,'[2]stock-take'!$A:$E,4,FALSE)), "OUT OF STOCK", VLOOKUP(D87,'[2]stock-take'!$A:$E,4,FALSE)))</f>
        <v xml:space="preserve"> </v>
      </c>
      <c r="H87" s="48">
        <f>IF(ISNA(VLOOKUP(D87,'[2]stock-take'!$A:$E,3,FALSE)), 0, VLOOKUP(D87,'[2]stock-take'!$A:$E,3,FALSE))</f>
        <v>0</v>
      </c>
      <c r="I87" s="48" t="str">
        <f>IF(F87="", " ",IF(ISNA(VLOOKUP(D87,'[2]stock-take'!$G:$K,4,FALSE)), "OUT OF STOCK", VLOOKUP(D87,'[2]stock-take'!$G:$K,4,FALSE)))</f>
        <v xml:space="preserve"> </v>
      </c>
      <c r="J87" s="39">
        <f>IF(ISNA(VLOOKUP(D87,'[2]stock-take'!$G:$K,3,FALSE)), 0, VLOOKUP(D87,'[2]stock-take'!$G:$K,3,FALSE))</f>
        <v>0</v>
      </c>
      <c r="K87" s="49" t="str">
        <f>IF(F87="", " ", IF(ISNA(VLOOKUP(D87,'[2]stock-take'!$M:$Q,4,FALSE)), "OUT OF STOCK", VLOOKUP(D87,'[2]stock-take'!$M:$Q,4,FALSE)))</f>
        <v xml:space="preserve"> </v>
      </c>
      <c r="L87" s="47">
        <f>IF(ISNA(VLOOKUP(D87,'[2]stock-take'!$M:$Q,3,FALSE)), 0, VLOOKUP(D87,'[2]stock-take'!$M:$Q,3,FALSE))</f>
        <v>0</v>
      </c>
      <c r="M87" s="48" t="str">
        <f t="shared" si="4"/>
        <v xml:space="preserve"> </v>
      </c>
      <c r="N87" s="39" t="str">
        <f t="shared" si="5"/>
        <v xml:space="preserve"> </v>
      </c>
    </row>
    <row r="88" spans="1:14">
      <c r="A88" s="37">
        <f t="shared" si="3"/>
        <v>77</v>
      </c>
      <c r="D88" s="24"/>
      <c r="G88" s="48" t="str">
        <f>IF(F88=""," ",IF(ISNA(VLOOKUP(D88,'[2]stock-take'!$A:$E,4,FALSE)), "OUT OF STOCK", VLOOKUP(D88,'[2]stock-take'!$A:$E,4,FALSE)))</f>
        <v xml:space="preserve"> </v>
      </c>
      <c r="H88" s="48">
        <f>IF(ISNA(VLOOKUP(D88,'[2]stock-take'!$A:$E,3,FALSE)), 0, VLOOKUP(D88,'[2]stock-take'!$A:$E,3,FALSE))</f>
        <v>0</v>
      </c>
      <c r="I88" s="48" t="str">
        <f>IF(F88="", " ",IF(ISNA(VLOOKUP(D88,'[2]stock-take'!$G:$K,4,FALSE)), "OUT OF STOCK", VLOOKUP(D88,'[2]stock-take'!$G:$K,4,FALSE)))</f>
        <v xml:space="preserve"> </v>
      </c>
      <c r="J88" s="39">
        <f>IF(ISNA(VLOOKUP(D88,'[2]stock-take'!$G:$K,3,FALSE)), 0, VLOOKUP(D88,'[2]stock-take'!$G:$K,3,FALSE))</f>
        <v>0</v>
      </c>
      <c r="K88" s="49" t="str">
        <f>IF(F88="", " ", IF(ISNA(VLOOKUP(D88,'[2]stock-take'!$M:$Q,4,FALSE)), "OUT OF STOCK", VLOOKUP(D88,'[2]stock-take'!$M:$Q,4,FALSE)))</f>
        <v xml:space="preserve"> </v>
      </c>
      <c r="L88" s="47">
        <f>IF(ISNA(VLOOKUP(D88,'[2]stock-take'!$M:$Q,3,FALSE)), 0, VLOOKUP(D88,'[2]stock-take'!$M:$Q,3,FALSE))</f>
        <v>0</v>
      </c>
      <c r="M88" s="48" t="str">
        <f t="shared" si="4"/>
        <v xml:space="preserve"> </v>
      </c>
      <c r="N88" s="39" t="str">
        <f t="shared" si="5"/>
        <v xml:space="preserve"> </v>
      </c>
    </row>
    <row r="89" spans="1:14">
      <c r="A89" s="37">
        <f t="shared" si="3"/>
        <v>78</v>
      </c>
      <c r="D89" s="24"/>
      <c r="G89" s="48" t="str">
        <f>IF(F89=""," ",IF(ISNA(VLOOKUP(D89,'[2]stock-take'!$A:$E,4,FALSE)), "OUT OF STOCK", VLOOKUP(D89,'[2]stock-take'!$A:$E,4,FALSE)))</f>
        <v xml:space="preserve"> </v>
      </c>
      <c r="H89" s="48">
        <f>IF(ISNA(VLOOKUP(D89,'[2]stock-take'!$A:$E,3,FALSE)), 0, VLOOKUP(D89,'[2]stock-take'!$A:$E,3,FALSE))</f>
        <v>0</v>
      </c>
      <c r="I89" s="48" t="str">
        <f>IF(F89="", " ",IF(ISNA(VLOOKUP(D89,'[2]stock-take'!$G:$K,4,FALSE)), "OUT OF STOCK", VLOOKUP(D89,'[2]stock-take'!$G:$K,4,FALSE)))</f>
        <v xml:space="preserve"> </v>
      </c>
      <c r="J89" s="39">
        <f>IF(ISNA(VLOOKUP(D89,'[2]stock-take'!$G:$K,3,FALSE)), 0, VLOOKUP(D89,'[2]stock-take'!$G:$K,3,FALSE))</f>
        <v>0</v>
      </c>
      <c r="K89" s="49" t="str">
        <f>IF(F89="", " ", IF(ISNA(VLOOKUP(D89,'[2]stock-take'!$M:$Q,4,FALSE)), "OUT OF STOCK", VLOOKUP(D89,'[2]stock-take'!$M:$Q,4,FALSE)))</f>
        <v xml:space="preserve"> </v>
      </c>
      <c r="L89" s="47">
        <f>IF(ISNA(VLOOKUP(D89,'[2]stock-take'!$M:$Q,3,FALSE)), 0, VLOOKUP(D89,'[2]stock-take'!$M:$Q,3,FALSE))</f>
        <v>0</v>
      </c>
      <c r="M89" s="48" t="str">
        <f t="shared" si="4"/>
        <v xml:space="preserve"> </v>
      </c>
      <c r="N89" s="39" t="str">
        <f t="shared" si="5"/>
        <v xml:space="preserve"> </v>
      </c>
    </row>
    <row r="90" spans="1:14">
      <c r="A90" s="37">
        <f t="shared" si="3"/>
        <v>79</v>
      </c>
      <c r="D90" s="24"/>
      <c r="G90" s="48" t="str">
        <f>IF(F90=""," ",IF(ISNA(VLOOKUP(D90,'[2]stock-take'!$A:$E,4,FALSE)), "OUT OF STOCK", VLOOKUP(D90,'[2]stock-take'!$A:$E,4,FALSE)))</f>
        <v xml:space="preserve"> </v>
      </c>
      <c r="H90" s="48">
        <f>IF(ISNA(VLOOKUP(D90,'[2]stock-take'!$A:$E,3,FALSE)), 0, VLOOKUP(D90,'[2]stock-take'!$A:$E,3,FALSE))</f>
        <v>0</v>
      </c>
      <c r="I90" s="48" t="str">
        <f>IF(F90="", " ",IF(ISNA(VLOOKUP(D90,'[2]stock-take'!$G:$K,4,FALSE)), "OUT OF STOCK", VLOOKUP(D90,'[2]stock-take'!$G:$K,4,FALSE)))</f>
        <v xml:space="preserve"> </v>
      </c>
      <c r="J90" s="39">
        <f>IF(ISNA(VLOOKUP(D90,'[2]stock-take'!$G:$K,3,FALSE)), 0, VLOOKUP(D90,'[2]stock-take'!$G:$K,3,FALSE))</f>
        <v>0</v>
      </c>
      <c r="K90" s="49" t="str">
        <f>IF(F90="", " ", IF(ISNA(VLOOKUP(D90,'[2]stock-take'!$M:$Q,4,FALSE)), "OUT OF STOCK", VLOOKUP(D90,'[2]stock-take'!$M:$Q,4,FALSE)))</f>
        <v xml:space="preserve"> </v>
      </c>
      <c r="L90" s="47">
        <f>IF(ISNA(VLOOKUP(D90,'[2]stock-take'!$M:$Q,3,FALSE)), 0, VLOOKUP(D90,'[2]stock-take'!$M:$Q,3,FALSE))</f>
        <v>0</v>
      </c>
      <c r="M90" s="48" t="str">
        <f t="shared" si="4"/>
        <v xml:space="preserve"> </v>
      </c>
      <c r="N90" s="39" t="str">
        <f t="shared" si="5"/>
        <v xml:space="preserve"> </v>
      </c>
    </row>
    <row r="91" spans="1:14">
      <c r="A91" s="37">
        <f t="shared" si="3"/>
        <v>80</v>
      </c>
      <c r="D91" s="24"/>
      <c r="G91" s="48" t="str">
        <f>IF(F91=""," ",IF(ISNA(VLOOKUP(D91,'[2]stock-take'!$A:$E,4,FALSE)), "OUT OF STOCK", VLOOKUP(D91,'[2]stock-take'!$A:$E,4,FALSE)))</f>
        <v xml:space="preserve"> </v>
      </c>
      <c r="H91" s="48">
        <f>IF(ISNA(VLOOKUP(D91,'[2]stock-take'!$A:$E,3,FALSE)), 0, VLOOKUP(D91,'[2]stock-take'!$A:$E,3,FALSE))</f>
        <v>0</v>
      </c>
      <c r="I91" s="48" t="str">
        <f>IF(F91="", " ",IF(ISNA(VLOOKUP(D91,'[2]stock-take'!$G:$K,4,FALSE)), "OUT OF STOCK", VLOOKUP(D91,'[2]stock-take'!$G:$K,4,FALSE)))</f>
        <v xml:space="preserve"> </v>
      </c>
      <c r="J91" s="39">
        <f>IF(ISNA(VLOOKUP(D91,'[2]stock-take'!$G:$K,3,FALSE)), 0, VLOOKUP(D91,'[2]stock-take'!$G:$K,3,FALSE))</f>
        <v>0</v>
      </c>
      <c r="K91" s="49" t="str">
        <f>IF(F91="", " ", IF(ISNA(VLOOKUP(D91,'[2]stock-take'!$M:$Q,4,FALSE)), "OUT OF STOCK", VLOOKUP(D91,'[2]stock-take'!$M:$Q,4,FALSE)))</f>
        <v xml:space="preserve"> </v>
      </c>
      <c r="L91" s="47">
        <f>IF(ISNA(VLOOKUP(D91,'[2]stock-take'!$M:$Q,3,FALSE)), 0, VLOOKUP(D91,'[2]stock-take'!$M:$Q,3,FALSE))</f>
        <v>0</v>
      </c>
      <c r="M91" s="48" t="str">
        <f t="shared" si="4"/>
        <v xml:space="preserve"> </v>
      </c>
      <c r="N91" s="39" t="str">
        <f t="shared" si="5"/>
        <v xml:space="preserve"> </v>
      </c>
    </row>
    <row r="92" spans="1:14">
      <c r="A92" s="37">
        <f t="shared" si="3"/>
        <v>81</v>
      </c>
      <c r="D92" s="24"/>
      <c r="G92" s="48" t="str">
        <f>IF(F92=""," ",IF(ISNA(VLOOKUP(D92,'[2]stock-take'!$A:$E,4,FALSE)), "OUT OF STOCK", VLOOKUP(D92,'[2]stock-take'!$A:$E,4,FALSE)))</f>
        <v xml:space="preserve"> </v>
      </c>
      <c r="H92" s="48">
        <f>IF(ISNA(VLOOKUP(D92,'[2]stock-take'!$A:$E,3,FALSE)), 0, VLOOKUP(D92,'[2]stock-take'!$A:$E,3,FALSE))</f>
        <v>0</v>
      </c>
      <c r="I92" s="48" t="str">
        <f>IF(F92="", " ",IF(ISNA(VLOOKUP(D92,'[2]stock-take'!$G:$K,4,FALSE)), "OUT OF STOCK", VLOOKUP(D92,'[2]stock-take'!$G:$K,4,FALSE)))</f>
        <v xml:space="preserve"> </v>
      </c>
      <c r="J92" s="39">
        <f>IF(ISNA(VLOOKUP(D92,'[2]stock-take'!$G:$K,3,FALSE)), 0, VLOOKUP(D92,'[2]stock-take'!$G:$K,3,FALSE))</f>
        <v>0</v>
      </c>
      <c r="K92" s="49" t="str">
        <f>IF(F92="", " ", IF(ISNA(VLOOKUP(D92,'[2]stock-take'!$M:$Q,4,FALSE)), "OUT OF STOCK", VLOOKUP(D92,'[2]stock-take'!$M:$Q,4,FALSE)))</f>
        <v xml:space="preserve"> </v>
      </c>
      <c r="L92" s="47">
        <f>IF(ISNA(VLOOKUP(D92,'[2]stock-take'!$M:$Q,3,FALSE)), 0, VLOOKUP(D92,'[2]stock-take'!$M:$Q,3,FALSE))</f>
        <v>0</v>
      </c>
      <c r="M92" s="48" t="str">
        <f t="shared" si="4"/>
        <v xml:space="preserve"> </v>
      </c>
      <c r="N92" s="39" t="str">
        <f t="shared" si="5"/>
        <v xml:space="preserve"> </v>
      </c>
    </row>
    <row r="93" spans="1:14">
      <c r="A93" s="37">
        <f t="shared" si="3"/>
        <v>82</v>
      </c>
      <c r="D93" s="24"/>
      <c r="G93" s="48" t="str">
        <f>IF(F93=""," ",IF(ISNA(VLOOKUP(D93,'[2]stock-take'!$A:$E,4,FALSE)), "OUT OF STOCK", VLOOKUP(D93,'[2]stock-take'!$A:$E,4,FALSE)))</f>
        <v xml:space="preserve"> </v>
      </c>
      <c r="H93" s="48">
        <f>IF(ISNA(VLOOKUP(D93,'[2]stock-take'!$A:$E,3,FALSE)), 0, VLOOKUP(D93,'[2]stock-take'!$A:$E,3,FALSE))</f>
        <v>0</v>
      </c>
      <c r="I93" s="48" t="str">
        <f>IF(F93="", " ",IF(ISNA(VLOOKUP(D93,'[2]stock-take'!$G:$K,4,FALSE)), "OUT OF STOCK", VLOOKUP(D93,'[2]stock-take'!$G:$K,4,FALSE)))</f>
        <v xml:space="preserve"> </v>
      </c>
      <c r="J93" s="39">
        <f>IF(ISNA(VLOOKUP(D93,'[2]stock-take'!$G:$K,3,FALSE)), 0, VLOOKUP(D93,'[2]stock-take'!$G:$K,3,FALSE))</f>
        <v>0</v>
      </c>
      <c r="K93" s="49" t="str">
        <f>IF(F93="", " ", IF(ISNA(VLOOKUP(D93,'[2]stock-take'!$M:$Q,4,FALSE)), "OUT OF STOCK", VLOOKUP(D93,'[2]stock-take'!$M:$Q,4,FALSE)))</f>
        <v xml:space="preserve"> </v>
      </c>
      <c r="L93" s="47">
        <f>IF(ISNA(VLOOKUP(D93,'[2]stock-take'!$M:$Q,3,FALSE)), 0, VLOOKUP(D93,'[2]stock-take'!$M:$Q,3,FALSE))</f>
        <v>0</v>
      </c>
      <c r="M93" s="48" t="str">
        <f t="shared" si="4"/>
        <v xml:space="preserve"> </v>
      </c>
      <c r="N93" s="39" t="str">
        <f t="shared" si="5"/>
        <v xml:space="preserve"> </v>
      </c>
    </row>
    <row r="94" spans="1:14">
      <c r="A94" s="37">
        <f t="shared" si="3"/>
        <v>83</v>
      </c>
      <c r="D94" s="24"/>
      <c r="G94" s="48" t="str">
        <f>IF(F94=""," ",IF(ISNA(VLOOKUP(D94,'[2]stock-take'!$A:$E,4,FALSE)), "OUT OF STOCK", VLOOKUP(D94,'[2]stock-take'!$A:$E,4,FALSE)))</f>
        <v xml:space="preserve"> </v>
      </c>
      <c r="H94" s="48">
        <f>IF(ISNA(VLOOKUP(D94,'[2]stock-take'!$A:$E,3,FALSE)), 0, VLOOKUP(D94,'[2]stock-take'!$A:$E,3,FALSE))</f>
        <v>0</v>
      </c>
      <c r="I94" s="48" t="str">
        <f>IF(F94="", " ",IF(ISNA(VLOOKUP(D94,'[2]stock-take'!$G:$K,4,FALSE)), "OUT OF STOCK", VLOOKUP(D94,'[2]stock-take'!$G:$K,4,FALSE)))</f>
        <v xml:space="preserve"> </v>
      </c>
      <c r="J94" s="39">
        <f>IF(ISNA(VLOOKUP(D94,'[2]stock-take'!$G:$K,3,FALSE)), 0, VLOOKUP(D94,'[2]stock-take'!$G:$K,3,FALSE))</f>
        <v>0</v>
      </c>
      <c r="K94" s="49" t="str">
        <f>IF(F94="", " ", IF(ISNA(VLOOKUP(D94,'[2]stock-take'!$M:$Q,4,FALSE)), "OUT OF STOCK", VLOOKUP(D94,'[2]stock-take'!$M:$Q,4,FALSE)))</f>
        <v xml:space="preserve"> </v>
      </c>
      <c r="L94" s="47">
        <f>IF(ISNA(VLOOKUP(D94,'[2]stock-take'!$M:$Q,3,FALSE)), 0, VLOOKUP(D94,'[2]stock-take'!$M:$Q,3,FALSE))</f>
        <v>0</v>
      </c>
      <c r="M94" s="48" t="str">
        <f t="shared" si="4"/>
        <v xml:space="preserve"> </v>
      </c>
      <c r="N94" s="39" t="str">
        <f t="shared" si="5"/>
        <v xml:space="preserve"> </v>
      </c>
    </row>
    <row r="95" spans="1:14">
      <c r="A95" s="37">
        <f t="shared" si="3"/>
        <v>84</v>
      </c>
      <c r="D95" s="24"/>
      <c r="G95" s="48" t="str">
        <f>IF(F95=""," ",IF(ISNA(VLOOKUP(D95,'[2]stock-take'!$A:$E,4,FALSE)), "OUT OF STOCK", VLOOKUP(D95,'[2]stock-take'!$A:$E,4,FALSE)))</f>
        <v xml:space="preserve"> </v>
      </c>
      <c r="H95" s="48">
        <f>IF(ISNA(VLOOKUP(D95,'[2]stock-take'!$A:$E,3,FALSE)), 0, VLOOKUP(D95,'[2]stock-take'!$A:$E,3,FALSE))</f>
        <v>0</v>
      </c>
      <c r="I95" s="48" t="str">
        <f>IF(F95="", " ",IF(ISNA(VLOOKUP(D95,'[2]stock-take'!$G:$K,4,FALSE)), "OUT OF STOCK", VLOOKUP(D95,'[2]stock-take'!$G:$K,4,FALSE)))</f>
        <v xml:space="preserve"> </v>
      </c>
      <c r="J95" s="39">
        <f>IF(ISNA(VLOOKUP(D95,'[2]stock-take'!$G:$K,3,FALSE)), 0, VLOOKUP(D95,'[2]stock-take'!$G:$K,3,FALSE))</f>
        <v>0</v>
      </c>
      <c r="K95" s="49" t="str">
        <f>IF(F95="", " ", IF(ISNA(VLOOKUP(D95,'[2]stock-take'!$M:$Q,4,FALSE)), "OUT OF STOCK", VLOOKUP(D95,'[2]stock-take'!$M:$Q,4,FALSE)))</f>
        <v xml:space="preserve"> </v>
      </c>
      <c r="L95" s="47">
        <f>IF(ISNA(VLOOKUP(D95,'[2]stock-take'!$M:$Q,3,FALSE)), 0, VLOOKUP(D95,'[2]stock-take'!$M:$Q,3,FALSE))</f>
        <v>0</v>
      </c>
      <c r="M95" s="48" t="str">
        <f t="shared" si="4"/>
        <v xml:space="preserve"> </v>
      </c>
      <c r="N95" s="39" t="str">
        <f t="shared" si="5"/>
        <v xml:space="preserve"> </v>
      </c>
    </row>
    <row r="96" spans="1:14">
      <c r="A96" s="37">
        <f t="shared" si="3"/>
        <v>85</v>
      </c>
      <c r="D96" s="24"/>
      <c r="G96" s="48" t="str">
        <f>IF(F96=""," ",IF(ISNA(VLOOKUP(D96,'[2]stock-take'!$A:$E,4,FALSE)), "OUT OF STOCK", VLOOKUP(D96,'[2]stock-take'!$A:$E,4,FALSE)))</f>
        <v xml:space="preserve"> </v>
      </c>
      <c r="H96" s="48">
        <f>IF(ISNA(VLOOKUP(D96,'[2]stock-take'!$A:$E,3,FALSE)), 0, VLOOKUP(D96,'[2]stock-take'!$A:$E,3,FALSE))</f>
        <v>0</v>
      </c>
      <c r="I96" s="48" t="str">
        <f>IF(F96="", " ",IF(ISNA(VLOOKUP(D96,'[2]stock-take'!$G:$K,4,FALSE)), "OUT OF STOCK", VLOOKUP(D96,'[2]stock-take'!$G:$K,4,FALSE)))</f>
        <v xml:space="preserve"> </v>
      </c>
      <c r="J96" s="39">
        <f>IF(ISNA(VLOOKUP(D96,'[2]stock-take'!$G:$K,3,FALSE)), 0, VLOOKUP(D96,'[2]stock-take'!$G:$K,3,FALSE))</f>
        <v>0</v>
      </c>
      <c r="K96" s="49" t="str">
        <f>IF(F96="", " ", IF(ISNA(VLOOKUP(D96,'[2]stock-take'!$M:$Q,4,FALSE)), "OUT OF STOCK", VLOOKUP(D96,'[2]stock-take'!$M:$Q,4,FALSE)))</f>
        <v xml:space="preserve"> </v>
      </c>
      <c r="L96" s="47">
        <f>IF(ISNA(VLOOKUP(D96,'[2]stock-take'!$M:$Q,3,FALSE)), 0, VLOOKUP(D96,'[2]stock-take'!$M:$Q,3,FALSE))</f>
        <v>0</v>
      </c>
      <c r="M96" s="48" t="str">
        <f t="shared" si="4"/>
        <v xml:space="preserve"> </v>
      </c>
      <c r="N96" s="39" t="str">
        <f t="shared" si="5"/>
        <v xml:space="preserve"> </v>
      </c>
    </row>
    <row r="97" spans="1:14">
      <c r="A97" s="37">
        <f t="shared" si="3"/>
        <v>86</v>
      </c>
      <c r="D97" s="24"/>
      <c r="G97" s="48" t="str">
        <f>IF(F97=""," ",IF(ISNA(VLOOKUP(D97,'[2]stock-take'!$A:$E,4,FALSE)), "OUT OF STOCK", VLOOKUP(D97,'[2]stock-take'!$A:$E,4,FALSE)))</f>
        <v xml:space="preserve"> </v>
      </c>
      <c r="H97" s="48">
        <f>IF(ISNA(VLOOKUP(D97,'[2]stock-take'!$A:$E,3,FALSE)), 0, VLOOKUP(D97,'[2]stock-take'!$A:$E,3,FALSE))</f>
        <v>0</v>
      </c>
      <c r="I97" s="48" t="str">
        <f>IF(F97="", " ",IF(ISNA(VLOOKUP(D97,'[2]stock-take'!$G:$K,4,FALSE)), "OUT OF STOCK", VLOOKUP(D97,'[2]stock-take'!$G:$K,4,FALSE)))</f>
        <v xml:space="preserve"> </v>
      </c>
      <c r="J97" s="39">
        <f>IF(ISNA(VLOOKUP(D97,'[2]stock-take'!$G:$K,3,FALSE)), 0, VLOOKUP(D97,'[2]stock-take'!$G:$K,3,FALSE))</f>
        <v>0</v>
      </c>
      <c r="K97" s="49" t="str">
        <f>IF(F97="", " ", IF(ISNA(VLOOKUP(D97,'[2]stock-take'!$M:$Q,4,FALSE)), "OUT OF STOCK", VLOOKUP(D97,'[2]stock-take'!$M:$Q,4,FALSE)))</f>
        <v xml:space="preserve"> </v>
      </c>
      <c r="L97" s="47">
        <f>IF(ISNA(VLOOKUP(D97,'[2]stock-take'!$M:$Q,3,FALSE)), 0, VLOOKUP(D97,'[2]stock-take'!$M:$Q,3,FALSE))</f>
        <v>0</v>
      </c>
      <c r="M97" s="48" t="str">
        <f t="shared" si="4"/>
        <v xml:space="preserve"> </v>
      </c>
      <c r="N97" s="39" t="str">
        <f t="shared" si="5"/>
        <v xml:space="preserve"> </v>
      </c>
    </row>
    <row r="98" spans="1:14">
      <c r="A98" s="37">
        <f t="shared" si="3"/>
        <v>87</v>
      </c>
      <c r="D98" s="24"/>
      <c r="G98" s="48" t="str">
        <f>IF(F98=""," ",IF(ISNA(VLOOKUP(D98,'[2]stock-take'!$A:$E,4,FALSE)), "OUT OF STOCK", VLOOKUP(D98,'[2]stock-take'!$A:$E,4,FALSE)))</f>
        <v xml:space="preserve"> </v>
      </c>
      <c r="H98" s="48">
        <f>IF(ISNA(VLOOKUP(D98,'[2]stock-take'!$A:$E,3,FALSE)), 0, VLOOKUP(D98,'[2]stock-take'!$A:$E,3,FALSE))</f>
        <v>0</v>
      </c>
      <c r="I98" s="48" t="str">
        <f>IF(F98="", " ",IF(ISNA(VLOOKUP(D98,'[2]stock-take'!$G:$K,4,FALSE)), "OUT OF STOCK", VLOOKUP(D98,'[2]stock-take'!$G:$K,4,FALSE)))</f>
        <v xml:space="preserve"> </v>
      </c>
      <c r="J98" s="39">
        <f>IF(ISNA(VLOOKUP(D98,'[2]stock-take'!$G:$K,3,FALSE)), 0, VLOOKUP(D98,'[2]stock-take'!$G:$K,3,FALSE))</f>
        <v>0</v>
      </c>
      <c r="K98" s="49" t="str">
        <f>IF(F98="", " ", IF(ISNA(VLOOKUP(D98,'[2]stock-take'!$M:$Q,4,FALSE)), "OUT OF STOCK", VLOOKUP(D98,'[2]stock-take'!$M:$Q,4,FALSE)))</f>
        <v xml:space="preserve"> </v>
      </c>
      <c r="L98" s="47">
        <f>IF(ISNA(VLOOKUP(D98,'[2]stock-take'!$M:$Q,3,FALSE)), 0, VLOOKUP(D98,'[2]stock-take'!$M:$Q,3,FALSE))</f>
        <v>0</v>
      </c>
      <c r="M98" s="48" t="str">
        <f t="shared" si="4"/>
        <v xml:space="preserve"> </v>
      </c>
      <c r="N98" s="39" t="str">
        <f t="shared" si="5"/>
        <v xml:space="preserve"> </v>
      </c>
    </row>
    <row r="99" spans="1:14">
      <c r="A99" s="37">
        <f t="shared" si="3"/>
        <v>88</v>
      </c>
      <c r="D99" s="24"/>
      <c r="G99" s="48" t="str">
        <f>IF(F99=""," ",IF(ISNA(VLOOKUP(D99,'[2]stock-take'!$A:$E,4,FALSE)), "OUT OF STOCK", VLOOKUP(D99,'[2]stock-take'!$A:$E,4,FALSE)))</f>
        <v xml:space="preserve"> </v>
      </c>
      <c r="H99" s="48">
        <f>IF(ISNA(VLOOKUP(D99,'[2]stock-take'!$A:$E,3,FALSE)), 0, VLOOKUP(D99,'[2]stock-take'!$A:$E,3,FALSE))</f>
        <v>0</v>
      </c>
      <c r="I99" s="48" t="str">
        <f>IF(F99="", " ",IF(ISNA(VLOOKUP(D99,'[2]stock-take'!$G:$K,4,FALSE)), "OUT OF STOCK", VLOOKUP(D99,'[2]stock-take'!$G:$K,4,FALSE)))</f>
        <v xml:space="preserve"> </v>
      </c>
      <c r="J99" s="39">
        <f>IF(ISNA(VLOOKUP(D99,'[2]stock-take'!$G:$K,3,FALSE)), 0, VLOOKUP(D99,'[2]stock-take'!$G:$K,3,FALSE))</f>
        <v>0</v>
      </c>
      <c r="K99" s="49" t="str">
        <f>IF(F99="", " ", IF(ISNA(VLOOKUP(D99,'[2]stock-take'!$M:$Q,4,FALSE)), "OUT OF STOCK", VLOOKUP(D99,'[2]stock-take'!$M:$Q,4,FALSE)))</f>
        <v xml:space="preserve"> </v>
      </c>
      <c r="L99" s="47">
        <f>IF(ISNA(VLOOKUP(D99,'[2]stock-take'!$M:$Q,3,FALSE)), 0, VLOOKUP(D99,'[2]stock-take'!$M:$Q,3,FALSE))</f>
        <v>0</v>
      </c>
      <c r="M99" s="48" t="str">
        <f t="shared" si="4"/>
        <v xml:space="preserve"> </v>
      </c>
      <c r="N99" s="39" t="str">
        <f t="shared" si="5"/>
        <v xml:space="preserve"> </v>
      </c>
    </row>
    <row r="100" spans="1:14">
      <c r="A100" s="37">
        <f t="shared" si="3"/>
        <v>89</v>
      </c>
      <c r="D100" s="24"/>
      <c r="G100" s="48" t="str">
        <f>IF(F100=""," ",IF(ISNA(VLOOKUP(D100,'[2]stock-take'!$A:$E,4,FALSE)), "OUT OF STOCK", VLOOKUP(D100,'[2]stock-take'!$A:$E,4,FALSE)))</f>
        <v xml:space="preserve"> </v>
      </c>
      <c r="H100" s="48">
        <f>IF(ISNA(VLOOKUP(D100,'[2]stock-take'!$A:$E,3,FALSE)), 0, VLOOKUP(D100,'[2]stock-take'!$A:$E,3,FALSE))</f>
        <v>0</v>
      </c>
      <c r="I100" s="48" t="str">
        <f>IF(F100="", " ",IF(ISNA(VLOOKUP(D100,'[2]stock-take'!$G:$K,4,FALSE)), "OUT OF STOCK", VLOOKUP(D100,'[2]stock-take'!$G:$K,4,FALSE)))</f>
        <v xml:space="preserve"> </v>
      </c>
      <c r="J100" s="39">
        <f>IF(ISNA(VLOOKUP(D100,'[2]stock-take'!$G:$K,3,FALSE)), 0, VLOOKUP(D100,'[2]stock-take'!$G:$K,3,FALSE))</f>
        <v>0</v>
      </c>
      <c r="K100" s="49" t="str">
        <f>IF(F100="", " ", IF(ISNA(VLOOKUP(D100,'[2]stock-take'!$M:$Q,4,FALSE)), "OUT OF STOCK", VLOOKUP(D100,'[2]stock-take'!$M:$Q,4,FALSE)))</f>
        <v xml:space="preserve"> </v>
      </c>
      <c r="L100" s="47">
        <f>IF(ISNA(VLOOKUP(D100,'[2]stock-take'!$M:$Q,3,FALSE)), 0, VLOOKUP(D100,'[2]stock-take'!$M:$Q,3,FALSE))</f>
        <v>0</v>
      </c>
      <c r="M100" s="48" t="str">
        <f t="shared" si="4"/>
        <v xml:space="preserve"> </v>
      </c>
      <c r="N100" s="39" t="str">
        <f t="shared" si="5"/>
        <v xml:space="preserve"> </v>
      </c>
    </row>
    <row r="101" spans="1:14">
      <c r="A101" s="37">
        <f t="shared" si="3"/>
        <v>90</v>
      </c>
      <c r="D101" s="24"/>
      <c r="G101" s="48" t="str">
        <f>IF(F101=""," ",IF(ISNA(VLOOKUP(D101,'[2]stock-take'!$A:$E,4,FALSE)), "OUT OF STOCK", VLOOKUP(D101,'[2]stock-take'!$A:$E,4,FALSE)))</f>
        <v xml:space="preserve"> </v>
      </c>
      <c r="H101" s="48">
        <f>IF(ISNA(VLOOKUP(D101,'[2]stock-take'!$A:$E,3,FALSE)), 0, VLOOKUP(D101,'[2]stock-take'!$A:$E,3,FALSE))</f>
        <v>0</v>
      </c>
      <c r="I101" s="48" t="str">
        <f>IF(F101="", " ",IF(ISNA(VLOOKUP(D101,'[2]stock-take'!$G:$K,4,FALSE)), "OUT OF STOCK", VLOOKUP(D101,'[2]stock-take'!$G:$K,4,FALSE)))</f>
        <v xml:space="preserve"> </v>
      </c>
      <c r="J101" s="39">
        <f>IF(ISNA(VLOOKUP(D101,'[2]stock-take'!$G:$K,3,FALSE)), 0, VLOOKUP(D101,'[2]stock-take'!$G:$K,3,FALSE))</f>
        <v>0</v>
      </c>
      <c r="K101" s="49" t="str">
        <f>IF(F101="", " ", IF(ISNA(VLOOKUP(D101,'[2]stock-take'!$M:$Q,4,FALSE)), "OUT OF STOCK", VLOOKUP(D101,'[2]stock-take'!$M:$Q,4,FALSE)))</f>
        <v xml:space="preserve"> </v>
      </c>
      <c r="L101" s="47">
        <f>IF(ISNA(VLOOKUP(D101,'[2]stock-take'!$M:$Q,3,FALSE)), 0, VLOOKUP(D101,'[2]stock-take'!$M:$Q,3,FALSE))</f>
        <v>0</v>
      </c>
      <c r="M101" s="48" t="str">
        <f t="shared" si="4"/>
        <v xml:space="preserve"> </v>
      </c>
      <c r="N101" s="39" t="str">
        <f t="shared" si="5"/>
        <v xml:space="preserve"> </v>
      </c>
    </row>
    <row r="102" spans="1:14">
      <c r="A102" s="37">
        <f t="shared" si="3"/>
        <v>91</v>
      </c>
      <c r="D102" s="24"/>
      <c r="G102" s="48" t="str">
        <f>IF(F102=""," ",IF(ISNA(VLOOKUP(D102,'[2]stock-take'!$A:$E,4,FALSE)), "OUT OF STOCK", VLOOKUP(D102,'[2]stock-take'!$A:$E,4,FALSE)))</f>
        <v xml:space="preserve"> </v>
      </c>
      <c r="H102" s="48">
        <f>IF(ISNA(VLOOKUP(D102,'[2]stock-take'!$A:$E,3,FALSE)), 0, VLOOKUP(D102,'[2]stock-take'!$A:$E,3,FALSE))</f>
        <v>0</v>
      </c>
      <c r="I102" s="48" t="str">
        <f>IF(F102="", " ",IF(ISNA(VLOOKUP(D102,'[2]stock-take'!$G:$K,4,FALSE)), "OUT OF STOCK", VLOOKUP(D102,'[2]stock-take'!$G:$K,4,FALSE)))</f>
        <v xml:space="preserve"> </v>
      </c>
      <c r="J102" s="39">
        <f>IF(ISNA(VLOOKUP(D102,'[2]stock-take'!$G:$K,3,FALSE)), 0, VLOOKUP(D102,'[2]stock-take'!$G:$K,3,FALSE))</f>
        <v>0</v>
      </c>
      <c r="K102" s="49" t="str">
        <f>IF(F102="", " ", IF(ISNA(VLOOKUP(D102,'[2]stock-take'!$M:$Q,4,FALSE)), "OUT OF STOCK", VLOOKUP(D102,'[2]stock-take'!$M:$Q,4,FALSE)))</f>
        <v xml:space="preserve"> </v>
      </c>
      <c r="L102" s="47">
        <f>IF(ISNA(VLOOKUP(D102,'[2]stock-take'!$M:$Q,3,FALSE)), 0, VLOOKUP(D102,'[2]stock-take'!$M:$Q,3,FALSE))</f>
        <v>0</v>
      </c>
      <c r="M102" s="48" t="str">
        <f t="shared" si="4"/>
        <v xml:space="preserve"> </v>
      </c>
      <c r="N102" s="39" t="str">
        <f t="shared" si="5"/>
        <v xml:space="preserve"> </v>
      </c>
    </row>
    <row r="103" spans="1:14">
      <c r="A103" s="37">
        <f t="shared" si="3"/>
        <v>92</v>
      </c>
      <c r="D103" s="24"/>
      <c r="G103" s="48" t="str">
        <f>IF(F103=""," ",IF(ISNA(VLOOKUP(D103,'[2]stock-take'!$A:$E,4,FALSE)), "OUT OF STOCK", VLOOKUP(D103,'[2]stock-take'!$A:$E,4,FALSE)))</f>
        <v xml:space="preserve"> </v>
      </c>
      <c r="H103" s="48">
        <f>IF(ISNA(VLOOKUP(D103,'[2]stock-take'!$A:$E,3,FALSE)), 0, VLOOKUP(D103,'[2]stock-take'!$A:$E,3,FALSE))</f>
        <v>0</v>
      </c>
      <c r="I103" s="48" t="str">
        <f>IF(F103="", " ",IF(ISNA(VLOOKUP(D103,'[2]stock-take'!$G:$K,4,FALSE)), "OUT OF STOCK", VLOOKUP(D103,'[2]stock-take'!$G:$K,4,FALSE)))</f>
        <v xml:space="preserve"> </v>
      </c>
      <c r="J103" s="39">
        <f>IF(ISNA(VLOOKUP(D103,'[2]stock-take'!$G:$K,3,FALSE)), 0, VLOOKUP(D103,'[2]stock-take'!$G:$K,3,FALSE))</f>
        <v>0</v>
      </c>
      <c r="K103" s="49" t="str">
        <f>IF(F103="", " ", IF(ISNA(VLOOKUP(D103,'[2]stock-take'!$M:$Q,4,FALSE)), "OUT OF STOCK", VLOOKUP(D103,'[2]stock-take'!$M:$Q,4,FALSE)))</f>
        <v xml:space="preserve"> </v>
      </c>
      <c r="L103" s="47">
        <f>IF(ISNA(VLOOKUP(D103,'[2]stock-take'!$M:$Q,3,FALSE)), 0, VLOOKUP(D103,'[2]stock-take'!$M:$Q,3,FALSE))</f>
        <v>0</v>
      </c>
      <c r="M103" s="48" t="str">
        <f t="shared" si="4"/>
        <v xml:space="preserve"> </v>
      </c>
      <c r="N103" s="39" t="str">
        <f t="shared" si="5"/>
        <v xml:space="preserve"> </v>
      </c>
    </row>
    <row r="104" spans="1:14">
      <c r="A104" s="37">
        <f t="shared" si="3"/>
        <v>93</v>
      </c>
      <c r="D104" s="24"/>
      <c r="G104" s="48" t="str">
        <f>IF(F104=""," ",IF(ISNA(VLOOKUP(D104,'[2]stock-take'!$A:$E,4,FALSE)), "OUT OF STOCK", VLOOKUP(D104,'[2]stock-take'!$A:$E,4,FALSE)))</f>
        <v xml:space="preserve"> </v>
      </c>
      <c r="H104" s="48">
        <f>IF(ISNA(VLOOKUP(D104,'[2]stock-take'!$A:$E,3,FALSE)), 0, VLOOKUP(D104,'[2]stock-take'!$A:$E,3,FALSE))</f>
        <v>0</v>
      </c>
      <c r="I104" s="48" t="str">
        <f>IF(F104="", " ",IF(ISNA(VLOOKUP(D104,'[2]stock-take'!$G:$K,4,FALSE)), "OUT OF STOCK", VLOOKUP(D104,'[2]stock-take'!$G:$K,4,FALSE)))</f>
        <v xml:space="preserve"> </v>
      </c>
      <c r="J104" s="39">
        <f>IF(ISNA(VLOOKUP(D104,'[2]stock-take'!$G:$K,3,FALSE)), 0, VLOOKUP(D104,'[2]stock-take'!$G:$K,3,FALSE))</f>
        <v>0</v>
      </c>
      <c r="K104" s="49" t="str">
        <f>IF(F104="", " ", IF(ISNA(VLOOKUP(D104,'[2]stock-take'!$M:$Q,4,FALSE)), "OUT OF STOCK", VLOOKUP(D104,'[2]stock-take'!$M:$Q,4,FALSE)))</f>
        <v xml:space="preserve"> </v>
      </c>
      <c r="L104" s="47">
        <f>IF(ISNA(VLOOKUP(D104,'[2]stock-take'!$M:$Q,3,FALSE)), 0, VLOOKUP(D104,'[2]stock-take'!$M:$Q,3,FALSE))</f>
        <v>0</v>
      </c>
      <c r="M104" s="48" t="str">
        <f t="shared" si="4"/>
        <v xml:space="preserve"> </v>
      </c>
      <c r="N104" s="39" t="str">
        <f t="shared" si="5"/>
        <v xml:space="preserve"> </v>
      </c>
    </row>
    <row r="105" spans="1:14">
      <c r="A105" s="37">
        <f t="shared" si="3"/>
        <v>94</v>
      </c>
      <c r="D105" s="24"/>
      <c r="G105" s="48" t="str">
        <f>IF(F105=""," ",IF(ISNA(VLOOKUP(D105,'[2]stock-take'!$A:$E,4,FALSE)), "OUT OF STOCK", VLOOKUP(D105,'[2]stock-take'!$A:$E,4,FALSE)))</f>
        <v xml:space="preserve"> </v>
      </c>
      <c r="H105" s="48">
        <f>IF(ISNA(VLOOKUP(D105,'[2]stock-take'!$A:$E,3,FALSE)), 0, VLOOKUP(D105,'[2]stock-take'!$A:$E,3,FALSE))</f>
        <v>0</v>
      </c>
      <c r="I105" s="48" t="str">
        <f>IF(F105="", " ",IF(ISNA(VLOOKUP(D105,'[2]stock-take'!$G:$K,4,FALSE)), "OUT OF STOCK", VLOOKUP(D105,'[2]stock-take'!$G:$K,4,FALSE)))</f>
        <v xml:space="preserve"> </v>
      </c>
      <c r="J105" s="39">
        <f>IF(ISNA(VLOOKUP(D105,'[2]stock-take'!$G:$K,3,FALSE)), 0, VLOOKUP(D105,'[2]stock-take'!$G:$K,3,FALSE))</f>
        <v>0</v>
      </c>
      <c r="K105" s="49" t="str">
        <f>IF(F105="", " ", IF(ISNA(VLOOKUP(D105,'[2]stock-take'!$M:$Q,4,FALSE)), "OUT OF STOCK", VLOOKUP(D105,'[2]stock-take'!$M:$Q,4,FALSE)))</f>
        <v xml:space="preserve"> </v>
      </c>
      <c r="L105" s="47">
        <f>IF(ISNA(VLOOKUP(D105,'[2]stock-take'!$M:$Q,3,FALSE)), 0, VLOOKUP(D105,'[2]stock-take'!$M:$Q,3,FALSE))</f>
        <v>0</v>
      </c>
      <c r="M105" s="48" t="str">
        <f t="shared" si="4"/>
        <v xml:space="preserve"> </v>
      </c>
      <c r="N105" s="39" t="str">
        <f t="shared" si="5"/>
        <v xml:space="preserve"> </v>
      </c>
    </row>
    <row r="106" spans="1:14">
      <c r="A106" s="37">
        <f t="shared" si="3"/>
        <v>95</v>
      </c>
      <c r="D106" s="24"/>
      <c r="G106" s="48" t="str">
        <f>IF(F106=""," ",IF(ISNA(VLOOKUP(D106,'[2]stock-take'!$A:$E,4,FALSE)), "OUT OF STOCK", VLOOKUP(D106,'[2]stock-take'!$A:$E,4,FALSE)))</f>
        <v xml:space="preserve"> </v>
      </c>
      <c r="H106" s="48">
        <f>IF(ISNA(VLOOKUP(D106,'[2]stock-take'!$A:$E,3,FALSE)), 0, VLOOKUP(D106,'[2]stock-take'!$A:$E,3,FALSE))</f>
        <v>0</v>
      </c>
      <c r="I106" s="48" t="str">
        <f>IF(F106="", " ",IF(ISNA(VLOOKUP(D106,'[2]stock-take'!$G:$K,4,FALSE)), "OUT OF STOCK", VLOOKUP(D106,'[2]stock-take'!$G:$K,4,FALSE)))</f>
        <v xml:space="preserve"> </v>
      </c>
      <c r="J106" s="39">
        <f>IF(ISNA(VLOOKUP(D106,'[2]stock-take'!$G:$K,3,FALSE)), 0, VLOOKUP(D106,'[2]stock-take'!$G:$K,3,FALSE))</f>
        <v>0</v>
      </c>
      <c r="K106" s="49" t="str">
        <f>IF(F106="", " ", IF(ISNA(VLOOKUP(D106,'[2]stock-take'!$M:$Q,4,FALSE)), "OUT OF STOCK", VLOOKUP(D106,'[2]stock-take'!$M:$Q,4,FALSE)))</f>
        <v xml:space="preserve"> </v>
      </c>
      <c r="L106" s="47">
        <f>IF(ISNA(VLOOKUP(D106,'[2]stock-take'!$M:$Q,3,FALSE)), 0, VLOOKUP(D106,'[2]stock-take'!$M:$Q,3,FALSE))</f>
        <v>0</v>
      </c>
      <c r="M106" s="48" t="str">
        <f t="shared" si="4"/>
        <v xml:space="preserve"> </v>
      </c>
      <c r="N106" s="39" t="str">
        <f t="shared" si="5"/>
        <v xml:space="preserve"> </v>
      </c>
    </row>
    <row r="107" spans="1:14">
      <c r="A107" s="37">
        <f t="shared" si="3"/>
        <v>96</v>
      </c>
      <c r="D107" s="24"/>
      <c r="G107" s="48" t="str">
        <f>IF(F107=""," ",IF(ISNA(VLOOKUP(D107,'[2]stock-take'!$A:$E,4,FALSE)), "OUT OF STOCK", VLOOKUP(D107,'[2]stock-take'!$A:$E,4,FALSE)))</f>
        <v xml:space="preserve"> </v>
      </c>
      <c r="H107" s="48">
        <f>IF(ISNA(VLOOKUP(D107,'[2]stock-take'!$A:$E,3,FALSE)), 0, VLOOKUP(D107,'[2]stock-take'!$A:$E,3,FALSE))</f>
        <v>0</v>
      </c>
      <c r="I107" s="48" t="str">
        <f>IF(F107="", " ",IF(ISNA(VLOOKUP(D107,'[2]stock-take'!$G:$K,4,FALSE)), "OUT OF STOCK", VLOOKUP(D107,'[2]stock-take'!$G:$K,4,FALSE)))</f>
        <v xml:space="preserve"> </v>
      </c>
      <c r="J107" s="39">
        <f>IF(ISNA(VLOOKUP(D107,'[2]stock-take'!$G:$K,3,FALSE)), 0, VLOOKUP(D107,'[2]stock-take'!$G:$K,3,FALSE))</f>
        <v>0</v>
      </c>
      <c r="K107" s="49" t="str">
        <f>IF(F107="", " ", IF(ISNA(VLOOKUP(D107,'[2]stock-take'!$M:$Q,4,FALSE)), "OUT OF STOCK", VLOOKUP(D107,'[2]stock-take'!$M:$Q,4,FALSE)))</f>
        <v xml:space="preserve"> </v>
      </c>
      <c r="L107" s="47">
        <f>IF(ISNA(VLOOKUP(D107,'[2]stock-take'!$M:$Q,3,FALSE)), 0, VLOOKUP(D107,'[2]stock-take'!$M:$Q,3,FALSE))</f>
        <v>0</v>
      </c>
      <c r="M107" s="48" t="str">
        <f t="shared" si="4"/>
        <v xml:space="preserve"> </v>
      </c>
      <c r="N107" s="39" t="str">
        <f t="shared" si="5"/>
        <v xml:space="preserve"> </v>
      </c>
    </row>
    <row r="108" spans="1:14">
      <c r="A108" s="37">
        <f t="shared" si="3"/>
        <v>97</v>
      </c>
      <c r="D108" s="24"/>
      <c r="G108" s="48" t="str">
        <f>IF(F108=""," ",IF(ISNA(VLOOKUP(D108,'[2]stock-take'!$A:$E,4,FALSE)), "OUT OF STOCK", VLOOKUP(D108,'[2]stock-take'!$A:$E,4,FALSE)))</f>
        <v xml:space="preserve"> </v>
      </c>
      <c r="H108" s="48">
        <f>IF(ISNA(VLOOKUP(D108,'[2]stock-take'!$A:$E,3,FALSE)), 0, VLOOKUP(D108,'[2]stock-take'!$A:$E,3,FALSE))</f>
        <v>0</v>
      </c>
      <c r="I108" s="48" t="str">
        <f>IF(F108="", " ",IF(ISNA(VLOOKUP(D108,'[2]stock-take'!$G:$K,4,FALSE)), "OUT OF STOCK", VLOOKUP(D108,'[2]stock-take'!$G:$K,4,FALSE)))</f>
        <v xml:space="preserve"> </v>
      </c>
      <c r="J108" s="39">
        <f>IF(ISNA(VLOOKUP(D108,'[2]stock-take'!$G:$K,3,FALSE)), 0, VLOOKUP(D108,'[2]stock-take'!$G:$K,3,FALSE))</f>
        <v>0</v>
      </c>
      <c r="K108" s="49" t="str">
        <f>IF(F108="", " ", IF(ISNA(VLOOKUP(D108,'[2]stock-take'!$M:$Q,4,FALSE)), "OUT OF STOCK", VLOOKUP(D108,'[2]stock-take'!$M:$Q,4,FALSE)))</f>
        <v xml:space="preserve"> </v>
      </c>
      <c r="L108" s="47">
        <f>IF(ISNA(VLOOKUP(D108,'[2]stock-take'!$M:$Q,3,FALSE)), 0, VLOOKUP(D108,'[2]stock-take'!$M:$Q,3,FALSE))</f>
        <v>0</v>
      </c>
      <c r="M108" s="48" t="str">
        <f t="shared" si="4"/>
        <v xml:space="preserve"> </v>
      </c>
      <c r="N108" s="39" t="str">
        <f t="shared" si="5"/>
        <v xml:space="preserve"> </v>
      </c>
    </row>
    <row r="109" spans="1:14">
      <c r="A109" s="37">
        <f t="shared" si="3"/>
        <v>98</v>
      </c>
      <c r="D109" s="24"/>
      <c r="G109" s="48" t="str">
        <f>IF(F109=""," ",IF(ISNA(VLOOKUP(D109,'[2]stock-take'!$A:$E,4,FALSE)), "OUT OF STOCK", VLOOKUP(D109,'[2]stock-take'!$A:$E,4,FALSE)))</f>
        <v xml:space="preserve"> </v>
      </c>
      <c r="H109" s="48">
        <f>IF(ISNA(VLOOKUP(D109,'[2]stock-take'!$A:$E,3,FALSE)), 0, VLOOKUP(D109,'[2]stock-take'!$A:$E,3,FALSE))</f>
        <v>0</v>
      </c>
      <c r="I109" s="48" t="str">
        <f>IF(F109="", " ",IF(ISNA(VLOOKUP(D109,'[2]stock-take'!$G:$K,4,FALSE)), "OUT OF STOCK", VLOOKUP(D109,'[2]stock-take'!$G:$K,4,FALSE)))</f>
        <v xml:space="preserve"> </v>
      </c>
      <c r="J109" s="39">
        <f>IF(ISNA(VLOOKUP(D109,'[2]stock-take'!$G:$K,3,FALSE)), 0, VLOOKUP(D109,'[2]stock-take'!$G:$K,3,FALSE))</f>
        <v>0</v>
      </c>
      <c r="K109" s="49" t="str">
        <f>IF(F109="", " ", IF(ISNA(VLOOKUP(D109,'[2]stock-take'!$M:$Q,4,FALSE)), "OUT OF STOCK", VLOOKUP(D109,'[2]stock-take'!$M:$Q,4,FALSE)))</f>
        <v xml:space="preserve"> </v>
      </c>
      <c r="L109" s="47">
        <f>IF(ISNA(VLOOKUP(D109,'[2]stock-take'!$M:$Q,3,FALSE)), 0, VLOOKUP(D109,'[2]stock-take'!$M:$Q,3,FALSE))</f>
        <v>0</v>
      </c>
      <c r="M109" s="48" t="str">
        <f t="shared" si="4"/>
        <v xml:space="preserve"> </v>
      </c>
      <c r="N109" s="39" t="str">
        <f t="shared" si="5"/>
        <v xml:space="preserve"> </v>
      </c>
    </row>
    <row r="110" spans="1:14">
      <c r="A110" s="37">
        <f t="shared" si="3"/>
        <v>99</v>
      </c>
      <c r="D110" s="24"/>
      <c r="G110" s="48" t="str">
        <f>IF(F110=""," ",IF(ISNA(VLOOKUP(D110,'[2]stock-take'!$A:$E,4,FALSE)), "OUT OF STOCK", VLOOKUP(D110,'[2]stock-take'!$A:$E,4,FALSE)))</f>
        <v xml:space="preserve"> </v>
      </c>
      <c r="H110" s="48">
        <f>IF(ISNA(VLOOKUP(D110,'[2]stock-take'!$A:$E,3,FALSE)), 0, VLOOKUP(D110,'[2]stock-take'!$A:$E,3,FALSE))</f>
        <v>0</v>
      </c>
      <c r="I110" s="48" t="str">
        <f>IF(F110="", " ",IF(ISNA(VLOOKUP(D110,'[2]stock-take'!$G:$K,4,FALSE)), "OUT OF STOCK", VLOOKUP(D110,'[2]stock-take'!$G:$K,4,FALSE)))</f>
        <v xml:space="preserve"> </v>
      </c>
      <c r="J110" s="39">
        <f>IF(ISNA(VLOOKUP(D110,'[2]stock-take'!$G:$K,3,FALSE)), 0, VLOOKUP(D110,'[2]stock-take'!$G:$K,3,FALSE))</f>
        <v>0</v>
      </c>
      <c r="K110" s="49" t="str">
        <f>IF(F110="", " ", IF(ISNA(VLOOKUP(D110,'[2]stock-take'!$M:$Q,4,FALSE)), "OUT OF STOCK", VLOOKUP(D110,'[2]stock-take'!$M:$Q,4,FALSE)))</f>
        <v xml:space="preserve"> </v>
      </c>
      <c r="L110" s="47">
        <f>IF(ISNA(VLOOKUP(D110,'[2]stock-take'!$M:$Q,3,FALSE)), 0, VLOOKUP(D110,'[2]stock-take'!$M:$Q,3,FALSE))</f>
        <v>0</v>
      </c>
      <c r="M110" s="48" t="str">
        <f t="shared" si="4"/>
        <v xml:space="preserve"> </v>
      </c>
      <c r="N110" s="39" t="str">
        <f t="shared" si="5"/>
        <v xml:space="preserve"> </v>
      </c>
    </row>
    <row r="111" spans="1:14">
      <c r="A111" s="37">
        <f t="shared" si="3"/>
        <v>100</v>
      </c>
      <c r="D111" s="24"/>
      <c r="G111" s="48" t="str">
        <f>IF(F111=""," ",IF(ISNA(VLOOKUP(D111,'[2]stock-take'!$A:$E,4,FALSE)), "OUT OF STOCK", VLOOKUP(D111,'[2]stock-take'!$A:$E,4,FALSE)))</f>
        <v xml:space="preserve"> </v>
      </c>
      <c r="H111" s="48">
        <f>IF(ISNA(VLOOKUP(D111,'[2]stock-take'!$A:$E,3,FALSE)), 0, VLOOKUP(D111,'[2]stock-take'!$A:$E,3,FALSE))</f>
        <v>0</v>
      </c>
      <c r="I111" s="48" t="str">
        <f>IF(F111="", " ",IF(ISNA(VLOOKUP(D111,'[2]stock-take'!$G:$K,4,FALSE)), "OUT OF STOCK", VLOOKUP(D111,'[2]stock-take'!$G:$K,4,FALSE)))</f>
        <v xml:space="preserve"> </v>
      </c>
      <c r="J111" s="39">
        <f>IF(ISNA(VLOOKUP(D111,'[2]stock-take'!$G:$K,3,FALSE)), 0, VLOOKUP(D111,'[2]stock-take'!$G:$K,3,FALSE))</f>
        <v>0</v>
      </c>
      <c r="K111" s="49" t="str">
        <f>IF(F111="", " ", IF(ISNA(VLOOKUP(D111,'[2]stock-take'!$M:$Q,4,FALSE)), "OUT OF STOCK", VLOOKUP(D111,'[2]stock-take'!$M:$Q,4,FALSE)))</f>
        <v xml:space="preserve"> </v>
      </c>
      <c r="L111" s="47">
        <f>IF(ISNA(VLOOKUP(D111,'[2]stock-take'!$M:$Q,3,FALSE)), 0, VLOOKUP(D111,'[2]stock-take'!$M:$Q,3,FALSE))</f>
        <v>0</v>
      </c>
      <c r="M111" s="48" t="str">
        <f t="shared" si="4"/>
        <v xml:space="preserve"> </v>
      </c>
      <c r="N111" s="39" t="str">
        <f t="shared" si="5"/>
        <v xml:space="preserve"> </v>
      </c>
    </row>
    <row r="112" spans="1:14">
      <c r="A112" s="37">
        <f t="shared" si="3"/>
        <v>101</v>
      </c>
      <c r="D112" s="24"/>
      <c r="G112" s="48" t="str">
        <f>IF(F112=""," ",IF(ISNA(VLOOKUP(D112,'[2]stock-take'!$A:$E,4,FALSE)), "OUT OF STOCK", VLOOKUP(D112,'[2]stock-take'!$A:$E,4,FALSE)))</f>
        <v xml:space="preserve"> </v>
      </c>
      <c r="H112" s="48">
        <f>IF(ISNA(VLOOKUP(D112,'[2]stock-take'!$A:$E,3,FALSE)), 0, VLOOKUP(D112,'[2]stock-take'!$A:$E,3,FALSE))</f>
        <v>0</v>
      </c>
      <c r="I112" s="48" t="str">
        <f>IF(F112="", " ",IF(ISNA(VLOOKUP(D112,'[2]stock-take'!$G:$K,4,FALSE)), "OUT OF STOCK", VLOOKUP(D112,'[2]stock-take'!$G:$K,4,FALSE)))</f>
        <v xml:space="preserve"> </v>
      </c>
      <c r="J112" s="39">
        <f>IF(ISNA(VLOOKUP(D112,'[2]stock-take'!$G:$K,3,FALSE)), 0, VLOOKUP(D112,'[2]stock-take'!$G:$K,3,FALSE))</f>
        <v>0</v>
      </c>
      <c r="K112" s="49" t="str">
        <f>IF(F112="", " ", IF(ISNA(VLOOKUP(D112,'[2]stock-take'!$M:$Q,4,FALSE)), "OUT OF STOCK", VLOOKUP(D112,'[2]stock-take'!$M:$Q,4,FALSE)))</f>
        <v xml:space="preserve"> </v>
      </c>
      <c r="L112" s="47">
        <f>IF(ISNA(VLOOKUP(D112,'[2]stock-take'!$M:$Q,3,FALSE)), 0, VLOOKUP(D112,'[2]stock-take'!$M:$Q,3,FALSE))</f>
        <v>0</v>
      </c>
      <c r="M112" s="48" t="str">
        <f t="shared" si="4"/>
        <v xml:space="preserve"> </v>
      </c>
      <c r="N112" s="39" t="str">
        <f t="shared" si="5"/>
        <v xml:space="preserve"> </v>
      </c>
    </row>
    <row r="113" spans="1:14">
      <c r="A113" s="37">
        <f t="shared" si="3"/>
        <v>102</v>
      </c>
      <c r="D113" s="24"/>
      <c r="G113" s="48" t="str">
        <f>IF(F113=""," ",IF(ISNA(VLOOKUP(D113,'[2]stock-take'!$A:$E,4,FALSE)), "OUT OF STOCK", VLOOKUP(D113,'[2]stock-take'!$A:$E,4,FALSE)))</f>
        <v xml:space="preserve"> </v>
      </c>
      <c r="H113" s="48">
        <f>IF(ISNA(VLOOKUP(D113,'[2]stock-take'!$A:$E,3,FALSE)), 0, VLOOKUP(D113,'[2]stock-take'!$A:$E,3,FALSE))</f>
        <v>0</v>
      </c>
      <c r="I113" s="48" t="str">
        <f>IF(F113="", " ",IF(ISNA(VLOOKUP(D113,'[2]stock-take'!$G:$K,4,FALSE)), "OUT OF STOCK", VLOOKUP(D113,'[2]stock-take'!$G:$K,4,FALSE)))</f>
        <v xml:space="preserve"> </v>
      </c>
      <c r="J113" s="39">
        <f>IF(ISNA(VLOOKUP(D113,'[2]stock-take'!$G:$K,3,FALSE)), 0, VLOOKUP(D113,'[2]stock-take'!$G:$K,3,FALSE))</f>
        <v>0</v>
      </c>
      <c r="K113" s="49" t="str">
        <f>IF(F113="", " ", IF(ISNA(VLOOKUP(D113,'[2]stock-take'!$M:$Q,4,FALSE)), "OUT OF STOCK", VLOOKUP(D113,'[2]stock-take'!$M:$Q,4,FALSE)))</f>
        <v xml:space="preserve"> </v>
      </c>
      <c r="L113" s="47">
        <f>IF(ISNA(VLOOKUP(D113,'[2]stock-take'!$M:$Q,3,FALSE)), 0, VLOOKUP(D113,'[2]stock-take'!$M:$Q,3,FALSE))</f>
        <v>0</v>
      </c>
      <c r="M113" s="48" t="str">
        <f t="shared" si="4"/>
        <v xml:space="preserve"> </v>
      </c>
      <c r="N113" s="39" t="str">
        <f t="shared" si="5"/>
        <v xml:space="preserve"> </v>
      </c>
    </row>
    <row r="114" spans="1:14">
      <c r="A114" s="37">
        <f t="shared" si="3"/>
        <v>103</v>
      </c>
      <c r="D114" s="24"/>
      <c r="G114" s="48" t="str">
        <f>IF(F114=""," ",IF(ISNA(VLOOKUP(D114,'[2]stock-take'!$A:$E,4,FALSE)), "OUT OF STOCK", VLOOKUP(D114,'[2]stock-take'!$A:$E,4,FALSE)))</f>
        <v xml:space="preserve"> </v>
      </c>
      <c r="H114" s="48">
        <f>IF(ISNA(VLOOKUP(D114,'[2]stock-take'!$A:$E,3,FALSE)), 0, VLOOKUP(D114,'[2]stock-take'!$A:$E,3,FALSE))</f>
        <v>0</v>
      </c>
      <c r="I114" s="48" t="str">
        <f>IF(F114="", " ",IF(ISNA(VLOOKUP(D114,'[2]stock-take'!$G:$K,4,FALSE)), "OUT OF STOCK", VLOOKUP(D114,'[2]stock-take'!$G:$K,4,FALSE)))</f>
        <v xml:space="preserve"> </v>
      </c>
      <c r="J114" s="39">
        <f>IF(ISNA(VLOOKUP(D114,'[2]stock-take'!$G:$K,3,FALSE)), 0, VLOOKUP(D114,'[2]stock-take'!$G:$K,3,FALSE))</f>
        <v>0</v>
      </c>
      <c r="K114" s="49" t="str">
        <f>IF(F114="", " ", IF(ISNA(VLOOKUP(D114,'[2]stock-take'!$M:$Q,4,FALSE)), "OUT OF STOCK", VLOOKUP(D114,'[2]stock-take'!$M:$Q,4,FALSE)))</f>
        <v xml:space="preserve"> </v>
      </c>
      <c r="L114" s="47">
        <f>IF(ISNA(VLOOKUP(D114,'[2]stock-take'!$M:$Q,3,FALSE)), 0, VLOOKUP(D114,'[2]stock-take'!$M:$Q,3,FALSE))</f>
        <v>0</v>
      </c>
      <c r="M114" s="48" t="str">
        <f t="shared" si="4"/>
        <v xml:space="preserve"> </v>
      </c>
      <c r="N114" s="39" t="str">
        <f t="shared" si="5"/>
        <v xml:space="preserve"> </v>
      </c>
    </row>
    <row r="115" spans="1:14">
      <c r="A115" s="37">
        <f t="shared" si="3"/>
        <v>104</v>
      </c>
      <c r="D115" s="24"/>
      <c r="G115" s="48" t="str">
        <f>IF(F115=""," ",IF(ISNA(VLOOKUP(D115,'[2]stock-take'!$A:$E,4,FALSE)), "OUT OF STOCK", VLOOKUP(D115,'[2]stock-take'!$A:$E,4,FALSE)))</f>
        <v xml:space="preserve"> </v>
      </c>
      <c r="H115" s="48">
        <f>IF(ISNA(VLOOKUP(D115,'[2]stock-take'!$A:$E,3,FALSE)), 0, VLOOKUP(D115,'[2]stock-take'!$A:$E,3,FALSE))</f>
        <v>0</v>
      </c>
      <c r="I115" s="48" t="str">
        <f>IF(F115="", " ",IF(ISNA(VLOOKUP(D115,'[2]stock-take'!$G:$K,4,FALSE)), "OUT OF STOCK", VLOOKUP(D115,'[2]stock-take'!$G:$K,4,FALSE)))</f>
        <v xml:space="preserve"> </v>
      </c>
      <c r="J115" s="39">
        <f>IF(ISNA(VLOOKUP(D115,'[2]stock-take'!$G:$K,3,FALSE)), 0, VLOOKUP(D115,'[2]stock-take'!$G:$K,3,FALSE))</f>
        <v>0</v>
      </c>
      <c r="K115" s="49" t="str">
        <f>IF(F115="", " ", IF(ISNA(VLOOKUP(D115,'[2]stock-take'!$M:$Q,4,FALSE)), "OUT OF STOCK", VLOOKUP(D115,'[2]stock-take'!$M:$Q,4,FALSE)))</f>
        <v xml:space="preserve"> </v>
      </c>
      <c r="L115" s="47">
        <f>IF(ISNA(VLOOKUP(D115,'[2]stock-take'!$M:$Q,3,FALSE)), 0, VLOOKUP(D115,'[2]stock-take'!$M:$Q,3,FALSE))</f>
        <v>0</v>
      </c>
      <c r="M115" s="48" t="str">
        <f t="shared" si="4"/>
        <v xml:space="preserve"> </v>
      </c>
      <c r="N115" s="39" t="str">
        <f t="shared" si="5"/>
        <v xml:space="preserve"> </v>
      </c>
    </row>
    <row r="116" spans="1:14">
      <c r="A116" s="37">
        <f t="shared" si="3"/>
        <v>105</v>
      </c>
      <c r="D116" s="24"/>
      <c r="G116" s="48" t="str">
        <f>IF(F116=""," ",IF(ISNA(VLOOKUP(D116,'[2]stock-take'!$A:$E,4,FALSE)), "OUT OF STOCK", VLOOKUP(D116,'[2]stock-take'!$A:$E,4,FALSE)))</f>
        <v xml:space="preserve"> </v>
      </c>
      <c r="H116" s="48">
        <f>IF(ISNA(VLOOKUP(D116,'[2]stock-take'!$A:$E,3,FALSE)), 0, VLOOKUP(D116,'[2]stock-take'!$A:$E,3,FALSE))</f>
        <v>0</v>
      </c>
      <c r="I116" s="48" t="str">
        <f>IF(F116="", " ",IF(ISNA(VLOOKUP(D116,'[2]stock-take'!$G:$K,4,FALSE)), "OUT OF STOCK", VLOOKUP(D116,'[2]stock-take'!$G:$K,4,FALSE)))</f>
        <v xml:space="preserve"> </v>
      </c>
      <c r="J116" s="39">
        <f>IF(ISNA(VLOOKUP(D116,'[2]stock-take'!$G:$K,3,FALSE)), 0, VLOOKUP(D116,'[2]stock-take'!$G:$K,3,FALSE))</f>
        <v>0</v>
      </c>
      <c r="K116" s="49" t="str">
        <f>IF(F116="", " ", IF(ISNA(VLOOKUP(D116,'[2]stock-take'!$M:$Q,4,FALSE)), "OUT OF STOCK", VLOOKUP(D116,'[2]stock-take'!$M:$Q,4,FALSE)))</f>
        <v xml:space="preserve"> </v>
      </c>
      <c r="L116" s="47">
        <f>IF(ISNA(VLOOKUP(D116,'[2]stock-take'!$M:$Q,3,FALSE)), 0, VLOOKUP(D116,'[2]stock-take'!$M:$Q,3,FALSE))</f>
        <v>0</v>
      </c>
      <c r="M116" s="48" t="str">
        <f t="shared" si="4"/>
        <v xml:space="preserve"> </v>
      </c>
      <c r="N116" s="39" t="str">
        <f t="shared" si="5"/>
        <v xml:space="preserve"> </v>
      </c>
    </row>
    <row r="117" spans="1:14">
      <c r="A117" s="37">
        <f t="shared" si="3"/>
        <v>106</v>
      </c>
      <c r="D117" s="24"/>
      <c r="G117" s="48" t="str">
        <f>IF(F117=""," ",IF(ISNA(VLOOKUP(D117,'[2]stock-take'!$A:$E,4,FALSE)), "OUT OF STOCK", VLOOKUP(D117,'[2]stock-take'!$A:$E,4,FALSE)))</f>
        <v xml:space="preserve"> </v>
      </c>
      <c r="H117" s="48">
        <f>IF(ISNA(VLOOKUP(D117,'[2]stock-take'!$A:$E,3,FALSE)), 0, VLOOKUP(D117,'[2]stock-take'!$A:$E,3,FALSE))</f>
        <v>0</v>
      </c>
      <c r="I117" s="48" t="str">
        <f>IF(F117="", " ",IF(ISNA(VLOOKUP(D117,'[2]stock-take'!$G:$K,4,FALSE)), "OUT OF STOCK", VLOOKUP(D117,'[2]stock-take'!$G:$K,4,FALSE)))</f>
        <v xml:space="preserve"> </v>
      </c>
      <c r="J117" s="39">
        <f>IF(ISNA(VLOOKUP(D117,'[2]stock-take'!$G:$K,3,FALSE)), 0, VLOOKUP(D117,'[2]stock-take'!$G:$K,3,FALSE))</f>
        <v>0</v>
      </c>
      <c r="K117" s="49" t="str">
        <f>IF(F117="", " ", IF(ISNA(VLOOKUP(D117,'[2]stock-take'!$M:$Q,4,FALSE)), "OUT OF STOCK", VLOOKUP(D117,'[2]stock-take'!$M:$Q,4,FALSE)))</f>
        <v xml:space="preserve"> </v>
      </c>
      <c r="L117" s="47">
        <f>IF(ISNA(VLOOKUP(D117,'[2]stock-take'!$M:$Q,3,FALSE)), 0, VLOOKUP(D117,'[2]stock-take'!$M:$Q,3,FALSE))</f>
        <v>0</v>
      </c>
      <c r="M117" s="48" t="str">
        <f t="shared" si="4"/>
        <v xml:space="preserve"> </v>
      </c>
      <c r="N117" s="39" t="str">
        <f t="shared" si="5"/>
        <v xml:space="preserve"> </v>
      </c>
    </row>
    <row r="118" spans="1:14">
      <c r="A118" s="37">
        <f t="shared" si="3"/>
        <v>107</v>
      </c>
      <c r="D118" s="24"/>
      <c r="G118" s="48" t="str">
        <f>IF(F118=""," ",IF(ISNA(VLOOKUP(D118,'[2]stock-take'!$A:$E,4,FALSE)), "OUT OF STOCK", VLOOKUP(D118,'[2]stock-take'!$A:$E,4,FALSE)))</f>
        <v xml:space="preserve"> </v>
      </c>
      <c r="H118" s="48">
        <f>IF(ISNA(VLOOKUP(D118,'[2]stock-take'!$A:$E,3,FALSE)), 0, VLOOKUP(D118,'[2]stock-take'!$A:$E,3,FALSE))</f>
        <v>0</v>
      </c>
      <c r="I118" s="48" t="str">
        <f>IF(F118="", " ",IF(ISNA(VLOOKUP(D118,'[2]stock-take'!$G:$K,4,FALSE)), "OUT OF STOCK", VLOOKUP(D118,'[2]stock-take'!$G:$K,4,FALSE)))</f>
        <v xml:space="preserve"> </v>
      </c>
      <c r="J118" s="39">
        <f>IF(ISNA(VLOOKUP(D118,'[2]stock-take'!$G:$K,3,FALSE)), 0, VLOOKUP(D118,'[2]stock-take'!$G:$K,3,FALSE))</f>
        <v>0</v>
      </c>
      <c r="K118" s="49" t="str">
        <f>IF(F118="", " ", IF(ISNA(VLOOKUP(D118,'[2]stock-take'!$M:$Q,4,FALSE)), "OUT OF STOCK", VLOOKUP(D118,'[2]stock-take'!$M:$Q,4,FALSE)))</f>
        <v xml:space="preserve"> </v>
      </c>
      <c r="L118" s="47">
        <f>IF(ISNA(VLOOKUP(D118,'[2]stock-take'!$M:$Q,3,FALSE)), 0, VLOOKUP(D118,'[2]stock-take'!$M:$Q,3,FALSE))</f>
        <v>0</v>
      </c>
      <c r="M118" s="48" t="str">
        <f t="shared" si="4"/>
        <v xml:space="preserve"> </v>
      </c>
      <c r="N118" s="39" t="str">
        <f t="shared" si="5"/>
        <v xml:space="preserve"> </v>
      </c>
    </row>
    <row r="119" spans="1:14">
      <c r="A119" s="37">
        <f t="shared" si="3"/>
        <v>108</v>
      </c>
      <c r="D119" s="24"/>
      <c r="G119" s="48" t="str">
        <f>IF(F119=""," ",IF(ISNA(VLOOKUP(D119,'[2]stock-take'!$A:$E,4,FALSE)), "OUT OF STOCK", VLOOKUP(D119,'[2]stock-take'!$A:$E,4,FALSE)))</f>
        <v xml:space="preserve"> </v>
      </c>
      <c r="H119" s="48">
        <f>IF(ISNA(VLOOKUP(D119,'[2]stock-take'!$A:$E,3,FALSE)), 0, VLOOKUP(D119,'[2]stock-take'!$A:$E,3,FALSE))</f>
        <v>0</v>
      </c>
      <c r="I119" s="48" t="str">
        <f>IF(F119="", " ",IF(ISNA(VLOOKUP(D119,'[2]stock-take'!$G:$K,4,FALSE)), "OUT OF STOCK", VLOOKUP(D119,'[2]stock-take'!$G:$K,4,FALSE)))</f>
        <v xml:space="preserve"> </v>
      </c>
      <c r="J119" s="39">
        <f>IF(ISNA(VLOOKUP(D119,'[2]stock-take'!$G:$K,3,FALSE)), 0, VLOOKUP(D119,'[2]stock-take'!$G:$K,3,FALSE))</f>
        <v>0</v>
      </c>
      <c r="K119" s="49" t="str">
        <f>IF(F119="", " ", IF(ISNA(VLOOKUP(D119,'[2]stock-take'!$M:$Q,4,FALSE)), "OUT OF STOCK", VLOOKUP(D119,'[2]stock-take'!$M:$Q,4,FALSE)))</f>
        <v xml:space="preserve"> </v>
      </c>
      <c r="L119" s="47">
        <f>IF(ISNA(VLOOKUP(D119,'[2]stock-take'!$M:$Q,3,FALSE)), 0, VLOOKUP(D119,'[2]stock-take'!$M:$Q,3,FALSE))</f>
        <v>0</v>
      </c>
      <c r="M119" s="48" t="str">
        <f t="shared" si="4"/>
        <v xml:space="preserve"> </v>
      </c>
      <c r="N119" s="39" t="str">
        <f t="shared" si="5"/>
        <v xml:space="preserve"> </v>
      </c>
    </row>
    <row r="120" spans="1:14">
      <c r="A120" s="37">
        <f t="shared" si="3"/>
        <v>109</v>
      </c>
      <c r="D120" s="24"/>
      <c r="G120" s="48" t="str">
        <f>IF(F120=""," ",IF(ISNA(VLOOKUP(D120,'[2]stock-take'!$A:$E,4,FALSE)), "OUT OF STOCK", VLOOKUP(D120,'[2]stock-take'!$A:$E,4,FALSE)))</f>
        <v xml:space="preserve"> </v>
      </c>
      <c r="H120" s="48">
        <f>IF(ISNA(VLOOKUP(D120,'[2]stock-take'!$A:$E,3,FALSE)), 0, VLOOKUP(D120,'[2]stock-take'!$A:$E,3,FALSE))</f>
        <v>0</v>
      </c>
      <c r="I120" s="48" t="str">
        <f>IF(F120="", " ",IF(ISNA(VLOOKUP(D120,'[2]stock-take'!$G:$K,4,FALSE)), "OUT OF STOCK", VLOOKUP(D120,'[2]stock-take'!$G:$K,4,FALSE)))</f>
        <v xml:space="preserve"> </v>
      </c>
      <c r="J120" s="39">
        <f>IF(ISNA(VLOOKUP(D120,'[2]stock-take'!$G:$K,3,FALSE)), 0, VLOOKUP(D120,'[2]stock-take'!$G:$K,3,FALSE))</f>
        <v>0</v>
      </c>
      <c r="K120" s="49" t="str">
        <f>IF(F120="", " ", IF(ISNA(VLOOKUP(D120,'[2]stock-take'!$M:$Q,4,FALSE)), "OUT OF STOCK", VLOOKUP(D120,'[2]stock-take'!$M:$Q,4,FALSE)))</f>
        <v xml:space="preserve"> </v>
      </c>
      <c r="L120" s="47">
        <f>IF(ISNA(VLOOKUP(D120,'[2]stock-take'!$M:$Q,3,FALSE)), 0, VLOOKUP(D120,'[2]stock-take'!$M:$Q,3,FALSE))</f>
        <v>0</v>
      </c>
      <c r="M120" s="48" t="str">
        <f t="shared" si="4"/>
        <v xml:space="preserve"> </v>
      </c>
      <c r="N120" s="39" t="str">
        <f t="shared" si="5"/>
        <v xml:space="preserve"> </v>
      </c>
    </row>
    <row r="121" spans="1:14">
      <c r="A121" s="37">
        <f t="shared" si="3"/>
        <v>110</v>
      </c>
      <c r="D121" s="24"/>
      <c r="G121" s="48" t="str">
        <f>IF(F121=""," ",IF(ISNA(VLOOKUP(D121,'[2]stock-take'!$A:$E,4,FALSE)), "OUT OF STOCK", VLOOKUP(D121,'[2]stock-take'!$A:$E,4,FALSE)))</f>
        <v xml:space="preserve"> </v>
      </c>
      <c r="H121" s="48">
        <f>IF(ISNA(VLOOKUP(D121,'[2]stock-take'!$A:$E,3,FALSE)), 0, VLOOKUP(D121,'[2]stock-take'!$A:$E,3,FALSE))</f>
        <v>0</v>
      </c>
      <c r="I121" s="48" t="str">
        <f>IF(F121="", " ",IF(ISNA(VLOOKUP(D121,'[2]stock-take'!$G:$K,4,FALSE)), "OUT OF STOCK", VLOOKUP(D121,'[2]stock-take'!$G:$K,4,FALSE)))</f>
        <v xml:space="preserve"> </v>
      </c>
      <c r="J121" s="39">
        <f>IF(ISNA(VLOOKUP(D121,'[2]stock-take'!$G:$K,3,FALSE)), 0, VLOOKUP(D121,'[2]stock-take'!$G:$K,3,FALSE))</f>
        <v>0</v>
      </c>
      <c r="K121" s="49" t="str">
        <f>IF(F121="", " ", IF(ISNA(VLOOKUP(D121,'[2]stock-take'!$M:$Q,4,FALSE)), "OUT OF STOCK", VLOOKUP(D121,'[2]stock-take'!$M:$Q,4,FALSE)))</f>
        <v xml:space="preserve"> </v>
      </c>
      <c r="L121" s="47">
        <f>IF(ISNA(VLOOKUP(D121,'[2]stock-take'!$M:$Q,3,FALSE)), 0, VLOOKUP(D121,'[2]stock-take'!$M:$Q,3,FALSE))</f>
        <v>0</v>
      </c>
      <c r="M121" s="48" t="str">
        <f t="shared" si="4"/>
        <v xml:space="preserve"> </v>
      </c>
      <c r="N121" s="39" t="str">
        <f t="shared" si="5"/>
        <v xml:space="preserve"> </v>
      </c>
    </row>
    <row r="122" spans="1:14">
      <c r="A122" s="37">
        <f t="shared" si="3"/>
        <v>111</v>
      </c>
      <c r="D122" s="24"/>
      <c r="G122" s="48" t="str">
        <f>IF(F122=""," ",IF(ISNA(VLOOKUP(D122,'[2]stock-take'!$A:$E,4,FALSE)), "OUT OF STOCK", VLOOKUP(D122,'[2]stock-take'!$A:$E,4,FALSE)))</f>
        <v xml:space="preserve"> </v>
      </c>
      <c r="H122" s="48">
        <f>IF(ISNA(VLOOKUP(D122,'[2]stock-take'!$A:$E,3,FALSE)), 0, VLOOKUP(D122,'[2]stock-take'!$A:$E,3,FALSE))</f>
        <v>0</v>
      </c>
      <c r="I122" s="48" t="str">
        <f>IF(F122="", " ",IF(ISNA(VLOOKUP(D122,'[2]stock-take'!$G:$K,4,FALSE)), "OUT OF STOCK", VLOOKUP(D122,'[2]stock-take'!$G:$K,4,FALSE)))</f>
        <v xml:space="preserve"> </v>
      </c>
      <c r="J122" s="39">
        <f>IF(ISNA(VLOOKUP(D122,'[2]stock-take'!$G:$K,3,FALSE)), 0, VLOOKUP(D122,'[2]stock-take'!$G:$K,3,FALSE))</f>
        <v>0</v>
      </c>
      <c r="K122" s="49" t="str">
        <f>IF(F122="", " ", IF(ISNA(VLOOKUP(D122,'[2]stock-take'!$M:$Q,4,FALSE)), "OUT OF STOCK", VLOOKUP(D122,'[2]stock-take'!$M:$Q,4,FALSE)))</f>
        <v xml:space="preserve"> </v>
      </c>
      <c r="L122" s="47">
        <f>IF(ISNA(VLOOKUP(D122,'[2]stock-take'!$M:$Q,3,FALSE)), 0, VLOOKUP(D122,'[2]stock-take'!$M:$Q,3,FALSE))</f>
        <v>0</v>
      </c>
      <c r="M122" s="48" t="str">
        <f t="shared" si="4"/>
        <v xml:space="preserve"> </v>
      </c>
      <c r="N122" s="39" t="str">
        <f t="shared" si="5"/>
        <v xml:space="preserve"> </v>
      </c>
    </row>
    <row r="123" spans="1:14">
      <c r="A123" s="37">
        <f t="shared" si="3"/>
        <v>112</v>
      </c>
      <c r="D123" s="24"/>
      <c r="G123" s="48" t="str">
        <f>IF(F123=""," ",IF(ISNA(VLOOKUP(D123,'[2]stock-take'!$A:$E,4,FALSE)), "OUT OF STOCK", VLOOKUP(D123,'[2]stock-take'!$A:$E,4,FALSE)))</f>
        <v xml:space="preserve"> </v>
      </c>
      <c r="H123" s="48">
        <f>IF(ISNA(VLOOKUP(D123,'[2]stock-take'!$A:$E,3,FALSE)), 0, VLOOKUP(D123,'[2]stock-take'!$A:$E,3,FALSE))</f>
        <v>0</v>
      </c>
      <c r="I123" s="48" t="str">
        <f>IF(F123="", " ",IF(ISNA(VLOOKUP(D123,'[2]stock-take'!$G:$K,4,FALSE)), "OUT OF STOCK", VLOOKUP(D123,'[2]stock-take'!$G:$K,4,FALSE)))</f>
        <v xml:space="preserve"> </v>
      </c>
      <c r="J123" s="39">
        <f>IF(ISNA(VLOOKUP(D123,'[2]stock-take'!$G:$K,3,FALSE)), 0, VLOOKUP(D123,'[2]stock-take'!$G:$K,3,FALSE))</f>
        <v>0</v>
      </c>
      <c r="K123" s="49" t="str">
        <f>IF(F123="", " ", IF(ISNA(VLOOKUP(D123,'[2]stock-take'!$M:$Q,4,FALSE)), "OUT OF STOCK", VLOOKUP(D123,'[2]stock-take'!$M:$Q,4,FALSE)))</f>
        <v xml:space="preserve"> </v>
      </c>
      <c r="L123" s="47">
        <f>IF(ISNA(VLOOKUP(D123,'[2]stock-take'!$M:$Q,3,FALSE)), 0, VLOOKUP(D123,'[2]stock-take'!$M:$Q,3,FALSE))</f>
        <v>0</v>
      </c>
      <c r="M123" s="48" t="str">
        <f t="shared" si="4"/>
        <v xml:space="preserve"> </v>
      </c>
      <c r="N123" s="39" t="str">
        <f t="shared" si="5"/>
        <v xml:space="preserve"> </v>
      </c>
    </row>
    <row r="124" spans="1:14">
      <c r="A124" s="37">
        <f t="shared" si="3"/>
        <v>113</v>
      </c>
      <c r="D124" s="24"/>
      <c r="G124" s="48" t="str">
        <f>IF(F124=""," ",IF(ISNA(VLOOKUP(D124,'[2]stock-take'!$A:$E,4,FALSE)), "OUT OF STOCK", VLOOKUP(D124,'[2]stock-take'!$A:$E,4,FALSE)))</f>
        <v xml:space="preserve"> </v>
      </c>
      <c r="H124" s="48">
        <f>IF(ISNA(VLOOKUP(D124,'[2]stock-take'!$A:$E,3,FALSE)), 0, VLOOKUP(D124,'[2]stock-take'!$A:$E,3,FALSE))</f>
        <v>0</v>
      </c>
      <c r="I124" s="48" t="str">
        <f>IF(F124="", " ",IF(ISNA(VLOOKUP(D124,'[2]stock-take'!$G:$K,4,FALSE)), "OUT OF STOCK", VLOOKUP(D124,'[2]stock-take'!$G:$K,4,FALSE)))</f>
        <v xml:space="preserve"> </v>
      </c>
      <c r="J124" s="39">
        <f>IF(ISNA(VLOOKUP(D124,'[2]stock-take'!$G:$K,3,FALSE)), 0, VLOOKUP(D124,'[2]stock-take'!$G:$K,3,FALSE))</f>
        <v>0</v>
      </c>
      <c r="K124" s="49" t="str">
        <f>IF(F124="", " ", IF(ISNA(VLOOKUP(D124,'[2]stock-take'!$M:$Q,4,FALSE)), "OUT OF STOCK", VLOOKUP(D124,'[2]stock-take'!$M:$Q,4,FALSE)))</f>
        <v xml:space="preserve"> </v>
      </c>
      <c r="L124" s="47">
        <f>IF(ISNA(VLOOKUP(D124,'[2]stock-take'!$M:$Q,3,FALSE)), 0, VLOOKUP(D124,'[2]stock-take'!$M:$Q,3,FALSE))</f>
        <v>0</v>
      </c>
      <c r="M124" s="48" t="str">
        <f t="shared" si="4"/>
        <v xml:space="preserve"> </v>
      </c>
      <c r="N124" s="39" t="str">
        <f t="shared" si="5"/>
        <v xml:space="preserve"> </v>
      </c>
    </row>
    <row r="125" spans="1:14">
      <c r="A125" s="37">
        <f t="shared" si="3"/>
        <v>114</v>
      </c>
      <c r="D125" s="24"/>
      <c r="G125" s="48" t="str">
        <f>IF(F125=""," ",IF(ISNA(VLOOKUP(D125,'[2]stock-take'!$A:$E,4,FALSE)), "OUT OF STOCK", VLOOKUP(D125,'[2]stock-take'!$A:$E,4,FALSE)))</f>
        <v xml:space="preserve"> </v>
      </c>
      <c r="H125" s="48">
        <f>IF(ISNA(VLOOKUP(D125,'[2]stock-take'!$A:$E,3,FALSE)), 0, VLOOKUP(D125,'[2]stock-take'!$A:$E,3,FALSE))</f>
        <v>0</v>
      </c>
      <c r="I125" s="48" t="str">
        <f>IF(F125="", " ",IF(ISNA(VLOOKUP(D125,'[2]stock-take'!$G:$K,4,FALSE)), "OUT OF STOCK", VLOOKUP(D125,'[2]stock-take'!$G:$K,4,FALSE)))</f>
        <v xml:space="preserve"> </v>
      </c>
      <c r="J125" s="39">
        <f>IF(ISNA(VLOOKUP(D125,'[2]stock-take'!$G:$K,3,FALSE)), 0, VLOOKUP(D125,'[2]stock-take'!$G:$K,3,FALSE))</f>
        <v>0</v>
      </c>
      <c r="K125" s="49" t="str">
        <f>IF(F125="", " ", IF(ISNA(VLOOKUP(D125,'[2]stock-take'!$M:$Q,4,FALSE)), "OUT OF STOCK", VLOOKUP(D125,'[2]stock-take'!$M:$Q,4,FALSE)))</f>
        <v xml:space="preserve"> </v>
      </c>
      <c r="L125" s="47">
        <f>IF(ISNA(VLOOKUP(D125,'[2]stock-take'!$M:$Q,3,FALSE)), 0, VLOOKUP(D125,'[2]stock-take'!$M:$Q,3,FALSE))</f>
        <v>0</v>
      </c>
      <c r="M125" s="48" t="str">
        <f t="shared" si="4"/>
        <v xml:space="preserve"> </v>
      </c>
      <c r="N125" s="39" t="str">
        <f t="shared" si="5"/>
        <v xml:space="preserve"> </v>
      </c>
    </row>
    <row r="126" spans="1:14">
      <c r="A126" s="37">
        <f t="shared" si="3"/>
        <v>115</v>
      </c>
      <c r="D126" s="24"/>
      <c r="G126" s="48" t="str">
        <f>IF(F126=""," ",IF(ISNA(VLOOKUP(D126,'[2]stock-take'!$A:$E,4,FALSE)), "OUT OF STOCK", VLOOKUP(D126,'[2]stock-take'!$A:$E,4,FALSE)))</f>
        <v xml:space="preserve"> </v>
      </c>
      <c r="H126" s="48">
        <f>IF(ISNA(VLOOKUP(D126,'[2]stock-take'!$A:$E,3,FALSE)), 0, VLOOKUP(D126,'[2]stock-take'!$A:$E,3,FALSE))</f>
        <v>0</v>
      </c>
      <c r="I126" s="48" t="str">
        <f>IF(F126="", " ",IF(ISNA(VLOOKUP(D126,'[2]stock-take'!$G:$K,4,FALSE)), "OUT OF STOCK", VLOOKUP(D126,'[2]stock-take'!$G:$K,4,FALSE)))</f>
        <v xml:space="preserve"> </v>
      </c>
      <c r="J126" s="39">
        <f>IF(ISNA(VLOOKUP(D126,'[2]stock-take'!$G:$K,3,FALSE)), 0, VLOOKUP(D126,'[2]stock-take'!$G:$K,3,FALSE))</f>
        <v>0</v>
      </c>
      <c r="K126" s="49" t="str">
        <f>IF(F126="", " ", IF(ISNA(VLOOKUP(D126,'[2]stock-take'!$M:$Q,4,FALSE)), "OUT OF STOCK", VLOOKUP(D126,'[2]stock-take'!$M:$Q,4,FALSE)))</f>
        <v xml:space="preserve"> </v>
      </c>
      <c r="L126" s="47">
        <f>IF(ISNA(VLOOKUP(D126,'[2]stock-take'!$M:$Q,3,FALSE)), 0, VLOOKUP(D126,'[2]stock-take'!$M:$Q,3,FALSE))</f>
        <v>0</v>
      </c>
      <c r="M126" s="48" t="str">
        <f t="shared" si="4"/>
        <v xml:space="preserve"> </v>
      </c>
      <c r="N126" s="39" t="str">
        <f t="shared" si="5"/>
        <v xml:space="preserve"> </v>
      </c>
    </row>
    <row r="127" spans="1:14">
      <c r="A127" s="37">
        <f t="shared" si="3"/>
        <v>116</v>
      </c>
      <c r="D127" s="24"/>
      <c r="G127" s="48" t="str">
        <f>IF(F127=""," ",IF(ISNA(VLOOKUP(D127,'[2]stock-take'!$A:$E,4,FALSE)), "OUT OF STOCK", VLOOKUP(D127,'[2]stock-take'!$A:$E,4,FALSE)))</f>
        <v xml:space="preserve"> </v>
      </c>
      <c r="H127" s="48">
        <f>IF(ISNA(VLOOKUP(D127,'[2]stock-take'!$A:$E,3,FALSE)), 0, VLOOKUP(D127,'[2]stock-take'!$A:$E,3,FALSE))</f>
        <v>0</v>
      </c>
      <c r="I127" s="48" t="str">
        <f>IF(F127="", " ",IF(ISNA(VLOOKUP(D127,'[2]stock-take'!$G:$K,4,FALSE)), "OUT OF STOCK", VLOOKUP(D127,'[2]stock-take'!$G:$K,4,FALSE)))</f>
        <v xml:space="preserve"> </v>
      </c>
      <c r="J127" s="39">
        <f>IF(ISNA(VLOOKUP(D127,'[2]stock-take'!$G:$K,3,FALSE)), 0, VLOOKUP(D127,'[2]stock-take'!$G:$K,3,FALSE))</f>
        <v>0</v>
      </c>
      <c r="K127" s="49" t="str">
        <f>IF(F127="", " ", IF(ISNA(VLOOKUP(D127,'[2]stock-take'!$M:$Q,4,FALSE)), "OUT OF STOCK", VLOOKUP(D127,'[2]stock-take'!$M:$Q,4,FALSE)))</f>
        <v xml:space="preserve"> </v>
      </c>
      <c r="L127" s="47">
        <f>IF(ISNA(VLOOKUP(D127,'[2]stock-take'!$M:$Q,3,FALSE)), 0, VLOOKUP(D127,'[2]stock-take'!$M:$Q,3,FALSE))</f>
        <v>0</v>
      </c>
      <c r="M127" s="48" t="str">
        <f t="shared" si="4"/>
        <v xml:space="preserve"> </v>
      </c>
      <c r="N127" s="39" t="str">
        <f t="shared" si="5"/>
        <v xml:space="preserve"> </v>
      </c>
    </row>
    <row r="128" spans="1:14">
      <c r="A128" s="37">
        <f t="shared" si="3"/>
        <v>117</v>
      </c>
      <c r="D128" s="24"/>
      <c r="G128" s="48" t="str">
        <f>IF(F128=""," ",IF(ISNA(VLOOKUP(D128,'[2]stock-take'!$A:$E,4,FALSE)), "OUT OF STOCK", VLOOKUP(D128,'[2]stock-take'!$A:$E,4,FALSE)))</f>
        <v xml:space="preserve"> </v>
      </c>
      <c r="H128" s="48">
        <f>IF(ISNA(VLOOKUP(D128,'[2]stock-take'!$A:$E,3,FALSE)), 0, VLOOKUP(D128,'[2]stock-take'!$A:$E,3,FALSE))</f>
        <v>0</v>
      </c>
      <c r="I128" s="48" t="str">
        <f>IF(F128="", " ",IF(ISNA(VLOOKUP(D128,'[2]stock-take'!$G:$K,4,FALSE)), "OUT OF STOCK", VLOOKUP(D128,'[2]stock-take'!$G:$K,4,FALSE)))</f>
        <v xml:space="preserve"> </v>
      </c>
      <c r="J128" s="39">
        <f>IF(ISNA(VLOOKUP(D128,'[2]stock-take'!$G:$K,3,FALSE)), 0, VLOOKUP(D128,'[2]stock-take'!$G:$K,3,FALSE))</f>
        <v>0</v>
      </c>
      <c r="K128" s="49" t="str">
        <f>IF(F128="", " ", IF(ISNA(VLOOKUP(D128,'[2]stock-take'!$M:$Q,4,FALSE)), "OUT OF STOCK", VLOOKUP(D128,'[2]stock-take'!$M:$Q,4,FALSE)))</f>
        <v xml:space="preserve"> </v>
      </c>
      <c r="L128" s="47">
        <f>IF(ISNA(VLOOKUP(D128,'[2]stock-take'!$M:$Q,3,FALSE)), 0, VLOOKUP(D128,'[2]stock-take'!$M:$Q,3,FALSE))</f>
        <v>0</v>
      </c>
      <c r="M128" s="48" t="str">
        <f t="shared" si="4"/>
        <v xml:space="preserve"> </v>
      </c>
      <c r="N128" s="39" t="str">
        <f t="shared" si="5"/>
        <v xml:space="preserve"> </v>
      </c>
    </row>
    <row r="129" spans="1:14">
      <c r="A129" s="37">
        <f t="shared" si="3"/>
        <v>118</v>
      </c>
      <c r="D129" s="24"/>
      <c r="G129" s="48" t="str">
        <f>IF(F129=""," ",IF(ISNA(VLOOKUP(D129,'[2]stock-take'!$A:$E,4,FALSE)), "OUT OF STOCK", VLOOKUP(D129,'[2]stock-take'!$A:$E,4,FALSE)))</f>
        <v xml:space="preserve"> </v>
      </c>
      <c r="H129" s="48">
        <f>IF(ISNA(VLOOKUP(D129,'[2]stock-take'!$A:$E,3,FALSE)), 0, VLOOKUP(D129,'[2]stock-take'!$A:$E,3,FALSE))</f>
        <v>0</v>
      </c>
      <c r="I129" s="48" t="str">
        <f>IF(F129="", " ",IF(ISNA(VLOOKUP(D129,'[2]stock-take'!$G:$K,4,FALSE)), "OUT OF STOCK", VLOOKUP(D129,'[2]stock-take'!$G:$K,4,FALSE)))</f>
        <v xml:space="preserve"> </v>
      </c>
      <c r="J129" s="39">
        <f>IF(ISNA(VLOOKUP(D129,'[2]stock-take'!$G:$K,3,FALSE)), 0, VLOOKUP(D129,'[2]stock-take'!$G:$K,3,FALSE))</f>
        <v>0</v>
      </c>
      <c r="K129" s="49" t="str">
        <f>IF(F129="", " ", IF(ISNA(VLOOKUP(D129,'[2]stock-take'!$M:$Q,4,FALSE)), "OUT OF STOCK", VLOOKUP(D129,'[2]stock-take'!$M:$Q,4,FALSE)))</f>
        <v xml:space="preserve"> </v>
      </c>
      <c r="L129" s="47">
        <f>IF(ISNA(VLOOKUP(D129,'[2]stock-take'!$M:$Q,3,FALSE)), 0, VLOOKUP(D129,'[2]stock-take'!$M:$Q,3,FALSE))</f>
        <v>0</v>
      </c>
      <c r="M129" s="48" t="str">
        <f t="shared" si="4"/>
        <v xml:space="preserve"> </v>
      </c>
      <c r="N129" s="39" t="str">
        <f t="shared" si="5"/>
        <v xml:space="preserve"> </v>
      </c>
    </row>
    <row r="130" spans="1:14">
      <c r="A130" s="37">
        <f t="shared" si="3"/>
        <v>119</v>
      </c>
      <c r="D130" s="24"/>
      <c r="G130" s="48" t="str">
        <f>IF(F130=""," ",IF(ISNA(VLOOKUP(D130,'[2]stock-take'!$A:$E,4,FALSE)), "OUT OF STOCK", VLOOKUP(D130,'[2]stock-take'!$A:$E,4,FALSE)))</f>
        <v xml:space="preserve"> </v>
      </c>
      <c r="H130" s="48">
        <f>IF(ISNA(VLOOKUP(D130,'[2]stock-take'!$A:$E,3,FALSE)), 0, VLOOKUP(D130,'[2]stock-take'!$A:$E,3,FALSE))</f>
        <v>0</v>
      </c>
      <c r="I130" s="48" t="str">
        <f>IF(F130="", " ",IF(ISNA(VLOOKUP(D130,'[2]stock-take'!$G:$K,4,FALSE)), "OUT OF STOCK", VLOOKUP(D130,'[2]stock-take'!$G:$K,4,FALSE)))</f>
        <v xml:space="preserve"> </v>
      </c>
      <c r="J130" s="39">
        <f>IF(ISNA(VLOOKUP(D130,'[2]stock-take'!$G:$K,3,FALSE)), 0, VLOOKUP(D130,'[2]stock-take'!$G:$K,3,FALSE))</f>
        <v>0</v>
      </c>
      <c r="K130" s="49" t="str">
        <f>IF(F130="", " ", IF(ISNA(VLOOKUP(D130,'[2]stock-take'!$M:$Q,4,FALSE)), "OUT OF STOCK", VLOOKUP(D130,'[2]stock-take'!$M:$Q,4,FALSE)))</f>
        <v xml:space="preserve"> </v>
      </c>
      <c r="L130" s="47">
        <f>IF(ISNA(VLOOKUP(D130,'[2]stock-take'!$M:$Q,3,FALSE)), 0, VLOOKUP(D130,'[2]stock-take'!$M:$Q,3,FALSE))</f>
        <v>0</v>
      </c>
      <c r="M130" s="48" t="str">
        <f t="shared" si="4"/>
        <v xml:space="preserve"> </v>
      </c>
      <c r="N130" s="39" t="str">
        <f t="shared" si="5"/>
        <v xml:space="preserve"> </v>
      </c>
    </row>
    <row r="131" spans="1:14">
      <c r="A131" s="37">
        <f t="shared" si="3"/>
        <v>120</v>
      </c>
      <c r="D131" s="24"/>
      <c r="G131" s="48" t="str">
        <f>IF(F131=""," ",IF(ISNA(VLOOKUP(D131,'[2]stock-take'!$A:$E,4,FALSE)), "OUT OF STOCK", VLOOKUP(D131,'[2]stock-take'!$A:$E,4,FALSE)))</f>
        <v xml:space="preserve"> </v>
      </c>
      <c r="H131" s="48">
        <f>IF(ISNA(VLOOKUP(D131,'[2]stock-take'!$A:$E,3,FALSE)), 0, VLOOKUP(D131,'[2]stock-take'!$A:$E,3,FALSE))</f>
        <v>0</v>
      </c>
      <c r="I131" s="48" t="str">
        <f>IF(F131="", " ",IF(ISNA(VLOOKUP(D131,'[2]stock-take'!$G:$K,4,FALSE)), "OUT OF STOCK", VLOOKUP(D131,'[2]stock-take'!$G:$K,4,FALSE)))</f>
        <v xml:space="preserve"> </v>
      </c>
      <c r="J131" s="39">
        <f>IF(ISNA(VLOOKUP(D131,'[2]stock-take'!$G:$K,3,FALSE)), 0, VLOOKUP(D131,'[2]stock-take'!$G:$K,3,FALSE))</f>
        <v>0</v>
      </c>
      <c r="K131" s="49" t="str">
        <f>IF(F131="", " ", IF(ISNA(VLOOKUP(D131,'[2]stock-take'!$M:$Q,4,FALSE)), "OUT OF STOCK", VLOOKUP(D131,'[2]stock-take'!$M:$Q,4,FALSE)))</f>
        <v xml:space="preserve"> </v>
      </c>
      <c r="L131" s="47">
        <f>IF(ISNA(VLOOKUP(D131,'[2]stock-take'!$M:$Q,3,FALSE)), 0, VLOOKUP(D131,'[2]stock-take'!$M:$Q,3,FALSE))</f>
        <v>0</v>
      </c>
      <c r="M131" s="48" t="str">
        <f t="shared" si="4"/>
        <v xml:space="preserve"> </v>
      </c>
      <c r="N131" s="39" t="str">
        <f t="shared" si="5"/>
        <v xml:space="preserve"> </v>
      </c>
    </row>
    <row r="132" spans="1:14">
      <c r="A132" s="37">
        <f t="shared" si="3"/>
        <v>121</v>
      </c>
      <c r="D132" s="24"/>
      <c r="G132" s="48" t="str">
        <f>IF(F132=""," ",IF(ISNA(VLOOKUP(D132,'[2]stock-take'!$A:$E,4,FALSE)), "OUT OF STOCK", VLOOKUP(D132,'[2]stock-take'!$A:$E,4,FALSE)))</f>
        <v xml:space="preserve"> </v>
      </c>
      <c r="H132" s="48">
        <f>IF(ISNA(VLOOKUP(D132,'[2]stock-take'!$A:$E,3,FALSE)), 0, VLOOKUP(D132,'[2]stock-take'!$A:$E,3,FALSE))</f>
        <v>0</v>
      </c>
      <c r="I132" s="48" t="str">
        <f>IF(F132="", " ",IF(ISNA(VLOOKUP(D132,'[2]stock-take'!$G:$K,4,FALSE)), "OUT OF STOCK", VLOOKUP(D132,'[2]stock-take'!$G:$K,4,FALSE)))</f>
        <v xml:space="preserve"> </v>
      </c>
      <c r="J132" s="39">
        <f>IF(ISNA(VLOOKUP(D132,'[2]stock-take'!$G:$K,3,FALSE)), 0, VLOOKUP(D132,'[2]stock-take'!$G:$K,3,FALSE))</f>
        <v>0</v>
      </c>
      <c r="K132" s="49" t="str">
        <f>IF(F132="", " ", IF(ISNA(VLOOKUP(D132,'[2]stock-take'!$M:$Q,4,FALSE)), "OUT OF STOCK", VLOOKUP(D132,'[2]stock-take'!$M:$Q,4,FALSE)))</f>
        <v xml:space="preserve"> </v>
      </c>
      <c r="L132" s="47">
        <f>IF(ISNA(VLOOKUP(D132,'[2]stock-take'!$M:$Q,3,FALSE)), 0, VLOOKUP(D132,'[2]stock-take'!$M:$Q,3,FALSE))</f>
        <v>0</v>
      </c>
      <c r="M132" s="48" t="str">
        <f t="shared" si="4"/>
        <v xml:space="preserve"> </v>
      </c>
      <c r="N132" s="39" t="str">
        <f t="shared" si="5"/>
        <v xml:space="preserve"> </v>
      </c>
    </row>
    <row r="133" spans="1:14">
      <c r="A133" s="37">
        <f t="shared" si="3"/>
        <v>122</v>
      </c>
      <c r="D133" s="24"/>
      <c r="G133" s="48" t="str">
        <f>IF(F133=""," ",IF(ISNA(VLOOKUP(D133,'[2]stock-take'!$A:$E,4,FALSE)), "OUT OF STOCK", VLOOKUP(D133,'[2]stock-take'!$A:$E,4,FALSE)))</f>
        <v xml:space="preserve"> </v>
      </c>
      <c r="H133" s="48">
        <f>IF(ISNA(VLOOKUP(D133,'[2]stock-take'!$A:$E,3,FALSE)), 0, VLOOKUP(D133,'[2]stock-take'!$A:$E,3,FALSE))</f>
        <v>0</v>
      </c>
      <c r="I133" s="48" t="str">
        <f>IF(F133="", " ",IF(ISNA(VLOOKUP(D133,'[2]stock-take'!$G:$K,4,FALSE)), "OUT OF STOCK", VLOOKUP(D133,'[2]stock-take'!$G:$K,4,FALSE)))</f>
        <v xml:space="preserve"> </v>
      </c>
      <c r="J133" s="39">
        <f>IF(ISNA(VLOOKUP(D133,'[2]stock-take'!$G:$K,3,FALSE)), 0, VLOOKUP(D133,'[2]stock-take'!$G:$K,3,FALSE))</f>
        <v>0</v>
      </c>
      <c r="K133" s="49" t="str">
        <f>IF(F133="", " ", IF(ISNA(VLOOKUP(D133,'[2]stock-take'!$M:$Q,4,FALSE)), "OUT OF STOCK", VLOOKUP(D133,'[2]stock-take'!$M:$Q,4,FALSE)))</f>
        <v xml:space="preserve"> </v>
      </c>
      <c r="L133" s="47">
        <f>IF(ISNA(VLOOKUP(D133,'[2]stock-take'!$M:$Q,3,FALSE)), 0, VLOOKUP(D133,'[2]stock-take'!$M:$Q,3,FALSE))</f>
        <v>0</v>
      </c>
      <c r="M133" s="48" t="str">
        <f t="shared" si="4"/>
        <v xml:space="preserve"> </v>
      </c>
      <c r="N133" s="39" t="str">
        <f t="shared" si="5"/>
        <v xml:space="preserve"> </v>
      </c>
    </row>
    <row r="134" spans="1:14">
      <c r="A134" s="37">
        <f t="shared" si="3"/>
        <v>123</v>
      </c>
      <c r="D134" s="24"/>
      <c r="G134" s="48" t="str">
        <f>IF(F134=""," ",IF(ISNA(VLOOKUP(D134,'[2]stock-take'!$A:$E,4,FALSE)), "OUT OF STOCK", VLOOKUP(D134,'[2]stock-take'!$A:$E,4,FALSE)))</f>
        <v xml:space="preserve"> </v>
      </c>
      <c r="H134" s="48">
        <f>IF(ISNA(VLOOKUP(D134,'[2]stock-take'!$A:$E,3,FALSE)), 0, VLOOKUP(D134,'[2]stock-take'!$A:$E,3,FALSE))</f>
        <v>0</v>
      </c>
      <c r="I134" s="48" t="str">
        <f>IF(F134="", " ",IF(ISNA(VLOOKUP(D134,'[2]stock-take'!$G:$K,4,FALSE)), "OUT OF STOCK", VLOOKUP(D134,'[2]stock-take'!$G:$K,4,FALSE)))</f>
        <v xml:space="preserve"> </v>
      </c>
      <c r="J134" s="39">
        <f>IF(ISNA(VLOOKUP(D134,'[2]stock-take'!$G:$K,3,FALSE)), 0, VLOOKUP(D134,'[2]stock-take'!$G:$K,3,FALSE))</f>
        <v>0</v>
      </c>
      <c r="K134" s="49" t="str">
        <f>IF(F134="", " ", IF(ISNA(VLOOKUP(D134,'[2]stock-take'!$M:$Q,4,FALSE)), "OUT OF STOCK", VLOOKUP(D134,'[2]stock-take'!$M:$Q,4,FALSE)))</f>
        <v xml:space="preserve"> </v>
      </c>
      <c r="L134" s="47">
        <f>IF(ISNA(VLOOKUP(D134,'[2]stock-take'!$M:$Q,3,FALSE)), 0, VLOOKUP(D134,'[2]stock-take'!$M:$Q,3,FALSE))</f>
        <v>0</v>
      </c>
      <c r="M134" s="48" t="str">
        <f t="shared" si="4"/>
        <v xml:space="preserve"> </v>
      </c>
      <c r="N134" s="39" t="str">
        <f t="shared" si="5"/>
        <v xml:space="preserve"> </v>
      </c>
    </row>
    <row r="135" spans="1:14">
      <c r="A135" s="37">
        <f t="shared" si="3"/>
        <v>124</v>
      </c>
      <c r="D135" s="24"/>
      <c r="G135" s="48" t="str">
        <f>IF(F135=""," ",IF(ISNA(VLOOKUP(D135,'[2]stock-take'!$A:$E,4,FALSE)), "OUT OF STOCK", VLOOKUP(D135,'[2]stock-take'!$A:$E,4,FALSE)))</f>
        <v xml:space="preserve"> </v>
      </c>
      <c r="H135" s="48">
        <f>IF(ISNA(VLOOKUP(D135,'[2]stock-take'!$A:$E,3,FALSE)), 0, VLOOKUP(D135,'[2]stock-take'!$A:$E,3,FALSE))</f>
        <v>0</v>
      </c>
      <c r="I135" s="48" t="str">
        <f>IF(F135="", " ",IF(ISNA(VLOOKUP(D135,'[2]stock-take'!$G:$K,4,FALSE)), "OUT OF STOCK", VLOOKUP(D135,'[2]stock-take'!$G:$K,4,FALSE)))</f>
        <v xml:space="preserve"> </v>
      </c>
      <c r="J135" s="39">
        <f>IF(ISNA(VLOOKUP(D135,'[2]stock-take'!$G:$K,3,FALSE)), 0, VLOOKUP(D135,'[2]stock-take'!$G:$K,3,FALSE))</f>
        <v>0</v>
      </c>
      <c r="K135" s="49" t="str">
        <f>IF(F135="", " ", IF(ISNA(VLOOKUP(D135,'[2]stock-take'!$M:$Q,4,FALSE)), "OUT OF STOCK", VLOOKUP(D135,'[2]stock-take'!$M:$Q,4,FALSE)))</f>
        <v xml:space="preserve"> </v>
      </c>
      <c r="L135" s="47">
        <f>IF(ISNA(VLOOKUP(D135,'[2]stock-take'!$M:$Q,3,FALSE)), 0, VLOOKUP(D135,'[2]stock-take'!$M:$Q,3,FALSE))</f>
        <v>0</v>
      </c>
      <c r="M135" s="48" t="str">
        <f t="shared" si="4"/>
        <v xml:space="preserve"> </v>
      </c>
      <c r="N135" s="39" t="str">
        <f t="shared" si="5"/>
        <v xml:space="preserve"> </v>
      </c>
    </row>
    <row r="136" spans="1:14">
      <c r="A136" s="37">
        <f t="shared" si="3"/>
        <v>125</v>
      </c>
      <c r="D136" s="24"/>
      <c r="G136" s="48" t="str">
        <f>IF(F136=""," ",IF(ISNA(VLOOKUP(D136,'[2]stock-take'!$A:$E,4,FALSE)), "OUT OF STOCK", VLOOKUP(D136,'[2]stock-take'!$A:$E,4,FALSE)))</f>
        <v xml:space="preserve"> </v>
      </c>
      <c r="H136" s="48">
        <f>IF(ISNA(VLOOKUP(D136,'[2]stock-take'!$A:$E,3,FALSE)), 0, VLOOKUP(D136,'[2]stock-take'!$A:$E,3,FALSE))</f>
        <v>0</v>
      </c>
      <c r="I136" s="48" t="str">
        <f>IF(F136="", " ",IF(ISNA(VLOOKUP(D136,'[2]stock-take'!$G:$K,4,FALSE)), "OUT OF STOCK", VLOOKUP(D136,'[2]stock-take'!$G:$K,4,FALSE)))</f>
        <v xml:space="preserve"> </v>
      </c>
      <c r="J136" s="39">
        <f>IF(ISNA(VLOOKUP(D136,'[2]stock-take'!$G:$K,3,FALSE)), 0, VLOOKUP(D136,'[2]stock-take'!$G:$K,3,FALSE))</f>
        <v>0</v>
      </c>
      <c r="K136" s="49" t="str">
        <f>IF(F136="", " ", IF(ISNA(VLOOKUP(D136,'[2]stock-take'!$M:$Q,4,FALSE)), "OUT OF STOCK", VLOOKUP(D136,'[2]stock-take'!$M:$Q,4,FALSE)))</f>
        <v xml:space="preserve"> </v>
      </c>
      <c r="L136" s="47">
        <f>IF(ISNA(VLOOKUP(D136,'[2]stock-take'!$M:$Q,3,FALSE)), 0, VLOOKUP(D136,'[2]stock-take'!$M:$Q,3,FALSE))</f>
        <v>0</v>
      </c>
      <c r="M136" s="48" t="str">
        <f t="shared" si="4"/>
        <v xml:space="preserve"> </v>
      </c>
      <c r="N136" s="39" t="str">
        <f t="shared" si="5"/>
        <v xml:space="preserve"> </v>
      </c>
    </row>
    <row r="137" spans="1:14">
      <c r="A137" s="37">
        <f t="shared" si="3"/>
        <v>126</v>
      </c>
      <c r="D137" s="24"/>
      <c r="G137" s="48" t="str">
        <f>IF(F137=""," ",IF(ISNA(VLOOKUP(D137,'[2]stock-take'!$A:$E,4,FALSE)), "OUT OF STOCK", VLOOKUP(D137,'[2]stock-take'!$A:$E,4,FALSE)))</f>
        <v xml:space="preserve"> </v>
      </c>
      <c r="H137" s="48">
        <f>IF(ISNA(VLOOKUP(D137,'[2]stock-take'!$A:$E,3,FALSE)), 0, VLOOKUP(D137,'[2]stock-take'!$A:$E,3,FALSE))</f>
        <v>0</v>
      </c>
      <c r="I137" s="48" t="str">
        <f>IF(F137="", " ",IF(ISNA(VLOOKUP(D137,'[2]stock-take'!$G:$K,4,FALSE)), "OUT OF STOCK", VLOOKUP(D137,'[2]stock-take'!$G:$K,4,FALSE)))</f>
        <v xml:space="preserve"> </v>
      </c>
      <c r="J137" s="39">
        <f>IF(ISNA(VLOOKUP(D137,'[2]stock-take'!$G:$K,3,FALSE)), 0, VLOOKUP(D137,'[2]stock-take'!$G:$K,3,FALSE))</f>
        <v>0</v>
      </c>
      <c r="K137" s="49" t="str">
        <f>IF(F137="", " ", IF(ISNA(VLOOKUP(D137,'[2]stock-take'!$M:$Q,4,FALSE)), "OUT OF STOCK", VLOOKUP(D137,'[2]stock-take'!$M:$Q,4,FALSE)))</f>
        <v xml:space="preserve"> </v>
      </c>
      <c r="L137" s="47">
        <f>IF(ISNA(VLOOKUP(D137,'[2]stock-take'!$M:$Q,3,FALSE)), 0, VLOOKUP(D137,'[2]stock-take'!$M:$Q,3,FALSE))</f>
        <v>0</v>
      </c>
      <c r="M137" s="48" t="str">
        <f t="shared" si="4"/>
        <v xml:space="preserve"> </v>
      </c>
      <c r="N137" s="39" t="str">
        <f t="shared" si="5"/>
        <v xml:space="preserve"> </v>
      </c>
    </row>
    <row r="138" spans="1:14">
      <c r="A138" s="37">
        <f t="shared" si="3"/>
        <v>127</v>
      </c>
      <c r="D138" s="24"/>
      <c r="G138" s="48" t="str">
        <f>IF(F138=""," ",IF(ISNA(VLOOKUP(D138,'[2]stock-take'!$A:$E,4,FALSE)), "OUT OF STOCK", VLOOKUP(D138,'[2]stock-take'!$A:$E,4,FALSE)))</f>
        <v xml:space="preserve"> </v>
      </c>
      <c r="H138" s="48">
        <f>IF(ISNA(VLOOKUP(D138,'[2]stock-take'!$A:$E,3,FALSE)), 0, VLOOKUP(D138,'[2]stock-take'!$A:$E,3,FALSE))</f>
        <v>0</v>
      </c>
      <c r="I138" s="48" t="str">
        <f>IF(F138="", " ",IF(ISNA(VLOOKUP(D138,'[2]stock-take'!$G:$K,4,FALSE)), "OUT OF STOCK", VLOOKUP(D138,'[2]stock-take'!$G:$K,4,FALSE)))</f>
        <v xml:space="preserve"> </v>
      </c>
      <c r="J138" s="39">
        <f>IF(ISNA(VLOOKUP(D138,'[2]stock-take'!$G:$K,3,FALSE)), 0, VLOOKUP(D138,'[2]stock-take'!$G:$K,3,FALSE))</f>
        <v>0</v>
      </c>
      <c r="K138" s="49" t="str">
        <f>IF(F138="", " ", IF(ISNA(VLOOKUP(D138,'[2]stock-take'!$M:$Q,4,FALSE)), "OUT OF STOCK", VLOOKUP(D138,'[2]stock-take'!$M:$Q,4,FALSE)))</f>
        <v xml:space="preserve"> </v>
      </c>
      <c r="L138" s="47">
        <f>IF(ISNA(VLOOKUP(D138,'[2]stock-take'!$M:$Q,3,FALSE)), 0, VLOOKUP(D138,'[2]stock-take'!$M:$Q,3,FALSE))</f>
        <v>0</v>
      </c>
      <c r="M138" s="48" t="str">
        <f t="shared" si="4"/>
        <v xml:space="preserve"> </v>
      </c>
      <c r="N138" s="39" t="str">
        <f t="shared" si="5"/>
        <v xml:space="preserve"> </v>
      </c>
    </row>
    <row r="139" spans="1:14">
      <c r="A139" s="37">
        <f t="shared" si="3"/>
        <v>128</v>
      </c>
      <c r="D139" s="24"/>
      <c r="G139" s="48" t="str">
        <f>IF(F139=""," ",IF(ISNA(VLOOKUP(D139,'[2]stock-take'!$A:$E,4,FALSE)), "OUT OF STOCK", VLOOKUP(D139,'[2]stock-take'!$A:$E,4,FALSE)))</f>
        <v xml:space="preserve"> </v>
      </c>
      <c r="H139" s="48">
        <f>IF(ISNA(VLOOKUP(D139,'[2]stock-take'!$A:$E,3,FALSE)), 0, VLOOKUP(D139,'[2]stock-take'!$A:$E,3,FALSE))</f>
        <v>0</v>
      </c>
      <c r="I139" s="48" t="str">
        <f>IF(F139="", " ",IF(ISNA(VLOOKUP(D139,'[2]stock-take'!$G:$K,4,FALSE)), "OUT OF STOCK", VLOOKUP(D139,'[2]stock-take'!$G:$K,4,FALSE)))</f>
        <v xml:space="preserve"> </v>
      </c>
      <c r="J139" s="39">
        <f>IF(ISNA(VLOOKUP(D139,'[2]stock-take'!$G:$K,3,FALSE)), 0, VLOOKUP(D139,'[2]stock-take'!$G:$K,3,FALSE))</f>
        <v>0</v>
      </c>
      <c r="K139" s="49" t="str">
        <f>IF(F139="", " ", IF(ISNA(VLOOKUP(D139,'[2]stock-take'!$M:$Q,4,FALSE)), "OUT OF STOCK", VLOOKUP(D139,'[2]stock-take'!$M:$Q,4,FALSE)))</f>
        <v xml:space="preserve"> </v>
      </c>
      <c r="L139" s="47">
        <f>IF(ISNA(VLOOKUP(D139,'[2]stock-take'!$M:$Q,3,FALSE)), 0, VLOOKUP(D139,'[2]stock-take'!$M:$Q,3,FALSE))</f>
        <v>0</v>
      </c>
      <c r="M139" s="48" t="str">
        <f t="shared" si="4"/>
        <v xml:space="preserve"> </v>
      </c>
      <c r="N139" s="39" t="str">
        <f t="shared" si="5"/>
        <v xml:space="preserve"> </v>
      </c>
    </row>
    <row r="140" spans="1:14">
      <c r="A140" s="37">
        <f t="shared" ref="A140:A203" si="6">ROW(A140)-11</f>
        <v>129</v>
      </c>
      <c r="D140" s="24"/>
      <c r="G140" s="48" t="str">
        <f>IF(F140=""," ",IF(ISNA(VLOOKUP(D140,'[2]stock-take'!$A:$E,4,FALSE)), "OUT OF STOCK", VLOOKUP(D140,'[2]stock-take'!$A:$E,4,FALSE)))</f>
        <v xml:space="preserve"> </v>
      </c>
      <c r="H140" s="48">
        <f>IF(ISNA(VLOOKUP(D140,'[2]stock-take'!$A:$E,3,FALSE)), 0, VLOOKUP(D140,'[2]stock-take'!$A:$E,3,FALSE))</f>
        <v>0</v>
      </c>
      <c r="I140" s="48" t="str">
        <f>IF(F140="", " ",IF(ISNA(VLOOKUP(D140,'[2]stock-take'!$G:$K,4,FALSE)), "OUT OF STOCK", VLOOKUP(D140,'[2]stock-take'!$G:$K,4,FALSE)))</f>
        <v xml:space="preserve"> </v>
      </c>
      <c r="J140" s="39">
        <f>IF(ISNA(VLOOKUP(D140,'[2]stock-take'!$G:$K,3,FALSE)), 0, VLOOKUP(D140,'[2]stock-take'!$G:$K,3,FALSE))</f>
        <v>0</v>
      </c>
      <c r="K140" s="49" t="str">
        <f>IF(F140="", " ", IF(ISNA(VLOOKUP(D140,'[2]stock-take'!$M:$Q,4,FALSE)), "OUT OF STOCK", VLOOKUP(D140,'[2]stock-take'!$M:$Q,4,FALSE)))</f>
        <v xml:space="preserve"> </v>
      </c>
      <c r="L140" s="47">
        <f>IF(ISNA(VLOOKUP(D140,'[2]stock-take'!$M:$Q,3,FALSE)), 0, VLOOKUP(D140,'[2]stock-take'!$M:$Q,3,FALSE))</f>
        <v>0</v>
      </c>
      <c r="M140" s="48" t="str">
        <f t="shared" si="4"/>
        <v xml:space="preserve"> </v>
      </c>
      <c r="N140" s="39" t="str">
        <f t="shared" si="5"/>
        <v xml:space="preserve"> </v>
      </c>
    </row>
    <row r="141" spans="1:14">
      <c r="A141" s="37">
        <f t="shared" si="6"/>
        <v>130</v>
      </c>
      <c r="D141" s="24"/>
      <c r="G141" s="48" t="str">
        <f>IF(F141=""," ",IF(ISNA(VLOOKUP(D141,'[2]stock-take'!$A:$E,4,FALSE)), "OUT OF STOCK", VLOOKUP(D141,'[2]stock-take'!$A:$E,4,FALSE)))</f>
        <v xml:space="preserve"> </v>
      </c>
      <c r="H141" s="48">
        <f>IF(ISNA(VLOOKUP(D141,'[2]stock-take'!$A:$E,3,FALSE)), 0, VLOOKUP(D141,'[2]stock-take'!$A:$E,3,FALSE))</f>
        <v>0</v>
      </c>
      <c r="I141" s="48" t="str">
        <f>IF(F141="", " ",IF(ISNA(VLOOKUP(D141,'[2]stock-take'!$G:$K,4,FALSE)), "OUT OF STOCK", VLOOKUP(D141,'[2]stock-take'!$G:$K,4,FALSE)))</f>
        <v xml:space="preserve"> </v>
      </c>
      <c r="J141" s="39">
        <f>IF(ISNA(VLOOKUP(D141,'[2]stock-take'!$G:$K,3,FALSE)), 0, VLOOKUP(D141,'[2]stock-take'!$G:$K,3,FALSE))</f>
        <v>0</v>
      </c>
      <c r="K141" s="49" t="str">
        <f>IF(F141="", " ", IF(ISNA(VLOOKUP(D141,'[2]stock-take'!$M:$Q,4,FALSE)), "OUT OF STOCK", VLOOKUP(D141,'[2]stock-take'!$M:$Q,4,FALSE)))</f>
        <v xml:space="preserve"> </v>
      </c>
      <c r="L141" s="47">
        <f>IF(ISNA(VLOOKUP(D141,'[2]stock-take'!$M:$Q,3,FALSE)), 0, VLOOKUP(D141,'[2]stock-take'!$M:$Q,3,FALSE))</f>
        <v>0</v>
      </c>
      <c r="M141" s="48" t="str">
        <f t="shared" ref="M141:M204" si="7">IF(F141=""," ",IF(H141&gt;=F141,"Y",IF(J141&gt;=F141,"Y",IF(L141&gt;=F141,"Y",IF(SUM(H141,J141,L141)&gt;=F141,"Y","N")))))</f>
        <v xml:space="preserve"> </v>
      </c>
      <c r="N141" s="39" t="str">
        <f t="shared" ref="N141:N204" si="8">IF(F141=""," ",IF(H141&gt;=F141,"ILOOM",IF(J141&gt;=F141,"NO.6",IF(L141&gt;=F141,"RMD",IF(SUM(H141,J141,L141)&gt;=F141,"MULTI","LACK")))))</f>
        <v xml:space="preserve"> </v>
      </c>
    </row>
    <row r="142" spans="1:14">
      <c r="A142" s="37">
        <f t="shared" si="6"/>
        <v>131</v>
      </c>
      <c r="D142" s="24"/>
      <c r="G142" s="48" t="str">
        <f>IF(F142=""," ",IF(ISNA(VLOOKUP(D142,'[2]stock-take'!$A:$E,4,FALSE)), "OUT OF STOCK", VLOOKUP(D142,'[2]stock-take'!$A:$E,4,FALSE)))</f>
        <v xml:space="preserve"> </v>
      </c>
      <c r="H142" s="48">
        <f>IF(ISNA(VLOOKUP(D142,'[2]stock-take'!$A:$E,3,FALSE)), 0, VLOOKUP(D142,'[2]stock-take'!$A:$E,3,FALSE))</f>
        <v>0</v>
      </c>
      <c r="I142" s="48" t="str">
        <f>IF(F142="", " ",IF(ISNA(VLOOKUP(D142,'[2]stock-take'!$G:$K,4,FALSE)), "OUT OF STOCK", VLOOKUP(D142,'[2]stock-take'!$G:$K,4,FALSE)))</f>
        <v xml:space="preserve"> </v>
      </c>
      <c r="J142" s="39">
        <f>IF(ISNA(VLOOKUP(D142,'[2]stock-take'!$G:$K,3,FALSE)), 0, VLOOKUP(D142,'[2]stock-take'!$G:$K,3,FALSE))</f>
        <v>0</v>
      </c>
      <c r="K142" s="49" t="str">
        <f>IF(F142="", " ", IF(ISNA(VLOOKUP(D142,'[2]stock-take'!$M:$Q,4,FALSE)), "OUT OF STOCK", VLOOKUP(D142,'[2]stock-take'!$M:$Q,4,FALSE)))</f>
        <v xml:space="preserve"> </v>
      </c>
      <c r="L142" s="47">
        <f>IF(ISNA(VLOOKUP(D142,'[2]stock-take'!$M:$Q,3,FALSE)), 0, VLOOKUP(D142,'[2]stock-take'!$M:$Q,3,FALSE))</f>
        <v>0</v>
      </c>
      <c r="M142" s="48" t="str">
        <f t="shared" si="7"/>
        <v xml:space="preserve"> </v>
      </c>
      <c r="N142" s="39" t="str">
        <f t="shared" si="8"/>
        <v xml:space="preserve"> </v>
      </c>
    </row>
    <row r="143" spans="1:14">
      <c r="A143" s="37">
        <f t="shared" si="6"/>
        <v>132</v>
      </c>
      <c r="D143" s="24"/>
      <c r="G143" s="48" t="str">
        <f>IF(F143=""," ",IF(ISNA(VLOOKUP(D143,'[2]stock-take'!$A:$E,4,FALSE)), "OUT OF STOCK", VLOOKUP(D143,'[2]stock-take'!$A:$E,4,FALSE)))</f>
        <v xml:space="preserve"> </v>
      </c>
      <c r="H143" s="48">
        <f>IF(ISNA(VLOOKUP(D143,'[2]stock-take'!$A:$E,3,FALSE)), 0, VLOOKUP(D143,'[2]stock-take'!$A:$E,3,FALSE))</f>
        <v>0</v>
      </c>
      <c r="I143" s="48" t="str">
        <f>IF(F143="", " ",IF(ISNA(VLOOKUP(D143,'[2]stock-take'!$G:$K,4,FALSE)), "OUT OF STOCK", VLOOKUP(D143,'[2]stock-take'!$G:$K,4,FALSE)))</f>
        <v xml:space="preserve"> </v>
      </c>
      <c r="J143" s="39">
        <f>IF(ISNA(VLOOKUP(D143,'[2]stock-take'!$G:$K,3,FALSE)), 0, VLOOKUP(D143,'[2]stock-take'!$G:$K,3,FALSE))</f>
        <v>0</v>
      </c>
      <c r="K143" s="49" t="str">
        <f>IF(F143="", " ", IF(ISNA(VLOOKUP(D143,'[2]stock-take'!$M:$Q,4,FALSE)), "OUT OF STOCK", VLOOKUP(D143,'[2]stock-take'!$M:$Q,4,FALSE)))</f>
        <v xml:space="preserve"> </v>
      </c>
      <c r="L143" s="47">
        <f>IF(ISNA(VLOOKUP(D143,'[2]stock-take'!$M:$Q,3,FALSE)), 0, VLOOKUP(D143,'[2]stock-take'!$M:$Q,3,FALSE))</f>
        <v>0</v>
      </c>
      <c r="M143" s="48" t="str">
        <f t="shared" si="7"/>
        <v xml:space="preserve"> </v>
      </c>
      <c r="N143" s="39" t="str">
        <f t="shared" si="8"/>
        <v xml:space="preserve"> </v>
      </c>
    </row>
    <row r="144" spans="1:14">
      <c r="A144" s="37">
        <f t="shared" si="6"/>
        <v>133</v>
      </c>
      <c r="D144" s="24"/>
      <c r="G144" s="48" t="str">
        <f>IF(F144=""," ",IF(ISNA(VLOOKUP(D144,'[2]stock-take'!$A:$E,4,FALSE)), "OUT OF STOCK", VLOOKUP(D144,'[2]stock-take'!$A:$E,4,FALSE)))</f>
        <v xml:space="preserve"> </v>
      </c>
      <c r="H144" s="48">
        <f>IF(ISNA(VLOOKUP(D144,'[2]stock-take'!$A:$E,3,FALSE)), 0, VLOOKUP(D144,'[2]stock-take'!$A:$E,3,FALSE))</f>
        <v>0</v>
      </c>
      <c r="I144" s="48" t="str">
        <f>IF(F144="", " ",IF(ISNA(VLOOKUP(D144,'[2]stock-take'!$G:$K,4,FALSE)), "OUT OF STOCK", VLOOKUP(D144,'[2]stock-take'!$G:$K,4,FALSE)))</f>
        <v xml:space="preserve"> </v>
      </c>
      <c r="J144" s="39">
        <f>IF(ISNA(VLOOKUP(D144,'[2]stock-take'!$G:$K,3,FALSE)), 0, VLOOKUP(D144,'[2]stock-take'!$G:$K,3,FALSE))</f>
        <v>0</v>
      </c>
      <c r="K144" s="49" t="str">
        <f>IF(F144="", " ", IF(ISNA(VLOOKUP(D144,'[2]stock-take'!$M:$Q,4,FALSE)), "OUT OF STOCK", VLOOKUP(D144,'[2]stock-take'!$M:$Q,4,FALSE)))</f>
        <v xml:space="preserve"> </v>
      </c>
      <c r="L144" s="47">
        <f>IF(ISNA(VLOOKUP(D144,'[2]stock-take'!$M:$Q,3,FALSE)), 0, VLOOKUP(D144,'[2]stock-take'!$M:$Q,3,FALSE))</f>
        <v>0</v>
      </c>
      <c r="M144" s="48" t="str">
        <f t="shared" si="7"/>
        <v xml:space="preserve"> </v>
      </c>
      <c r="N144" s="39" t="str">
        <f t="shared" si="8"/>
        <v xml:space="preserve"> </v>
      </c>
    </row>
    <row r="145" spans="1:14">
      <c r="A145" s="37">
        <f t="shared" si="6"/>
        <v>134</v>
      </c>
      <c r="D145" s="24"/>
      <c r="G145" s="48" t="str">
        <f>IF(F145=""," ",IF(ISNA(VLOOKUP(D145,'[2]stock-take'!$A:$E,4,FALSE)), "OUT OF STOCK", VLOOKUP(D145,'[2]stock-take'!$A:$E,4,FALSE)))</f>
        <v xml:space="preserve"> </v>
      </c>
      <c r="H145" s="48">
        <f>IF(ISNA(VLOOKUP(D145,'[2]stock-take'!$A:$E,3,FALSE)), 0, VLOOKUP(D145,'[2]stock-take'!$A:$E,3,FALSE))</f>
        <v>0</v>
      </c>
      <c r="I145" s="48" t="str">
        <f>IF(F145="", " ",IF(ISNA(VLOOKUP(D145,'[2]stock-take'!$G:$K,4,FALSE)), "OUT OF STOCK", VLOOKUP(D145,'[2]stock-take'!$G:$K,4,FALSE)))</f>
        <v xml:space="preserve"> </v>
      </c>
      <c r="J145" s="39">
        <f>IF(ISNA(VLOOKUP(D145,'[2]stock-take'!$G:$K,3,FALSE)), 0, VLOOKUP(D145,'[2]stock-take'!$G:$K,3,FALSE))</f>
        <v>0</v>
      </c>
      <c r="K145" s="49" t="str">
        <f>IF(F145="", " ", IF(ISNA(VLOOKUP(D145,'[2]stock-take'!$M:$Q,4,FALSE)), "OUT OF STOCK", VLOOKUP(D145,'[2]stock-take'!$M:$Q,4,FALSE)))</f>
        <v xml:space="preserve"> </v>
      </c>
      <c r="L145" s="47">
        <f>IF(ISNA(VLOOKUP(D145,'[2]stock-take'!$M:$Q,3,FALSE)), 0, VLOOKUP(D145,'[2]stock-take'!$M:$Q,3,FALSE))</f>
        <v>0</v>
      </c>
      <c r="M145" s="48" t="str">
        <f t="shared" si="7"/>
        <v xml:space="preserve"> </v>
      </c>
      <c r="N145" s="39" t="str">
        <f t="shared" si="8"/>
        <v xml:space="preserve"> </v>
      </c>
    </row>
    <row r="146" spans="1:14">
      <c r="A146" s="37">
        <f t="shared" si="6"/>
        <v>135</v>
      </c>
      <c r="D146" s="24"/>
      <c r="G146" s="48" t="str">
        <f>IF(F146=""," ",IF(ISNA(VLOOKUP(D146,'[2]stock-take'!$A:$E,4,FALSE)), "OUT OF STOCK", VLOOKUP(D146,'[2]stock-take'!$A:$E,4,FALSE)))</f>
        <v xml:space="preserve"> </v>
      </c>
      <c r="H146" s="48">
        <f>IF(ISNA(VLOOKUP(D146,'[2]stock-take'!$A:$E,3,FALSE)), 0, VLOOKUP(D146,'[2]stock-take'!$A:$E,3,FALSE))</f>
        <v>0</v>
      </c>
      <c r="I146" s="48" t="str">
        <f>IF(F146="", " ",IF(ISNA(VLOOKUP(D146,'[2]stock-take'!$G:$K,4,FALSE)), "OUT OF STOCK", VLOOKUP(D146,'[2]stock-take'!$G:$K,4,FALSE)))</f>
        <v xml:space="preserve"> </v>
      </c>
      <c r="J146" s="39">
        <f>IF(ISNA(VLOOKUP(D146,'[2]stock-take'!$G:$K,3,FALSE)), 0, VLOOKUP(D146,'[2]stock-take'!$G:$K,3,FALSE))</f>
        <v>0</v>
      </c>
      <c r="K146" s="49" t="str">
        <f>IF(F146="", " ", IF(ISNA(VLOOKUP(D146,'[2]stock-take'!$M:$Q,4,FALSE)), "OUT OF STOCK", VLOOKUP(D146,'[2]stock-take'!$M:$Q,4,FALSE)))</f>
        <v xml:space="preserve"> </v>
      </c>
      <c r="L146" s="47">
        <f>IF(ISNA(VLOOKUP(D146,'[2]stock-take'!$M:$Q,3,FALSE)), 0, VLOOKUP(D146,'[2]stock-take'!$M:$Q,3,FALSE))</f>
        <v>0</v>
      </c>
      <c r="M146" s="48" t="str">
        <f t="shared" si="7"/>
        <v xml:space="preserve"> </v>
      </c>
      <c r="N146" s="39" t="str">
        <f t="shared" si="8"/>
        <v xml:space="preserve"> </v>
      </c>
    </row>
    <row r="147" spans="1:14">
      <c r="A147" s="37">
        <f t="shared" si="6"/>
        <v>136</v>
      </c>
      <c r="D147" s="24"/>
      <c r="G147" s="48" t="str">
        <f>IF(F147=""," ",IF(ISNA(VLOOKUP(D147,'[2]stock-take'!$A:$E,4,FALSE)), "OUT OF STOCK", VLOOKUP(D147,'[2]stock-take'!$A:$E,4,FALSE)))</f>
        <v xml:space="preserve"> </v>
      </c>
      <c r="H147" s="48">
        <f>IF(ISNA(VLOOKUP(D147,'[2]stock-take'!$A:$E,3,FALSE)), 0, VLOOKUP(D147,'[2]stock-take'!$A:$E,3,FALSE))</f>
        <v>0</v>
      </c>
      <c r="I147" s="48" t="str">
        <f>IF(F147="", " ",IF(ISNA(VLOOKUP(D147,'[2]stock-take'!$G:$K,4,FALSE)), "OUT OF STOCK", VLOOKUP(D147,'[2]stock-take'!$G:$K,4,FALSE)))</f>
        <v xml:space="preserve"> </v>
      </c>
      <c r="J147" s="39">
        <f>IF(ISNA(VLOOKUP(D147,'[2]stock-take'!$G:$K,3,FALSE)), 0, VLOOKUP(D147,'[2]stock-take'!$G:$K,3,FALSE))</f>
        <v>0</v>
      </c>
      <c r="K147" s="49" t="str">
        <f>IF(F147="", " ", IF(ISNA(VLOOKUP(D147,'[2]stock-take'!$M:$Q,4,FALSE)), "OUT OF STOCK", VLOOKUP(D147,'[2]stock-take'!$M:$Q,4,FALSE)))</f>
        <v xml:space="preserve"> </v>
      </c>
      <c r="L147" s="47">
        <f>IF(ISNA(VLOOKUP(D147,'[2]stock-take'!$M:$Q,3,FALSE)), 0, VLOOKUP(D147,'[2]stock-take'!$M:$Q,3,FALSE))</f>
        <v>0</v>
      </c>
      <c r="M147" s="48" t="str">
        <f t="shared" si="7"/>
        <v xml:space="preserve"> </v>
      </c>
      <c r="N147" s="39" t="str">
        <f t="shared" si="8"/>
        <v xml:space="preserve"> </v>
      </c>
    </row>
    <row r="148" spans="1:14">
      <c r="A148" s="37">
        <f t="shared" si="6"/>
        <v>137</v>
      </c>
      <c r="D148" s="24"/>
      <c r="G148" s="48" t="str">
        <f>IF(F148=""," ",IF(ISNA(VLOOKUP(D148,'[2]stock-take'!$A:$E,4,FALSE)), "OUT OF STOCK", VLOOKUP(D148,'[2]stock-take'!$A:$E,4,FALSE)))</f>
        <v xml:space="preserve"> </v>
      </c>
      <c r="H148" s="48">
        <f>IF(ISNA(VLOOKUP(D148,'[2]stock-take'!$A:$E,3,FALSE)), 0, VLOOKUP(D148,'[2]stock-take'!$A:$E,3,FALSE))</f>
        <v>0</v>
      </c>
      <c r="I148" s="48" t="str">
        <f>IF(F148="", " ",IF(ISNA(VLOOKUP(D148,'[2]stock-take'!$G:$K,4,FALSE)), "OUT OF STOCK", VLOOKUP(D148,'[2]stock-take'!$G:$K,4,FALSE)))</f>
        <v xml:space="preserve"> </v>
      </c>
      <c r="J148" s="39">
        <f>IF(ISNA(VLOOKUP(D148,'[2]stock-take'!$G:$K,3,FALSE)), 0, VLOOKUP(D148,'[2]stock-take'!$G:$K,3,FALSE))</f>
        <v>0</v>
      </c>
      <c r="K148" s="49" t="str">
        <f>IF(F148="", " ", IF(ISNA(VLOOKUP(D148,'[2]stock-take'!$M:$Q,4,FALSE)), "OUT OF STOCK", VLOOKUP(D148,'[2]stock-take'!$M:$Q,4,FALSE)))</f>
        <v xml:space="preserve"> </v>
      </c>
      <c r="L148" s="47">
        <f>IF(ISNA(VLOOKUP(D148,'[2]stock-take'!$M:$Q,3,FALSE)), 0, VLOOKUP(D148,'[2]stock-take'!$M:$Q,3,FALSE))</f>
        <v>0</v>
      </c>
      <c r="M148" s="48" t="str">
        <f t="shared" si="7"/>
        <v xml:space="preserve"> </v>
      </c>
      <c r="N148" s="39" t="str">
        <f t="shared" si="8"/>
        <v xml:space="preserve"> </v>
      </c>
    </row>
    <row r="149" spans="1:14">
      <c r="A149" s="37">
        <f t="shared" si="6"/>
        <v>138</v>
      </c>
      <c r="D149" s="24"/>
      <c r="G149" s="48" t="str">
        <f>IF(F149=""," ",IF(ISNA(VLOOKUP(D149,'[2]stock-take'!$A:$E,4,FALSE)), "OUT OF STOCK", VLOOKUP(D149,'[2]stock-take'!$A:$E,4,FALSE)))</f>
        <v xml:space="preserve"> </v>
      </c>
      <c r="H149" s="48">
        <f>IF(ISNA(VLOOKUP(D149,'[2]stock-take'!$A:$E,3,FALSE)), 0, VLOOKUP(D149,'[2]stock-take'!$A:$E,3,FALSE))</f>
        <v>0</v>
      </c>
      <c r="I149" s="48" t="str">
        <f>IF(F149="", " ",IF(ISNA(VLOOKUP(D149,'[2]stock-take'!$G:$K,4,FALSE)), "OUT OF STOCK", VLOOKUP(D149,'[2]stock-take'!$G:$K,4,FALSE)))</f>
        <v xml:space="preserve"> </v>
      </c>
      <c r="J149" s="39">
        <f>IF(ISNA(VLOOKUP(D149,'[2]stock-take'!$G:$K,3,FALSE)), 0, VLOOKUP(D149,'[2]stock-take'!$G:$K,3,FALSE))</f>
        <v>0</v>
      </c>
      <c r="K149" s="49" t="str">
        <f>IF(F149="", " ", IF(ISNA(VLOOKUP(D149,'[2]stock-take'!$M:$Q,4,FALSE)), "OUT OF STOCK", VLOOKUP(D149,'[2]stock-take'!$M:$Q,4,FALSE)))</f>
        <v xml:space="preserve"> </v>
      </c>
      <c r="L149" s="47">
        <f>IF(ISNA(VLOOKUP(D149,'[2]stock-take'!$M:$Q,3,FALSE)), 0, VLOOKUP(D149,'[2]stock-take'!$M:$Q,3,FALSE))</f>
        <v>0</v>
      </c>
      <c r="M149" s="48" t="str">
        <f t="shared" si="7"/>
        <v xml:space="preserve"> </v>
      </c>
      <c r="N149" s="39" t="str">
        <f t="shared" si="8"/>
        <v xml:space="preserve"> </v>
      </c>
    </row>
    <row r="150" spans="1:14">
      <c r="A150" s="37">
        <f t="shared" si="6"/>
        <v>139</v>
      </c>
      <c r="D150" s="24"/>
      <c r="G150" s="48" t="str">
        <f>IF(F150=""," ",IF(ISNA(VLOOKUP(D150,'[2]stock-take'!$A:$E,4,FALSE)), "OUT OF STOCK", VLOOKUP(D150,'[2]stock-take'!$A:$E,4,FALSE)))</f>
        <v xml:space="preserve"> </v>
      </c>
      <c r="H150" s="48">
        <f>IF(ISNA(VLOOKUP(D150,'[2]stock-take'!$A:$E,3,FALSE)), 0, VLOOKUP(D150,'[2]stock-take'!$A:$E,3,FALSE))</f>
        <v>0</v>
      </c>
      <c r="I150" s="48" t="str">
        <f>IF(F150="", " ",IF(ISNA(VLOOKUP(D150,'[2]stock-take'!$G:$K,4,FALSE)), "OUT OF STOCK", VLOOKUP(D150,'[2]stock-take'!$G:$K,4,FALSE)))</f>
        <v xml:space="preserve"> </v>
      </c>
      <c r="J150" s="39">
        <f>IF(ISNA(VLOOKUP(D150,'[2]stock-take'!$G:$K,3,FALSE)), 0, VLOOKUP(D150,'[2]stock-take'!$G:$K,3,FALSE))</f>
        <v>0</v>
      </c>
      <c r="K150" s="49" t="str">
        <f>IF(F150="", " ", IF(ISNA(VLOOKUP(D150,'[2]stock-take'!$M:$Q,4,FALSE)), "OUT OF STOCK", VLOOKUP(D150,'[2]stock-take'!$M:$Q,4,FALSE)))</f>
        <v xml:space="preserve"> </v>
      </c>
      <c r="L150" s="47">
        <f>IF(ISNA(VLOOKUP(D150,'[2]stock-take'!$M:$Q,3,FALSE)), 0, VLOOKUP(D150,'[2]stock-take'!$M:$Q,3,FALSE))</f>
        <v>0</v>
      </c>
      <c r="M150" s="48" t="str">
        <f t="shared" si="7"/>
        <v xml:space="preserve"> </v>
      </c>
      <c r="N150" s="39" t="str">
        <f t="shared" si="8"/>
        <v xml:space="preserve"> </v>
      </c>
    </row>
    <row r="151" spans="1:14">
      <c r="A151" s="37">
        <f t="shared" si="6"/>
        <v>140</v>
      </c>
      <c r="D151" s="24"/>
      <c r="G151" s="48" t="str">
        <f>IF(F151=""," ",IF(ISNA(VLOOKUP(D151,'[2]stock-take'!$A:$E,4,FALSE)), "OUT OF STOCK", VLOOKUP(D151,'[2]stock-take'!$A:$E,4,FALSE)))</f>
        <v xml:space="preserve"> </v>
      </c>
      <c r="H151" s="48">
        <f>IF(ISNA(VLOOKUP(D151,'[2]stock-take'!$A:$E,3,FALSE)), 0, VLOOKUP(D151,'[2]stock-take'!$A:$E,3,FALSE))</f>
        <v>0</v>
      </c>
      <c r="I151" s="48" t="str">
        <f>IF(F151="", " ",IF(ISNA(VLOOKUP(D151,'[2]stock-take'!$G:$K,4,FALSE)), "OUT OF STOCK", VLOOKUP(D151,'[2]stock-take'!$G:$K,4,FALSE)))</f>
        <v xml:space="preserve"> </v>
      </c>
      <c r="J151" s="39">
        <f>IF(ISNA(VLOOKUP(D151,'[2]stock-take'!$G:$K,3,FALSE)), 0, VLOOKUP(D151,'[2]stock-take'!$G:$K,3,FALSE))</f>
        <v>0</v>
      </c>
      <c r="K151" s="49" t="str">
        <f>IF(F151="", " ", IF(ISNA(VLOOKUP(D151,'[2]stock-take'!$M:$Q,4,FALSE)), "OUT OF STOCK", VLOOKUP(D151,'[2]stock-take'!$M:$Q,4,FALSE)))</f>
        <v xml:space="preserve"> </v>
      </c>
      <c r="L151" s="47">
        <f>IF(ISNA(VLOOKUP(D151,'[2]stock-take'!$M:$Q,3,FALSE)), 0, VLOOKUP(D151,'[2]stock-take'!$M:$Q,3,FALSE))</f>
        <v>0</v>
      </c>
      <c r="M151" s="48" t="str">
        <f t="shared" si="7"/>
        <v xml:space="preserve"> </v>
      </c>
      <c r="N151" s="39" t="str">
        <f t="shared" si="8"/>
        <v xml:space="preserve"> </v>
      </c>
    </row>
    <row r="152" spans="1:14">
      <c r="A152" s="37">
        <f t="shared" si="6"/>
        <v>141</v>
      </c>
      <c r="D152" s="24"/>
      <c r="G152" s="48" t="str">
        <f>IF(F152=""," ",IF(ISNA(VLOOKUP(D152,'[2]stock-take'!$A:$E,4,FALSE)), "OUT OF STOCK", VLOOKUP(D152,'[2]stock-take'!$A:$E,4,FALSE)))</f>
        <v xml:space="preserve"> </v>
      </c>
      <c r="H152" s="48">
        <f>IF(ISNA(VLOOKUP(D152,'[2]stock-take'!$A:$E,3,FALSE)), 0, VLOOKUP(D152,'[2]stock-take'!$A:$E,3,FALSE))</f>
        <v>0</v>
      </c>
      <c r="I152" s="48" t="str">
        <f>IF(F152="", " ",IF(ISNA(VLOOKUP(D152,'[2]stock-take'!$G:$K,4,FALSE)), "OUT OF STOCK", VLOOKUP(D152,'[2]stock-take'!$G:$K,4,FALSE)))</f>
        <v xml:space="preserve"> </v>
      </c>
      <c r="J152" s="39">
        <f>IF(ISNA(VLOOKUP(D152,'[2]stock-take'!$G:$K,3,FALSE)), 0, VLOOKUP(D152,'[2]stock-take'!$G:$K,3,FALSE))</f>
        <v>0</v>
      </c>
      <c r="K152" s="49" t="str">
        <f>IF(F152="", " ", IF(ISNA(VLOOKUP(D152,'[2]stock-take'!$M:$Q,4,FALSE)), "OUT OF STOCK", VLOOKUP(D152,'[2]stock-take'!$M:$Q,4,FALSE)))</f>
        <v xml:space="preserve"> </v>
      </c>
      <c r="L152" s="47">
        <f>IF(ISNA(VLOOKUP(D152,'[2]stock-take'!$M:$Q,3,FALSE)), 0, VLOOKUP(D152,'[2]stock-take'!$M:$Q,3,FALSE))</f>
        <v>0</v>
      </c>
      <c r="M152" s="48" t="str">
        <f t="shared" si="7"/>
        <v xml:space="preserve"> </v>
      </c>
      <c r="N152" s="39" t="str">
        <f t="shared" si="8"/>
        <v xml:space="preserve"> </v>
      </c>
    </row>
    <row r="153" spans="1:14">
      <c r="A153" s="37">
        <f t="shared" si="6"/>
        <v>142</v>
      </c>
      <c r="D153" s="24"/>
      <c r="G153" s="48" t="str">
        <f>IF(F153=""," ",IF(ISNA(VLOOKUP(D153,'[2]stock-take'!$A:$E,4,FALSE)), "OUT OF STOCK", VLOOKUP(D153,'[2]stock-take'!$A:$E,4,FALSE)))</f>
        <v xml:space="preserve"> </v>
      </c>
      <c r="H153" s="48">
        <f>IF(ISNA(VLOOKUP(D153,'[2]stock-take'!$A:$E,3,FALSE)), 0, VLOOKUP(D153,'[2]stock-take'!$A:$E,3,FALSE))</f>
        <v>0</v>
      </c>
      <c r="I153" s="48" t="str">
        <f>IF(F153="", " ",IF(ISNA(VLOOKUP(D153,'[2]stock-take'!$G:$K,4,FALSE)), "OUT OF STOCK", VLOOKUP(D153,'[2]stock-take'!$G:$K,4,FALSE)))</f>
        <v xml:space="preserve"> </v>
      </c>
      <c r="J153" s="39">
        <f>IF(ISNA(VLOOKUP(D153,'[2]stock-take'!$G:$K,3,FALSE)), 0, VLOOKUP(D153,'[2]stock-take'!$G:$K,3,FALSE))</f>
        <v>0</v>
      </c>
      <c r="K153" s="49" t="str">
        <f>IF(F153="", " ", IF(ISNA(VLOOKUP(D153,'[2]stock-take'!$M:$Q,4,FALSE)), "OUT OF STOCK", VLOOKUP(D153,'[2]stock-take'!$M:$Q,4,FALSE)))</f>
        <v xml:space="preserve"> </v>
      </c>
      <c r="L153" s="47">
        <f>IF(ISNA(VLOOKUP(D153,'[2]stock-take'!$M:$Q,3,FALSE)), 0, VLOOKUP(D153,'[2]stock-take'!$M:$Q,3,FALSE))</f>
        <v>0</v>
      </c>
      <c r="M153" s="48" t="str">
        <f t="shared" si="7"/>
        <v xml:space="preserve"> </v>
      </c>
      <c r="N153" s="39" t="str">
        <f t="shared" si="8"/>
        <v xml:space="preserve"> </v>
      </c>
    </row>
    <row r="154" spans="1:14">
      <c r="A154" s="37">
        <f t="shared" si="6"/>
        <v>143</v>
      </c>
      <c r="D154" s="24"/>
      <c r="G154" s="48" t="str">
        <f>IF(F154=""," ",IF(ISNA(VLOOKUP(D154,'[2]stock-take'!$A:$E,4,FALSE)), "OUT OF STOCK", VLOOKUP(D154,'[2]stock-take'!$A:$E,4,FALSE)))</f>
        <v xml:space="preserve"> </v>
      </c>
      <c r="H154" s="48">
        <f>IF(ISNA(VLOOKUP(D154,'[2]stock-take'!$A:$E,3,FALSE)), 0, VLOOKUP(D154,'[2]stock-take'!$A:$E,3,FALSE))</f>
        <v>0</v>
      </c>
      <c r="I154" s="48" t="str">
        <f>IF(F154="", " ",IF(ISNA(VLOOKUP(D154,'[2]stock-take'!$G:$K,4,FALSE)), "OUT OF STOCK", VLOOKUP(D154,'[2]stock-take'!$G:$K,4,FALSE)))</f>
        <v xml:space="preserve"> </v>
      </c>
      <c r="J154" s="39">
        <f>IF(ISNA(VLOOKUP(D154,'[2]stock-take'!$G:$K,3,FALSE)), 0, VLOOKUP(D154,'[2]stock-take'!$G:$K,3,FALSE))</f>
        <v>0</v>
      </c>
      <c r="K154" s="49" t="str">
        <f>IF(F154="", " ", IF(ISNA(VLOOKUP(D154,'[2]stock-take'!$M:$Q,4,FALSE)), "OUT OF STOCK", VLOOKUP(D154,'[2]stock-take'!$M:$Q,4,FALSE)))</f>
        <v xml:space="preserve"> </v>
      </c>
      <c r="L154" s="47">
        <f>IF(ISNA(VLOOKUP(D154,'[2]stock-take'!$M:$Q,3,FALSE)), 0, VLOOKUP(D154,'[2]stock-take'!$M:$Q,3,FALSE))</f>
        <v>0</v>
      </c>
      <c r="M154" s="48" t="str">
        <f t="shared" si="7"/>
        <v xml:space="preserve"> </v>
      </c>
      <c r="N154" s="39" t="str">
        <f t="shared" si="8"/>
        <v xml:space="preserve"> </v>
      </c>
    </row>
    <row r="155" spans="1:14">
      <c r="A155" s="37">
        <f t="shared" si="6"/>
        <v>144</v>
      </c>
      <c r="D155" s="24"/>
      <c r="G155" s="48" t="str">
        <f>IF(F155=""," ",IF(ISNA(VLOOKUP(D155,'[2]stock-take'!$A:$E,4,FALSE)), "OUT OF STOCK", VLOOKUP(D155,'[2]stock-take'!$A:$E,4,FALSE)))</f>
        <v xml:space="preserve"> </v>
      </c>
      <c r="H155" s="48">
        <f>IF(ISNA(VLOOKUP(D155,'[2]stock-take'!$A:$E,3,FALSE)), 0, VLOOKUP(D155,'[2]stock-take'!$A:$E,3,FALSE))</f>
        <v>0</v>
      </c>
      <c r="I155" s="48" t="str">
        <f>IF(F155="", " ",IF(ISNA(VLOOKUP(D155,'[2]stock-take'!$G:$K,4,FALSE)), "OUT OF STOCK", VLOOKUP(D155,'[2]stock-take'!$G:$K,4,FALSE)))</f>
        <v xml:space="preserve"> </v>
      </c>
      <c r="J155" s="39">
        <f>IF(ISNA(VLOOKUP(D155,'[2]stock-take'!$G:$K,3,FALSE)), 0, VLOOKUP(D155,'[2]stock-take'!$G:$K,3,FALSE))</f>
        <v>0</v>
      </c>
      <c r="K155" s="49" t="str">
        <f>IF(F155="", " ", IF(ISNA(VLOOKUP(D155,'[2]stock-take'!$M:$Q,4,FALSE)), "OUT OF STOCK", VLOOKUP(D155,'[2]stock-take'!$M:$Q,4,FALSE)))</f>
        <v xml:space="preserve"> </v>
      </c>
      <c r="L155" s="47">
        <f>IF(ISNA(VLOOKUP(D155,'[2]stock-take'!$M:$Q,3,FALSE)), 0, VLOOKUP(D155,'[2]stock-take'!$M:$Q,3,FALSE))</f>
        <v>0</v>
      </c>
      <c r="M155" s="48" t="str">
        <f t="shared" si="7"/>
        <v xml:space="preserve"> </v>
      </c>
      <c r="N155" s="39" t="str">
        <f t="shared" si="8"/>
        <v xml:space="preserve"> </v>
      </c>
    </row>
    <row r="156" spans="1:14">
      <c r="A156" s="37">
        <f t="shared" si="6"/>
        <v>145</v>
      </c>
      <c r="D156" s="24"/>
      <c r="G156" s="48" t="str">
        <f>IF(F156=""," ",IF(ISNA(VLOOKUP(D156,'[2]stock-take'!$A:$E,4,FALSE)), "OUT OF STOCK", VLOOKUP(D156,'[2]stock-take'!$A:$E,4,FALSE)))</f>
        <v xml:space="preserve"> </v>
      </c>
      <c r="H156" s="48">
        <f>IF(ISNA(VLOOKUP(D156,'[2]stock-take'!$A:$E,3,FALSE)), 0, VLOOKUP(D156,'[2]stock-take'!$A:$E,3,FALSE))</f>
        <v>0</v>
      </c>
      <c r="I156" s="48" t="str">
        <f>IF(F156="", " ",IF(ISNA(VLOOKUP(D156,'[2]stock-take'!$G:$K,4,FALSE)), "OUT OF STOCK", VLOOKUP(D156,'[2]stock-take'!$G:$K,4,FALSE)))</f>
        <v xml:space="preserve"> </v>
      </c>
      <c r="J156" s="39">
        <f>IF(ISNA(VLOOKUP(D156,'[2]stock-take'!$G:$K,3,FALSE)), 0, VLOOKUP(D156,'[2]stock-take'!$G:$K,3,FALSE))</f>
        <v>0</v>
      </c>
      <c r="K156" s="49" t="str">
        <f>IF(F156="", " ", IF(ISNA(VLOOKUP(D156,'[2]stock-take'!$M:$Q,4,FALSE)), "OUT OF STOCK", VLOOKUP(D156,'[2]stock-take'!$M:$Q,4,FALSE)))</f>
        <v xml:space="preserve"> </v>
      </c>
      <c r="L156" s="47">
        <f>IF(ISNA(VLOOKUP(D156,'[2]stock-take'!$M:$Q,3,FALSE)), 0, VLOOKUP(D156,'[2]stock-take'!$M:$Q,3,FALSE))</f>
        <v>0</v>
      </c>
      <c r="M156" s="48" t="str">
        <f t="shared" si="7"/>
        <v xml:space="preserve"> </v>
      </c>
      <c r="N156" s="39" t="str">
        <f t="shared" si="8"/>
        <v xml:space="preserve"> </v>
      </c>
    </row>
    <row r="157" spans="1:14">
      <c r="A157" s="37">
        <f t="shared" si="6"/>
        <v>146</v>
      </c>
      <c r="D157" s="24"/>
      <c r="G157" s="48" t="str">
        <f>IF(F157=""," ",IF(ISNA(VLOOKUP(D157,'[2]stock-take'!$A:$E,4,FALSE)), "OUT OF STOCK", VLOOKUP(D157,'[2]stock-take'!$A:$E,4,FALSE)))</f>
        <v xml:space="preserve"> </v>
      </c>
      <c r="H157" s="48">
        <f>IF(ISNA(VLOOKUP(D157,'[2]stock-take'!$A:$E,3,FALSE)), 0, VLOOKUP(D157,'[2]stock-take'!$A:$E,3,FALSE))</f>
        <v>0</v>
      </c>
      <c r="I157" s="48" t="str">
        <f>IF(F157="", " ",IF(ISNA(VLOOKUP(D157,'[2]stock-take'!$G:$K,4,FALSE)), "OUT OF STOCK", VLOOKUP(D157,'[2]stock-take'!$G:$K,4,FALSE)))</f>
        <v xml:space="preserve"> </v>
      </c>
      <c r="J157" s="39">
        <f>IF(ISNA(VLOOKUP(D157,'[2]stock-take'!$G:$K,3,FALSE)), 0, VLOOKUP(D157,'[2]stock-take'!$G:$K,3,FALSE))</f>
        <v>0</v>
      </c>
      <c r="K157" s="49" t="str">
        <f>IF(F157="", " ", IF(ISNA(VLOOKUP(D157,'[2]stock-take'!$M:$Q,4,FALSE)), "OUT OF STOCK", VLOOKUP(D157,'[2]stock-take'!$M:$Q,4,FALSE)))</f>
        <v xml:space="preserve"> </v>
      </c>
      <c r="L157" s="47">
        <f>IF(ISNA(VLOOKUP(D157,'[2]stock-take'!$M:$Q,3,FALSE)), 0, VLOOKUP(D157,'[2]stock-take'!$M:$Q,3,FALSE))</f>
        <v>0</v>
      </c>
      <c r="M157" s="48" t="str">
        <f t="shared" si="7"/>
        <v xml:space="preserve"> </v>
      </c>
      <c r="N157" s="39" t="str">
        <f t="shared" si="8"/>
        <v xml:space="preserve"> </v>
      </c>
    </row>
    <row r="158" spans="1:14">
      <c r="A158" s="37">
        <f t="shared" si="6"/>
        <v>147</v>
      </c>
      <c r="D158" s="24"/>
      <c r="G158" s="48" t="str">
        <f>IF(F158=""," ",IF(ISNA(VLOOKUP(D158,'[2]stock-take'!$A:$E,4,FALSE)), "OUT OF STOCK", VLOOKUP(D158,'[2]stock-take'!$A:$E,4,FALSE)))</f>
        <v xml:space="preserve"> </v>
      </c>
      <c r="H158" s="48">
        <f>IF(ISNA(VLOOKUP(D158,'[2]stock-take'!$A:$E,3,FALSE)), 0, VLOOKUP(D158,'[2]stock-take'!$A:$E,3,FALSE))</f>
        <v>0</v>
      </c>
      <c r="I158" s="48" t="str">
        <f>IF(F158="", " ",IF(ISNA(VLOOKUP(D158,'[2]stock-take'!$G:$K,4,FALSE)), "OUT OF STOCK", VLOOKUP(D158,'[2]stock-take'!$G:$K,4,FALSE)))</f>
        <v xml:space="preserve"> </v>
      </c>
      <c r="J158" s="39">
        <f>IF(ISNA(VLOOKUP(D158,'[2]stock-take'!$G:$K,3,FALSE)), 0, VLOOKUP(D158,'[2]stock-take'!$G:$K,3,FALSE))</f>
        <v>0</v>
      </c>
      <c r="K158" s="49" t="str">
        <f>IF(F158="", " ", IF(ISNA(VLOOKUP(D158,'[2]stock-take'!$M:$Q,4,FALSE)), "OUT OF STOCK", VLOOKUP(D158,'[2]stock-take'!$M:$Q,4,FALSE)))</f>
        <v xml:space="preserve"> </v>
      </c>
      <c r="L158" s="47">
        <f>IF(ISNA(VLOOKUP(D158,'[2]stock-take'!$M:$Q,3,FALSE)), 0, VLOOKUP(D158,'[2]stock-take'!$M:$Q,3,FALSE))</f>
        <v>0</v>
      </c>
      <c r="M158" s="48" t="str">
        <f t="shared" si="7"/>
        <v xml:space="preserve"> </v>
      </c>
      <c r="N158" s="39" t="str">
        <f t="shared" si="8"/>
        <v xml:space="preserve"> </v>
      </c>
    </row>
    <row r="159" spans="1:14">
      <c r="A159" s="37">
        <f t="shared" si="6"/>
        <v>148</v>
      </c>
      <c r="D159" s="24"/>
      <c r="G159" s="48" t="str">
        <f>IF(F159=""," ",IF(ISNA(VLOOKUP(D159,'[2]stock-take'!$A:$E,4,FALSE)), "OUT OF STOCK", VLOOKUP(D159,'[2]stock-take'!$A:$E,4,FALSE)))</f>
        <v xml:space="preserve"> </v>
      </c>
      <c r="H159" s="48">
        <f>IF(ISNA(VLOOKUP(D159,'[2]stock-take'!$A:$E,3,FALSE)), 0, VLOOKUP(D159,'[2]stock-take'!$A:$E,3,FALSE))</f>
        <v>0</v>
      </c>
      <c r="I159" s="48" t="str">
        <f>IF(F159="", " ",IF(ISNA(VLOOKUP(D159,'[2]stock-take'!$G:$K,4,FALSE)), "OUT OF STOCK", VLOOKUP(D159,'[2]stock-take'!$G:$K,4,FALSE)))</f>
        <v xml:space="preserve"> </v>
      </c>
      <c r="J159" s="39">
        <f>IF(ISNA(VLOOKUP(D159,'[2]stock-take'!$G:$K,3,FALSE)), 0, VLOOKUP(D159,'[2]stock-take'!$G:$K,3,FALSE))</f>
        <v>0</v>
      </c>
      <c r="K159" s="49" t="str">
        <f>IF(F159="", " ", IF(ISNA(VLOOKUP(D159,'[2]stock-take'!$M:$Q,4,FALSE)), "OUT OF STOCK", VLOOKUP(D159,'[2]stock-take'!$M:$Q,4,FALSE)))</f>
        <v xml:space="preserve"> </v>
      </c>
      <c r="L159" s="47">
        <f>IF(ISNA(VLOOKUP(D159,'[2]stock-take'!$M:$Q,3,FALSE)), 0, VLOOKUP(D159,'[2]stock-take'!$M:$Q,3,FALSE))</f>
        <v>0</v>
      </c>
      <c r="M159" s="48" t="str">
        <f t="shared" si="7"/>
        <v xml:space="preserve"> </v>
      </c>
      <c r="N159" s="39" t="str">
        <f t="shared" si="8"/>
        <v xml:space="preserve"> </v>
      </c>
    </row>
    <row r="160" spans="1:14">
      <c r="A160" s="37">
        <f t="shared" si="6"/>
        <v>149</v>
      </c>
      <c r="D160" s="24"/>
      <c r="G160" s="48" t="str">
        <f>IF(F160=""," ",IF(ISNA(VLOOKUP(D160,'[2]stock-take'!$A:$E,4,FALSE)), "OUT OF STOCK", VLOOKUP(D160,'[2]stock-take'!$A:$E,4,FALSE)))</f>
        <v xml:space="preserve"> </v>
      </c>
      <c r="H160" s="48">
        <f>IF(ISNA(VLOOKUP(D160,'[2]stock-take'!$A:$E,3,FALSE)), 0, VLOOKUP(D160,'[2]stock-take'!$A:$E,3,FALSE))</f>
        <v>0</v>
      </c>
      <c r="I160" s="48" t="str">
        <f>IF(F160="", " ",IF(ISNA(VLOOKUP(D160,'[2]stock-take'!$G:$K,4,FALSE)), "OUT OF STOCK", VLOOKUP(D160,'[2]stock-take'!$G:$K,4,FALSE)))</f>
        <v xml:space="preserve"> </v>
      </c>
      <c r="J160" s="39">
        <f>IF(ISNA(VLOOKUP(D160,'[2]stock-take'!$G:$K,3,FALSE)), 0, VLOOKUP(D160,'[2]stock-take'!$G:$K,3,FALSE))</f>
        <v>0</v>
      </c>
      <c r="K160" s="49" t="str">
        <f>IF(F160="", " ", IF(ISNA(VLOOKUP(D160,'[2]stock-take'!$M:$Q,4,FALSE)), "OUT OF STOCK", VLOOKUP(D160,'[2]stock-take'!$M:$Q,4,FALSE)))</f>
        <v xml:space="preserve"> </v>
      </c>
      <c r="L160" s="47">
        <f>IF(ISNA(VLOOKUP(D160,'[2]stock-take'!$M:$Q,3,FALSE)), 0, VLOOKUP(D160,'[2]stock-take'!$M:$Q,3,FALSE))</f>
        <v>0</v>
      </c>
      <c r="M160" s="48" t="str">
        <f t="shared" si="7"/>
        <v xml:space="preserve"> </v>
      </c>
      <c r="N160" s="39" t="str">
        <f t="shared" si="8"/>
        <v xml:space="preserve"> </v>
      </c>
    </row>
    <row r="161" spans="1:14">
      <c r="A161" s="37">
        <f t="shared" si="6"/>
        <v>150</v>
      </c>
      <c r="D161" s="24"/>
      <c r="G161" s="48" t="str">
        <f>IF(F161=""," ",IF(ISNA(VLOOKUP(D161,'[2]stock-take'!$A:$E,4,FALSE)), "OUT OF STOCK", VLOOKUP(D161,'[2]stock-take'!$A:$E,4,FALSE)))</f>
        <v xml:space="preserve"> </v>
      </c>
      <c r="H161" s="48">
        <f>IF(ISNA(VLOOKUP(D161,'[2]stock-take'!$A:$E,3,FALSE)), 0, VLOOKUP(D161,'[2]stock-take'!$A:$E,3,FALSE))</f>
        <v>0</v>
      </c>
      <c r="I161" s="48" t="str">
        <f>IF(F161="", " ",IF(ISNA(VLOOKUP(D161,'[2]stock-take'!$G:$K,4,FALSE)), "OUT OF STOCK", VLOOKUP(D161,'[2]stock-take'!$G:$K,4,FALSE)))</f>
        <v xml:space="preserve"> </v>
      </c>
      <c r="J161" s="39">
        <f>IF(ISNA(VLOOKUP(D161,'[2]stock-take'!$G:$K,3,FALSE)), 0, VLOOKUP(D161,'[2]stock-take'!$G:$K,3,FALSE))</f>
        <v>0</v>
      </c>
      <c r="K161" s="49" t="str">
        <f>IF(F161="", " ", IF(ISNA(VLOOKUP(D161,'[2]stock-take'!$M:$Q,4,FALSE)), "OUT OF STOCK", VLOOKUP(D161,'[2]stock-take'!$M:$Q,4,FALSE)))</f>
        <v xml:space="preserve"> </v>
      </c>
      <c r="L161" s="47">
        <f>IF(ISNA(VLOOKUP(D161,'[2]stock-take'!$M:$Q,3,FALSE)), 0, VLOOKUP(D161,'[2]stock-take'!$M:$Q,3,FALSE))</f>
        <v>0</v>
      </c>
      <c r="M161" s="48" t="str">
        <f t="shared" si="7"/>
        <v xml:space="preserve"> </v>
      </c>
      <c r="N161" s="39" t="str">
        <f t="shared" si="8"/>
        <v xml:space="preserve"> </v>
      </c>
    </row>
    <row r="162" spans="1:14">
      <c r="A162" s="37">
        <f t="shared" si="6"/>
        <v>151</v>
      </c>
      <c r="D162" s="24"/>
      <c r="G162" s="48" t="str">
        <f>IF(F162=""," ",IF(ISNA(VLOOKUP(D162,'[2]stock-take'!$A:$E,4,FALSE)), "OUT OF STOCK", VLOOKUP(D162,'[2]stock-take'!$A:$E,4,FALSE)))</f>
        <v xml:space="preserve"> </v>
      </c>
      <c r="H162" s="48">
        <f>IF(ISNA(VLOOKUP(D162,'[2]stock-take'!$A:$E,3,FALSE)), 0, VLOOKUP(D162,'[2]stock-take'!$A:$E,3,FALSE))</f>
        <v>0</v>
      </c>
      <c r="I162" s="48" t="str">
        <f>IF(F162="", " ",IF(ISNA(VLOOKUP(D162,'[2]stock-take'!$G:$K,4,FALSE)), "OUT OF STOCK", VLOOKUP(D162,'[2]stock-take'!$G:$K,4,FALSE)))</f>
        <v xml:space="preserve"> </v>
      </c>
      <c r="J162" s="39">
        <f>IF(ISNA(VLOOKUP(D162,'[2]stock-take'!$G:$K,3,FALSE)), 0, VLOOKUP(D162,'[2]stock-take'!$G:$K,3,FALSE))</f>
        <v>0</v>
      </c>
      <c r="K162" s="49" t="str">
        <f>IF(F162="", " ", IF(ISNA(VLOOKUP(D162,'[2]stock-take'!$M:$Q,4,FALSE)), "OUT OF STOCK", VLOOKUP(D162,'[2]stock-take'!$M:$Q,4,FALSE)))</f>
        <v xml:space="preserve"> </v>
      </c>
      <c r="L162" s="47">
        <f>IF(ISNA(VLOOKUP(D162,'[2]stock-take'!$M:$Q,3,FALSE)), 0, VLOOKUP(D162,'[2]stock-take'!$M:$Q,3,FALSE))</f>
        <v>0</v>
      </c>
      <c r="M162" s="48" t="str">
        <f t="shared" si="7"/>
        <v xml:space="preserve"> </v>
      </c>
      <c r="N162" s="39" t="str">
        <f t="shared" si="8"/>
        <v xml:space="preserve"> </v>
      </c>
    </row>
    <row r="163" spans="1:14">
      <c r="A163" s="37">
        <f t="shared" si="6"/>
        <v>152</v>
      </c>
      <c r="D163" s="24"/>
      <c r="G163" s="48" t="str">
        <f>IF(F163=""," ",IF(ISNA(VLOOKUP(D163,'[2]stock-take'!$A:$E,4,FALSE)), "OUT OF STOCK", VLOOKUP(D163,'[2]stock-take'!$A:$E,4,FALSE)))</f>
        <v xml:space="preserve"> </v>
      </c>
      <c r="H163" s="48">
        <f>IF(ISNA(VLOOKUP(D163,'[2]stock-take'!$A:$E,3,FALSE)), 0, VLOOKUP(D163,'[2]stock-take'!$A:$E,3,FALSE))</f>
        <v>0</v>
      </c>
      <c r="I163" s="48" t="str">
        <f>IF(F163="", " ",IF(ISNA(VLOOKUP(D163,'[2]stock-take'!$G:$K,4,FALSE)), "OUT OF STOCK", VLOOKUP(D163,'[2]stock-take'!$G:$K,4,FALSE)))</f>
        <v xml:space="preserve"> </v>
      </c>
      <c r="J163" s="39">
        <f>IF(ISNA(VLOOKUP(D163,'[2]stock-take'!$G:$K,3,FALSE)), 0, VLOOKUP(D163,'[2]stock-take'!$G:$K,3,FALSE))</f>
        <v>0</v>
      </c>
      <c r="K163" s="49" t="str">
        <f>IF(F163="", " ", IF(ISNA(VLOOKUP(D163,'[2]stock-take'!$M:$Q,4,FALSE)), "OUT OF STOCK", VLOOKUP(D163,'[2]stock-take'!$M:$Q,4,FALSE)))</f>
        <v xml:space="preserve"> </v>
      </c>
      <c r="L163" s="47">
        <f>IF(ISNA(VLOOKUP(D163,'[2]stock-take'!$M:$Q,3,FALSE)), 0, VLOOKUP(D163,'[2]stock-take'!$M:$Q,3,FALSE))</f>
        <v>0</v>
      </c>
      <c r="M163" s="48" t="str">
        <f t="shared" si="7"/>
        <v xml:space="preserve"> </v>
      </c>
      <c r="N163" s="39" t="str">
        <f t="shared" si="8"/>
        <v xml:space="preserve"> </v>
      </c>
    </row>
    <row r="164" spans="1:14">
      <c r="A164" s="37">
        <f t="shared" si="6"/>
        <v>153</v>
      </c>
      <c r="D164" s="24"/>
      <c r="G164" s="48" t="str">
        <f>IF(F164=""," ",IF(ISNA(VLOOKUP(D164,'[2]stock-take'!$A:$E,4,FALSE)), "OUT OF STOCK", VLOOKUP(D164,'[2]stock-take'!$A:$E,4,FALSE)))</f>
        <v xml:space="preserve"> </v>
      </c>
      <c r="H164" s="48">
        <f>IF(ISNA(VLOOKUP(D164,'[2]stock-take'!$A:$E,3,FALSE)), 0, VLOOKUP(D164,'[2]stock-take'!$A:$E,3,FALSE))</f>
        <v>0</v>
      </c>
      <c r="I164" s="48" t="str">
        <f>IF(F164="", " ",IF(ISNA(VLOOKUP(D164,'[2]stock-take'!$G:$K,4,FALSE)), "OUT OF STOCK", VLOOKUP(D164,'[2]stock-take'!$G:$K,4,FALSE)))</f>
        <v xml:space="preserve"> </v>
      </c>
      <c r="J164" s="39">
        <f>IF(ISNA(VLOOKUP(D164,'[2]stock-take'!$G:$K,3,FALSE)), 0, VLOOKUP(D164,'[2]stock-take'!$G:$K,3,FALSE))</f>
        <v>0</v>
      </c>
      <c r="K164" s="49" t="str">
        <f>IF(F164="", " ", IF(ISNA(VLOOKUP(D164,'[2]stock-take'!$M:$Q,4,FALSE)), "OUT OF STOCK", VLOOKUP(D164,'[2]stock-take'!$M:$Q,4,FALSE)))</f>
        <v xml:space="preserve"> </v>
      </c>
      <c r="L164" s="47">
        <f>IF(ISNA(VLOOKUP(D164,'[2]stock-take'!$M:$Q,3,FALSE)), 0, VLOOKUP(D164,'[2]stock-take'!$M:$Q,3,FALSE))</f>
        <v>0</v>
      </c>
      <c r="M164" s="48" t="str">
        <f t="shared" si="7"/>
        <v xml:space="preserve"> </v>
      </c>
      <c r="N164" s="39" t="str">
        <f t="shared" si="8"/>
        <v xml:space="preserve"> </v>
      </c>
    </row>
    <row r="165" spans="1:14">
      <c r="A165" s="37">
        <f t="shared" si="6"/>
        <v>154</v>
      </c>
      <c r="D165" s="24"/>
      <c r="G165" s="48" t="str">
        <f>IF(F165=""," ",IF(ISNA(VLOOKUP(D165,'[2]stock-take'!$A:$E,4,FALSE)), "OUT OF STOCK", VLOOKUP(D165,'[2]stock-take'!$A:$E,4,FALSE)))</f>
        <v xml:space="preserve"> </v>
      </c>
      <c r="H165" s="48">
        <f>IF(ISNA(VLOOKUP(D165,'[2]stock-take'!$A:$E,3,FALSE)), 0, VLOOKUP(D165,'[2]stock-take'!$A:$E,3,FALSE))</f>
        <v>0</v>
      </c>
      <c r="I165" s="48" t="str">
        <f>IF(F165="", " ",IF(ISNA(VLOOKUP(D165,'[2]stock-take'!$G:$K,4,FALSE)), "OUT OF STOCK", VLOOKUP(D165,'[2]stock-take'!$G:$K,4,FALSE)))</f>
        <v xml:space="preserve"> </v>
      </c>
      <c r="J165" s="39">
        <f>IF(ISNA(VLOOKUP(D165,'[2]stock-take'!$G:$K,3,FALSE)), 0, VLOOKUP(D165,'[2]stock-take'!$G:$K,3,FALSE))</f>
        <v>0</v>
      </c>
      <c r="K165" s="49" t="str">
        <f>IF(F165="", " ", IF(ISNA(VLOOKUP(D165,'[2]stock-take'!$M:$Q,4,FALSE)), "OUT OF STOCK", VLOOKUP(D165,'[2]stock-take'!$M:$Q,4,FALSE)))</f>
        <v xml:space="preserve"> </v>
      </c>
      <c r="L165" s="47">
        <f>IF(ISNA(VLOOKUP(D165,'[2]stock-take'!$M:$Q,3,FALSE)), 0, VLOOKUP(D165,'[2]stock-take'!$M:$Q,3,FALSE))</f>
        <v>0</v>
      </c>
      <c r="M165" s="48" t="str">
        <f t="shared" si="7"/>
        <v xml:space="preserve"> </v>
      </c>
      <c r="N165" s="39" t="str">
        <f t="shared" si="8"/>
        <v xml:space="preserve"> </v>
      </c>
    </row>
    <row r="166" spans="1:14">
      <c r="A166" s="37">
        <f t="shared" si="6"/>
        <v>155</v>
      </c>
      <c r="D166" s="24"/>
      <c r="G166" s="48" t="str">
        <f>IF(F166=""," ",IF(ISNA(VLOOKUP(D166,'[2]stock-take'!$A:$E,4,FALSE)), "OUT OF STOCK", VLOOKUP(D166,'[2]stock-take'!$A:$E,4,FALSE)))</f>
        <v xml:space="preserve"> </v>
      </c>
      <c r="H166" s="48">
        <f>IF(ISNA(VLOOKUP(D166,'[2]stock-take'!$A:$E,3,FALSE)), 0, VLOOKUP(D166,'[2]stock-take'!$A:$E,3,FALSE))</f>
        <v>0</v>
      </c>
      <c r="I166" s="48" t="str">
        <f>IF(F166="", " ",IF(ISNA(VLOOKUP(D166,'[2]stock-take'!$G:$K,4,FALSE)), "OUT OF STOCK", VLOOKUP(D166,'[2]stock-take'!$G:$K,4,FALSE)))</f>
        <v xml:space="preserve"> </v>
      </c>
      <c r="J166" s="39">
        <f>IF(ISNA(VLOOKUP(D166,'[2]stock-take'!$G:$K,3,FALSE)), 0, VLOOKUP(D166,'[2]stock-take'!$G:$K,3,FALSE))</f>
        <v>0</v>
      </c>
      <c r="K166" s="49" t="str">
        <f>IF(F166="", " ", IF(ISNA(VLOOKUP(D166,'[2]stock-take'!$M:$Q,4,FALSE)), "OUT OF STOCK", VLOOKUP(D166,'[2]stock-take'!$M:$Q,4,FALSE)))</f>
        <v xml:space="preserve"> </v>
      </c>
      <c r="L166" s="47">
        <f>IF(ISNA(VLOOKUP(D166,'[2]stock-take'!$M:$Q,3,FALSE)), 0, VLOOKUP(D166,'[2]stock-take'!$M:$Q,3,FALSE))</f>
        <v>0</v>
      </c>
      <c r="M166" s="48" t="str">
        <f t="shared" si="7"/>
        <v xml:space="preserve"> </v>
      </c>
      <c r="N166" s="39" t="str">
        <f t="shared" si="8"/>
        <v xml:space="preserve"> </v>
      </c>
    </row>
    <row r="167" spans="1:14">
      <c r="A167" s="37">
        <f t="shared" si="6"/>
        <v>156</v>
      </c>
      <c r="D167" s="24"/>
      <c r="G167" s="48" t="str">
        <f>IF(F167=""," ",IF(ISNA(VLOOKUP(D167,'[2]stock-take'!$A:$E,4,FALSE)), "OUT OF STOCK", VLOOKUP(D167,'[2]stock-take'!$A:$E,4,FALSE)))</f>
        <v xml:space="preserve"> </v>
      </c>
      <c r="H167" s="48">
        <f>IF(ISNA(VLOOKUP(D167,'[2]stock-take'!$A:$E,3,FALSE)), 0, VLOOKUP(D167,'[2]stock-take'!$A:$E,3,FALSE))</f>
        <v>0</v>
      </c>
      <c r="I167" s="48" t="str">
        <f>IF(F167="", " ",IF(ISNA(VLOOKUP(D167,'[2]stock-take'!$G:$K,4,FALSE)), "OUT OF STOCK", VLOOKUP(D167,'[2]stock-take'!$G:$K,4,FALSE)))</f>
        <v xml:space="preserve"> </v>
      </c>
      <c r="J167" s="39">
        <f>IF(ISNA(VLOOKUP(D167,'[2]stock-take'!$G:$K,3,FALSE)), 0, VLOOKUP(D167,'[2]stock-take'!$G:$K,3,FALSE))</f>
        <v>0</v>
      </c>
      <c r="K167" s="49" t="str">
        <f>IF(F167="", " ", IF(ISNA(VLOOKUP(D167,'[2]stock-take'!$M:$Q,4,FALSE)), "OUT OF STOCK", VLOOKUP(D167,'[2]stock-take'!$M:$Q,4,FALSE)))</f>
        <v xml:space="preserve"> </v>
      </c>
      <c r="L167" s="47">
        <f>IF(ISNA(VLOOKUP(D167,'[2]stock-take'!$M:$Q,3,FALSE)), 0, VLOOKUP(D167,'[2]stock-take'!$M:$Q,3,FALSE))</f>
        <v>0</v>
      </c>
      <c r="M167" s="48" t="str">
        <f t="shared" si="7"/>
        <v xml:space="preserve"> </v>
      </c>
      <c r="N167" s="39" t="str">
        <f t="shared" si="8"/>
        <v xml:space="preserve"> </v>
      </c>
    </row>
    <row r="168" spans="1:14">
      <c r="A168" s="37">
        <f t="shared" si="6"/>
        <v>157</v>
      </c>
      <c r="D168" s="24"/>
      <c r="G168" s="48" t="str">
        <f>IF(F168=""," ",IF(ISNA(VLOOKUP(D168,'[2]stock-take'!$A:$E,4,FALSE)), "OUT OF STOCK", VLOOKUP(D168,'[2]stock-take'!$A:$E,4,FALSE)))</f>
        <v xml:space="preserve"> </v>
      </c>
      <c r="H168" s="48">
        <f>IF(ISNA(VLOOKUP(D168,'[2]stock-take'!$A:$E,3,FALSE)), 0, VLOOKUP(D168,'[2]stock-take'!$A:$E,3,FALSE))</f>
        <v>0</v>
      </c>
      <c r="I168" s="48" t="str">
        <f>IF(F168="", " ",IF(ISNA(VLOOKUP(D168,'[2]stock-take'!$G:$K,4,FALSE)), "OUT OF STOCK", VLOOKUP(D168,'[2]stock-take'!$G:$K,4,FALSE)))</f>
        <v xml:space="preserve"> </v>
      </c>
      <c r="J168" s="39">
        <f>IF(ISNA(VLOOKUP(D168,'[2]stock-take'!$G:$K,3,FALSE)), 0, VLOOKUP(D168,'[2]stock-take'!$G:$K,3,FALSE))</f>
        <v>0</v>
      </c>
      <c r="K168" s="49" t="str">
        <f>IF(F168="", " ", IF(ISNA(VLOOKUP(D168,'[2]stock-take'!$M:$Q,4,FALSE)), "OUT OF STOCK", VLOOKUP(D168,'[2]stock-take'!$M:$Q,4,FALSE)))</f>
        <v xml:space="preserve"> </v>
      </c>
      <c r="L168" s="47">
        <f>IF(ISNA(VLOOKUP(D168,'[2]stock-take'!$M:$Q,3,FALSE)), 0, VLOOKUP(D168,'[2]stock-take'!$M:$Q,3,FALSE))</f>
        <v>0</v>
      </c>
      <c r="M168" s="48" t="str">
        <f t="shared" si="7"/>
        <v xml:space="preserve"> </v>
      </c>
      <c r="N168" s="39" t="str">
        <f t="shared" si="8"/>
        <v xml:space="preserve"> </v>
      </c>
    </row>
    <row r="169" spans="1:14">
      <c r="A169" s="37">
        <f t="shared" si="6"/>
        <v>158</v>
      </c>
      <c r="D169" s="24"/>
      <c r="G169" s="48" t="str">
        <f>IF(F169=""," ",IF(ISNA(VLOOKUP(D169,'[2]stock-take'!$A:$E,4,FALSE)), "OUT OF STOCK", VLOOKUP(D169,'[2]stock-take'!$A:$E,4,FALSE)))</f>
        <v xml:space="preserve"> </v>
      </c>
      <c r="H169" s="48">
        <f>IF(ISNA(VLOOKUP(D169,'[2]stock-take'!$A:$E,3,FALSE)), 0, VLOOKUP(D169,'[2]stock-take'!$A:$E,3,FALSE))</f>
        <v>0</v>
      </c>
      <c r="I169" s="48" t="str">
        <f>IF(F169="", " ",IF(ISNA(VLOOKUP(D169,'[2]stock-take'!$G:$K,4,FALSE)), "OUT OF STOCK", VLOOKUP(D169,'[2]stock-take'!$G:$K,4,FALSE)))</f>
        <v xml:space="preserve"> </v>
      </c>
      <c r="J169" s="39">
        <f>IF(ISNA(VLOOKUP(D169,'[2]stock-take'!$G:$K,3,FALSE)), 0, VLOOKUP(D169,'[2]stock-take'!$G:$K,3,FALSE))</f>
        <v>0</v>
      </c>
      <c r="K169" s="49" t="str">
        <f>IF(F169="", " ", IF(ISNA(VLOOKUP(D169,'[2]stock-take'!$M:$Q,4,FALSE)), "OUT OF STOCK", VLOOKUP(D169,'[2]stock-take'!$M:$Q,4,FALSE)))</f>
        <v xml:space="preserve"> </v>
      </c>
      <c r="L169" s="47">
        <f>IF(ISNA(VLOOKUP(D169,'[2]stock-take'!$M:$Q,3,FALSE)), 0, VLOOKUP(D169,'[2]stock-take'!$M:$Q,3,FALSE))</f>
        <v>0</v>
      </c>
      <c r="M169" s="48" t="str">
        <f t="shared" si="7"/>
        <v xml:space="preserve"> </v>
      </c>
      <c r="N169" s="39" t="str">
        <f t="shared" si="8"/>
        <v xml:space="preserve"> </v>
      </c>
    </row>
    <row r="170" spans="1:14">
      <c r="A170" s="37">
        <f t="shared" si="6"/>
        <v>159</v>
      </c>
      <c r="D170" s="24"/>
      <c r="G170" s="48" t="str">
        <f>IF(F170=""," ",IF(ISNA(VLOOKUP(D170,'[2]stock-take'!$A:$E,4,FALSE)), "OUT OF STOCK", VLOOKUP(D170,'[2]stock-take'!$A:$E,4,FALSE)))</f>
        <v xml:space="preserve"> </v>
      </c>
      <c r="H170" s="48">
        <f>IF(ISNA(VLOOKUP(D170,'[2]stock-take'!$A:$E,3,FALSE)), 0, VLOOKUP(D170,'[2]stock-take'!$A:$E,3,FALSE))</f>
        <v>0</v>
      </c>
      <c r="I170" s="48" t="str">
        <f>IF(F170="", " ",IF(ISNA(VLOOKUP(D170,'[2]stock-take'!$G:$K,4,FALSE)), "OUT OF STOCK", VLOOKUP(D170,'[2]stock-take'!$G:$K,4,FALSE)))</f>
        <v xml:space="preserve"> </v>
      </c>
      <c r="J170" s="39">
        <f>IF(ISNA(VLOOKUP(D170,'[2]stock-take'!$G:$K,3,FALSE)), 0, VLOOKUP(D170,'[2]stock-take'!$G:$K,3,FALSE))</f>
        <v>0</v>
      </c>
      <c r="K170" s="49" t="str">
        <f>IF(F170="", " ", IF(ISNA(VLOOKUP(D170,'[2]stock-take'!$M:$Q,4,FALSE)), "OUT OF STOCK", VLOOKUP(D170,'[2]stock-take'!$M:$Q,4,FALSE)))</f>
        <v xml:space="preserve"> </v>
      </c>
      <c r="L170" s="47">
        <f>IF(ISNA(VLOOKUP(D170,'[2]stock-take'!$M:$Q,3,FALSE)), 0, VLOOKUP(D170,'[2]stock-take'!$M:$Q,3,FALSE))</f>
        <v>0</v>
      </c>
      <c r="M170" s="48" t="str">
        <f t="shared" si="7"/>
        <v xml:space="preserve"> </v>
      </c>
      <c r="N170" s="39" t="str">
        <f t="shared" si="8"/>
        <v xml:space="preserve"> </v>
      </c>
    </row>
    <row r="171" spans="1:14">
      <c r="A171" s="37">
        <f t="shared" si="6"/>
        <v>160</v>
      </c>
      <c r="D171" s="24"/>
      <c r="G171" s="48" t="str">
        <f>IF(F171=""," ",IF(ISNA(VLOOKUP(D171,'[2]stock-take'!$A:$E,4,FALSE)), "OUT OF STOCK", VLOOKUP(D171,'[2]stock-take'!$A:$E,4,FALSE)))</f>
        <v xml:space="preserve"> </v>
      </c>
      <c r="H171" s="48">
        <f>IF(ISNA(VLOOKUP(D171,'[2]stock-take'!$A:$E,3,FALSE)), 0, VLOOKUP(D171,'[2]stock-take'!$A:$E,3,FALSE))</f>
        <v>0</v>
      </c>
      <c r="I171" s="48" t="str">
        <f>IF(F171="", " ",IF(ISNA(VLOOKUP(D171,'[2]stock-take'!$G:$K,4,FALSE)), "OUT OF STOCK", VLOOKUP(D171,'[2]stock-take'!$G:$K,4,FALSE)))</f>
        <v xml:space="preserve"> </v>
      </c>
      <c r="J171" s="39">
        <f>IF(ISNA(VLOOKUP(D171,'[2]stock-take'!$G:$K,3,FALSE)), 0, VLOOKUP(D171,'[2]stock-take'!$G:$K,3,FALSE))</f>
        <v>0</v>
      </c>
      <c r="K171" s="49" t="str">
        <f>IF(F171="", " ", IF(ISNA(VLOOKUP(D171,'[2]stock-take'!$M:$Q,4,FALSE)), "OUT OF STOCK", VLOOKUP(D171,'[2]stock-take'!$M:$Q,4,FALSE)))</f>
        <v xml:space="preserve"> </v>
      </c>
      <c r="L171" s="47">
        <f>IF(ISNA(VLOOKUP(D171,'[2]stock-take'!$M:$Q,3,FALSE)), 0, VLOOKUP(D171,'[2]stock-take'!$M:$Q,3,FALSE))</f>
        <v>0</v>
      </c>
      <c r="M171" s="48" t="str">
        <f t="shared" si="7"/>
        <v xml:space="preserve"> </v>
      </c>
      <c r="N171" s="39" t="str">
        <f t="shared" si="8"/>
        <v xml:space="preserve"> </v>
      </c>
    </row>
    <row r="172" spans="1:14">
      <c r="A172" s="37">
        <f t="shared" si="6"/>
        <v>161</v>
      </c>
      <c r="D172" s="24"/>
      <c r="G172" s="48" t="str">
        <f>IF(F172=""," ",IF(ISNA(VLOOKUP(D172,'[2]stock-take'!$A:$E,4,FALSE)), "OUT OF STOCK", VLOOKUP(D172,'[2]stock-take'!$A:$E,4,FALSE)))</f>
        <v xml:space="preserve"> </v>
      </c>
      <c r="H172" s="48">
        <f>IF(ISNA(VLOOKUP(D172,'[2]stock-take'!$A:$E,3,FALSE)), 0, VLOOKUP(D172,'[2]stock-take'!$A:$E,3,FALSE))</f>
        <v>0</v>
      </c>
      <c r="I172" s="48" t="str">
        <f>IF(F172="", " ",IF(ISNA(VLOOKUP(D172,'[2]stock-take'!$G:$K,4,FALSE)), "OUT OF STOCK", VLOOKUP(D172,'[2]stock-take'!$G:$K,4,FALSE)))</f>
        <v xml:space="preserve"> </v>
      </c>
      <c r="J172" s="39">
        <f>IF(ISNA(VLOOKUP(D172,'[2]stock-take'!$G:$K,3,FALSE)), 0, VLOOKUP(D172,'[2]stock-take'!$G:$K,3,FALSE))</f>
        <v>0</v>
      </c>
      <c r="K172" s="49" t="str">
        <f>IF(F172="", " ", IF(ISNA(VLOOKUP(D172,'[2]stock-take'!$M:$Q,4,FALSE)), "OUT OF STOCK", VLOOKUP(D172,'[2]stock-take'!$M:$Q,4,FALSE)))</f>
        <v xml:space="preserve"> </v>
      </c>
      <c r="L172" s="47">
        <f>IF(ISNA(VLOOKUP(D172,'[2]stock-take'!$M:$Q,3,FALSE)), 0, VLOOKUP(D172,'[2]stock-take'!$M:$Q,3,FALSE))</f>
        <v>0</v>
      </c>
      <c r="M172" s="48" t="str">
        <f t="shared" si="7"/>
        <v xml:space="preserve"> </v>
      </c>
      <c r="N172" s="39" t="str">
        <f t="shared" si="8"/>
        <v xml:space="preserve"> </v>
      </c>
    </row>
    <row r="173" spans="1:14">
      <c r="A173" s="37">
        <f t="shared" si="6"/>
        <v>162</v>
      </c>
      <c r="D173" s="24"/>
      <c r="G173" s="48" t="str">
        <f>IF(F173=""," ",IF(ISNA(VLOOKUP(D173,'[2]stock-take'!$A:$E,4,FALSE)), "OUT OF STOCK", VLOOKUP(D173,'[2]stock-take'!$A:$E,4,FALSE)))</f>
        <v xml:space="preserve"> </v>
      </c>
      <c r="H173" s="48">
        <f>IF(ISNA(VLOOKUP(D173,'[2]stock-take'!$A:$E,3,FALSE)), 0, VLOOKUP(D173,'[2]stock-take'!$A:$E,3,FALSE))</f>
        <v>0</v>
      </c>
      <c r="I173" s="48" t="str">
        <f>IF(F173="", " ",IF(ISNA(VLOOKUP(D173,'[2]stock-take'!$G:$K,4,FALSE)), "OUT OF STOCK", VLOOKUP(D173,'[2]stock-take'!$G:$K,4,FALSE)))</f>
        <v xml:space="preserve"> </v>
      </c>
      <c r="J173" s="39">
        <f>IF(ISNA(VLOOKUP(D173,'[2]stock-take'!$G:$K,3,FALSE)), 0, VLOOKUP(D173,'[2]stock-take'!$G:$K,3,FALSE))</f>
        <v>0</v>
      </c>
      <c r="K173" s="49" t="str">
        <f>IF(F173="", " ", IF(ISNA(VLOOKUP(D173,'[2]stock-take'!$M:$Q,4,FALSE)), "OUT OF STOCK", VLOOKUP(D173,'[2]stock-take'!$M:$Q,4,FALSE)))</f>
        <v xml:space="preserve"> </v>
      </c>
      <c r="L173" s="47">
        <f>IF(ISNA(VLOOKUP(D173,'[2]stock-take'!$M:$Q,3,FALSE)), 0, VLOOKUP(D173,'[2]stock-take'!$M:$Q,3,FALSE))</f>
        <v>0</v>
      </c>
      <c r="M173" s="48" t="str">
        <f t="shared" si="7"/>
        <v xml:space="preserve"> </v>
      </c>
      <c r="N173" s="39" t="str">
        <f t="shared" si="8"/>
        <v xml:space="preserve"> </v>
      </c>
    </row>
    <row r="174" spans="1:14">
      <c r="A174" s="37">
        <f t="shared" si="6"/>
        <v>163</v>
      </c>
      <c r="D174" s="24"/>
      <c r="G174" s="48" t="str">
        <f>IF(F174=""," ",IF(ISNA(VLOOKUP(D174,'[2]stock-take'!$A:$E,4,FALSE)), "OUT OF STOCK", VLOOKUP(D174,'[2]stock-take'!$A:$E,4,FALSE)))</f>
        <v xml:space="preserve"> </v>
      </c>
      <c r="H174" s="48">
        <f>IF(ISNA(VLOOKUP(D174,'[2]stock-take'!$A:$E,3,FALSE)), 0, VLOOKUP(D174,'[2]stock-take'!$A:$E,3,FALSE))</f>
        <v>0</v>
      </c>
      <c r="I174" s="48" t="str">
        <f>IF(F174="", " ",IF(ISNA(VLOOKUP(D174,'[2]stock-take'!$G:$K,4,FALSE)), "OUT OF STOCK", VLOOKUP(D174,'[2]stock-take'!$G:$K,4,FALSE)))</f>
        <v xml:space="preserve"> </v>
      </c>
      <c r="J174" s="39">
        <f>IF(ISNA(VLOOKUP(D174,'[2]stock-take'!$G:$K,3,FALSE)), 0, VLOOKUP(D174,'[2]stock-take'!$G:$K,3,FALSE))</f>
        <v>0</v>
      </c>
      <c r="K174" s="49" t="str">
        <f>IF(F174="", " ", IF(ISNA(VLOOKUP(D174,'[2]stock-take'!$M:$Q,4,FALSE)), "OUT OF STOCK", VLOOKUP(D174,'[2]stock-take'!$M:$Q,4,FALSE)))</f>
        <v xml:space="preserve"> </v>
      </c>
      <c r="L174" s="47">
        <f>IF(ISNA(VLOOKUP(D174,'[2]stock-take'!$M:$Q,3,FALSE)), 0, VLOOKUP(D174,'[2]stock-take'!$M:$Q,3,FALSE))</f>
        <v>0</v>
      </c>
      <c r="M174" s="48" t="str">
        <f t="shared" si="7"/>
        <v xml:space="preserve"> </v>
      </c>
      <c r="N174" s="39" t="str">
        <f t="shared" si="8"/>
        <v xml:space="preserve"> </v>
      </c>
    </row>
    <row r="175" spans="1:14">
      <c r="A175" s="37">
        <f t="shared" si="6"/>
        <v>164</v>
      </c>
      <c r="D175" s="24"/>
      <c r="G175" s="48" t="str">
        <f>IF(F175=""," ",IF(ISNA(VLOOKUP(D175,'[2]stock-take'!$A:$E,4,FALSE)), "OUT OF STOCK", VLOOKUP(D175,'[2]stock-take'!$A:$E,4,FALSE)))</f>
        <v xml:space="preserve"> </v>
      </c>
      <c r="H175" s="48">
        <f>IF(ISNA(VLOOKUP(D175,'[2]stock-take'!$A:$E,3,FALSE)), 0, VLOOKUP(D175,'[2]stock-take'!$A:$E,3,FALSE))</f>
        <v>0</v>
      </c>
      <c r="I175" s="48" t="str">
        <f>IF(F175="", " ",IF(ISNA(VLOOKUP(D175,'[2]stock-take'!$G:$K,4,FALSE)), "OUT OF STOCK", VLOOKUP(D175,'[2]stock-take'!$G:$K,4,FALSE)))</f>
        <v xml:space="preserve"> </v>
      </c>
      <c r="J175" s="39">
        <f>IF(ISNA(VLOOKUP(D175,'[2]stock-take'!$G:$K,3,FALSE)), 0, VLOOKUP(D175,'[2]stock-take'!$G:$K,3,FALSE))</f>
        <v>0</v>
      </c>
      <c r="K175" s="49" t="str">
        <f>IF(F175="", " ", IF(ISNA(VLOOKUP(D175,'[2]stock-take'!$M:$Q,4,FALSE)), "OUT OF STOCK", VLOOKUP(D175,'[2]stock-take'!$M:$Q,4,FALSE)))</f>
        <v xml:space="preserve"> </v>
      </c>
      <c r="L175" s="47">
        <f>IF(ISNA(VLOOKUP(D175,'[2]stock-take'!$M:$Q,3,FALSE)), 0, VLOOKUP(D175,'[2]stock-take'!$M:$Q,3,FALSE))</f>
        <v>0</v>
      </c>
      <c r="M175" s="48" t="str">
        <f t="shared" si="7"/>
        <v xml:space="preserve"> </v>
      </c>
      <c r="N175" s="39" t="str">
        <f t="shared" si="8"/>
        <v xml:space="preserve"> </v>
      </c>
    </row>
    <row r="176" spans="1:14">
      <c r="A176" s="37">
        <f t="shared" si="6"/>
        <v>165</v>
      </c>
      <c r="D176" s="24"/>
      <c r="G176" s="48" t="str">
        <f>IF(F176=""," ",IF(ISNA(VLOOKUP(D176,'[2]stock-take'!$A:$E,4,FALSE)), "OUT OF STOCK", VLOOKUP(D176,'[2]stock-take'!$A:$E,4,FALSE)))</f>
        <v xml:space="preserve"> </v>
      </c>
      <c r="H176" s="48">
        <f>IF(ISNA(VLOOKUP(D176,'[2]stock-take'!$A:$E,3,FALSE)), 0, VLOOKUP(D176,'[2]stock-take'!$A:$E,3,FALSE))</f>
        <v>0</v>
      </c>
      <c r="I176" s="48" t="str">
        <f>IF(F176="", " ",IF(ISNA(VLOOKUP(D176,'[2]stock-take'!$G:$K,4,FALSE)), "OUT OF STOCK", VLOOKUP(D176,'[2]stock-take'!$G:$K,4,FALSE)))</f>
        <v xml:space="preserve"> </v>
      </c>
      <c r="J176" s="39">
        <f>IF(ISNA(VLOOKUP(D176,'[2]stock-take'!$G:$K,3,FALSE)), 0, VLOOKUP(D176,'[2]stock-take'!$G:$K,3,FALSE))</f>
        <v>0</v>
      </c>
      <c r="K176" s="49" t="str">
        <f>IF(F176="", " ", IF(ISNA(VLOOKUP(D176,'[2]stock-take'!$M:$Q,4,FALSE)), "OUT OF STOCK", VLOOKUP(D176,'[2]stock-take'!$M:$Q,4,FALSE)))</f>
        <v xml:space="preserve"> </v>
      </c>
      <c r="L176" s="47">
        <f>IF(ISNA(VLOOKUP(D176,'[2]stock-take'!$M:$Q,3,FALSE)), 0, VLOOKUP(D176,'[2]stock-take'!$M:$Q,3,FALSE))</f>
        <v>0</v>
      </c>
      <c r="M176" s="48" t="str">
        <f t="shared" si="7"/>
        <v xml:space="preserve"> </v>
      </c>
      <c r="N176" s="39" t="str">
        <f t="shared" si="8"/>
        <v xml:space="preserve"> </v>
      </c>
    </row>
    <row r="177" spans="1:14">
      <c r="A177" s="37">
        <f t="shared" si="6"/>
        <v>166</v>
      </c>
      <c r="D177" s="24"/>
      <c r="G177" s="48" t="str">
        <f>IF(F177=""," ",IF(ISNA(VLOOKUP(D177,'[2]stock-take'!$A:$E,4,FALSE)), "OUT OF STOCK", VLOOKUP(D177,'[2]stock-take'!$A:$E,4,FALSE)))</f>
        <v xml:space="preserve"> </v>
      </c>
      <c r="H177" s="48">
        <f>IF(ISNA(VLOOKUP(D177,'[2]stock-take'!$A:$E,3,FALSE)), 0, VLOOKUP(D177,'[2]stock-take'!$A:$E,3,FALSE))</f>
        <v>0</v>
      </c>
      <c r="I177" s="48" t="str">
        <f>IF(F177="", " ",IF(ISNA(VLOOKUP(D177,'[2]stock-take'!$G:$K,4,FALSE)), "OUT OF STOCK", VLOOKUP(D177,'[2]stock-take'!$G:$K,4,FALSE)))</f>
        <v xml:space="preserve"> </v>
      </c>
      <c r="J177" s="39">
        <f>IF(ISNA(VLOOKUP(D177,'[2]stock-take'!$G:$K,3,FALSE)), 0, VLOOKUP(D177,'[2]stock-take'!$G:$K,3,FALSE))</f>
        <v>0</v>
      </c>
      <c r="K177" s="49" t="str">
        <f>IF(F177="", " ", IF(ISNA(VLOOKUP(D177,'[2]stock-take'!$M:$Q,4,FALSE)), "OUT OF STOCK", VLOOKUP(D177,'[2]stock-take'!$M:$Q,4,FALSE)))</f>
        <v xml:space="preserve"> </v>
      </c>
      <c r="L177" s="47">
        <f>IF(ISNA(VLOOKUP(D177,'[2]stock-take'!$M:$Q,3,FALSE)), 0, VLOOKUP(D177,'[2]stock-take'!$M:$Q,3,FALSE))</f>
        <v>0</v>
      </c>
      <c r="M177" s="48" t="str">
        <f t="shared" si="7"/>
        <v xml:space="preserve"> </v>
      </c>
      <c r="N177" s="39" t="str">
        <f t="shared" si="8"/>
        <v xml:space="preserve"> </v>
      </c>
    </row>
    <row r="178" spans="1:14">
      <c r="A178" s="37">
        <f t="shared" si="6"/>
        <v>167</v>
      </c>
      <c r="D178" s="24"/>
      <c r="G178" s="48" t="str">
        <f>IF(F178=""," ",IF(ISNA(VLOOKUP(D178,'[2]stock-take'!$A:$E,4,FALSE)), "OUT OF STOCK", VLOOKUP(D178,'[2]stock-take'!$A:$E,4,FALSE)))</f>
        <v xml:space="preserve"> </v>
      </c>
      <c r="H178" s="48">
        <f>IF(ISNA(VLOOKUP(D178,'[2]stock-take'!$A:$E,3,FALSE)), 0, VLOOKUP(D178,'[2]stock-take'!$A:$E,3,FALSE))</f>
        <v>0</v>
      </c>
      <c r="I178" s="48" t="str">
        <f>IF(F178="", " ",IF(ISNA(VLOOKUP(D178,'[2]stock-take'!$G:$K,4,FALSE)), "OUT OF STOCK", VLOOKUP(D178,'[2]stock-take'!$G:$K,4,FALSE)))</f>
        <v xml:space="preserve"> </v>
      </c>
      <c r="J178" s="39">
        <f>IF(ISNA(VLOOKUP(D178,'[2]stock-take'!$G:$K,3,FALSE)), 0, VLOOKUP(D178,'[2]stock-take'!$G:$K,3,FALSE))</f>
        <v>0</v>
      </c>
      <c r="K178" s="49" t="str">
        <f>IF(F178="", " ", IF(ISNA(VLOOKUP(D178,'[2]stock-take'!$M:$Q,4,FALSE)), "OUT OF STOCK", VLOOKUP(D178,'[2]stock-take'!$M:$Q,4,FALSE)))</f>
        <v xml:space="preserve"> </v>
      </c>
      <c r="L178" s="47">
        <f>IF(ISNA(VLOOKUP(D178,'[2]stock-take'!$M:$Q,3,FALSE)), 0, VLOOKUP(D178,'[2]stock-take'!$M:$Q,3,FALSE))</f>
        <v>0</v>
      </c>
      <c r="M178" s="48" t="str">
        <f t="shared" si="7"/>
        <v xml:space="preserve"> </v>
      </c>
      <c r="N178" s="39" t="str">
        <f t="shared" si="8"/>
        <v xml:space="preserve"> </v>
      </c>
    </row>
    <row r="179" spans="1:14">
      <c r="A179" s="37">
        <f t="shared" si="6"/>
        <v>168</v>
      </c>
      <c r="D179" s="24"/>
      <c r="G179" s="48" t="str">
        <f>IF(F179=""," ",IF(ISNA(VLOOKUP(D179,'[2]stock-take'!$A:$E,4,FALSE)), "OUT OF STOCK", VLOOKUP(D179,'[2]stock-take'!$A:$E,4,FALSE)))</f>
        <v xml:space="preserve"> </v>
      </c>
      <c r="H179" s="48">
        <f>IF(ISNA(VLOOKUP(D179,'[2]stock-take'!$A:$E,3,FALSE)), 0, VLOOKUP(D179,'[2]stock-take'!$A:$E,3,FALSE))</f>
        <v>0</v>
      </c>
      <c r="I179" s="48" t="str">
        <f>IF(F179="", " ",IF(ISNA(VLOOKUP(D179,'[2]stock-take'!$G:$K,4,FALSE)), "OUT OF STOCK", VLOOKUP(D179,'[2]stock-take'!$G:$K,4,FALSE)))</f>
        <v xml:space="preserve"> </v>
      </c>
      <c r="J179" s="39">
        <f>IF(ISNA(VLOOKUP(D179,'[2]stock-take'!$G:$K,3,FALSE)), 0, VLOOKUP(D179,'[2]stock-take'!$G:$K,3,FALSE))</f>
        <v>0</v>
      </c>
      <c r="K179" s="49" t="str">
        <f>IF(F179="", " ", IF(ISNA(VLOOKUP(D179,'[2]stock-take'!$M:$Q,4,FALSE)), "OUT OF STOCK", VLOOKUP(D179,'[2]stock-take'!$M:$Q,4,FALSE)))</f>
        <v xml:space="preserve"> </v>
      </c>
      <c r="L179" s="47">
        <f>IF(ISNA(VLOOKUP(D179,'[2]stock-take'!$M:$Q,3,FALSE)), 0, VLOOKUP(D179,'[2]stock-take'!$M:$Q,3,FALSE))</f>
        <v>0</v>
      </c>
      <c r="M179" s="48" t="str">
        <f t="shared" si="7"/>
        <v xml:space="preserve"> </v>
      </c>
      <c r="N179" s="39" t="str">
        <f t="shared" si="8"/>
        <v xml:space="preserve"> </v>
      </c>
    </row>
    <row r="180" spans="1:14">
      <c r="A180" s="37">
        <f t="shared" si="6"/>
        <v>169</v>
      </c>
      <c r="D180" s="24"/>
      <c r="G180" s="48" t="str">
        <f>IF(F180=""," ",IF(ISNA(VLOOKUP(D180,'[2]stock-take'!$A:$E,4,FALSE)), "OUT OF STOCK", VLOOKUP(D180,'[2]stock-take'!$A:$E,4,FALSE)))</f>
        <v xml:space="preserve"> </v>
      </c>
      <c r="H180" s="48">
        <f>IF(ISNA(VLOOKUP(D180,'[2]stock-take'!$A:$E,3,FALSE)), 0, VLOOKUP(D180,'[2]stock-take'!$A:$E,3,FALSE))</f>
        <v>0</v>
      </c>
      <c r="I180" s="48" t="str">
        <f>IF(F180="", " ",IF(ISNA(VLOOKUP(D180,'[2]stock-take'!$G:$K,4,FALSE)), "OUT OF STOCK", VLOOKUP(D180,'[2]stock-take'!$G:$K,4,FALSE)))</f>
        <v xml:space="preserve"> </v>
      </c>
      <c r="J180" s="39">
        <f>IF(ISNA(VLOOKUP(D180,'[2]stock-take'!$G:$K,3,FALSE)), 0, VLOOKUP(D180,'[2]stock-take'!$G:$K,3,FALSE))</f>
        <v>0</v>
      </c>
      <c r="K180" s="49" t="str">
        <f>IF(F180="", " ", IF(ISNA(VLOOKUP(D180,'[2]stock-take'!$M:$Q,4,FALSE)), "OUT OF STOCK", VLOOKUP(D180,'[2]stock-take'!$M:$Q,4,FALSE)))</f>
        <v xml:space="preserve"> </v>
      </c>
      <c r="L180" s="47">
        <f>IF(ISNA(VLOOKUP(D180,'[2]stock-take'!$M:$Q,3,FALSE)), 0, VLOOKUP(D180,'[2]stock-take'!$M:$Q,3,FALSE))</f>
        <v>0</v>
      </c>
      <c r="M180" s="48" t="str">
        <f t="shared" si="7"/>
        <v xml:space="preserve"> </v>
      </c>
      <c r="N180" s="39" t="str">
        <f t="shared" si="8"/>
        <v xml:space="preserve"> </v>
      </c>
    </row>
    <row r="181" spans="1:14">
      <c r="A181" s="37">
        <f t="shared" si="6"/>
        <v>170</v>
      </c>
      <c r="D181" s="24"/>
      <c r="G181" s="48" t="str">
        <f>IF(F181=""," ",IF(ISNA(VLOOKUP(D181,'[2]stock-take'!$A:$E,4,FALSE)), "OUT OF STOCK", VLOOKUP(D181,'[2]stock-take'!$A:$E,4,FALSE)))</f>
        <v xml:space="preserve"> </v>
      </c>
      <c r="H181" s="48">
        <f>IF(ISNA(VLOOKUP(D181,'[2]stock-take'!$A:$E,3,FALSE)), 0, VLOOKUP(D181,'[2]stock-take'!$A:$E,3,FALSE))</f>
        <v>0</v>
      </c>
      <c r="I181" s="48" t="str">
        <f>IF(F181="", " ",IF(ISNA(VLOOKUP(D181,'[2]stock-take'!$G:$K,4,FALSE)), "OUT OF STOCK", VLOOKUP(D181,'[2]stock-take'!$G:$K,4,FALSE)))</f>
        <v xml:space="preserve"> </v>
      </c>
      <c r="J181" s="39">
        <f>IF(ISNA(VLOOKUP(D181,'[2]stock-take'!$G:$K,3,FALSE)), 0, VLOOKUP(D181,'[2]stock-take'!$G:$K,3,FALSE))</f>
        <v>0</v>
      </c>
      <c r="K181" s="49" t="str">
        <f>IF(F181="", " ", IF(ISNA(VLOOKUP(D181,'[2]stock-take'!$M:$Q,4,FALSE)), "OUT OF STOCK", VLOOKUP(D181,'[2]stock-take'!$M:$Q,4,FALSE)))</f>
        <v xml:space="preserve"> </v>
      </c>
      <c r="L181" s="47">
        <f>IF(ISNA(VLOOKUP(D181,'[2]stock-take'!$M:$Q,3,FALSE)), 0, VLOOKUP(D181,'[2]stock-take'!$M:$Q,3,FALSE))</f>
        <v>0</v>
      </c>
      <c r="M181" s="48" t="str">
        <f t="shared" si="7"/>
        <v xml:space="preserve"> </v>
      </c>
      <c r="N181" s="39" t="str">
        <f t="shared" si="8"/>
        <v xml:space="preserve"> </v>
      </c>
    </row>
    <row r="182" spans="1:14">
      <c r="A182" s="37">
        <f t="shared" si="6"/>
        <v>171</v>
      </c>
      <c r="D182" s="24"/>
      <c r="G182" s="48" t="str">
        <f>IF(F182=""," ",IF(ISNA(VLOOKUP(D182,'[2]stock-take'!$A:$E,4,FALSE)), "OUT OF STOCK", VLOOKUP(D182,'[2]stock-take'!$A:$E,4,FALSE)))</f>
        <v xml:space="preserve"> </v>
      </c>
      <c r="H182" s="48">
        <f>IF(ISNA(VLOOKUP(D182,'[2]stock-take'!$A:$E,3,FALSE)), 0, VLOOKUP(D182,'[2]stock-take'!$A:$E,3,FALSE))</f>
        <v>0</v>
      </c>
      <c r="I182" s="48" t="str">
        <f>IF(F182="", " ",IF(ISNA(VLOOKUP(D182,'[2]stock-take'!$G:$K,4,FALSE)), "OUT OF STOCK", VLOOKUP(D182,'[2]stock-take'!$G:$K,4,FALSE)))</f>
        <v xml:space="preserve"> </v>
      </c>
      <c r="J182" s="39">
        <f>IF(ISNA(VLOOKUP(D182,'[2]stock-take'!$G:$K,3,FALSE)), 0, VLOOKUP(D182,'[2]stock-take'!$G:$K,3,FALSE))</f>
        <v>0</v>
      </c>
      <c r="K182" s="49" t="str">
        <f>IF(F182="", " ", IF(ISNA(VLOOKUP(D182,'[2]stock-take'!$M:$Q,4,FALSE)), "OUT OF STOCK", VLOOKUP(D182,'[2]stock-take'!$M:$Q,4,FALSE)))</f>
        <v xml:space="preserve"> </v>
      </c>
      <c r="L182" s="47">
        <f>IF(ISNA(VLOOKUP(D182,'[2]stock-take'!$M:$Q,3,FALSE)), 0, VLOOKUP(D182,'[2]stock-take'!$M:$Q,3,FALSE))</f>
        <v>0</v>
      </c>
      <c r="M182" s="48" t="str">
        <f t="shared" si="7"/>
        <v xml:space="preserve"> </v>
      </c>
      <c r="N182" s="39" t="str">
        <f t="shared" si="8"/>
        <v xml:space="preserve"> </v>
      </c>
    </row>
    <row r="183" spans="1:14">
      <c r="A183" s="37">
        <f t="shared" si="6"/>
        <v>172</v>
      </c>
      <c r="D183" s="24"/>
      <c r="G183" s="48" t="str">
        <f>IF(F183=""," ",IF(ISNA(VLOOKUP(D183,'[2]stock-take'!$A:$E,4,FALSE)), "OUT OF STOCK", VLOOKUP(D183,'[2]stock-take'!$A:$E,4,FALSE)))</f>
        <v xml:space="preserve"> </v>
      </c>
      <c r="H183" s="48">
        <f>IF(ISNA(VLOOKUP(D183,'[2]stock-take'!$A:$E,3,FALSE)), 0, VLOOKUP(D183,'[2]stock-take'!$A:$E,3,FALSE))</f>
        <v>0</v>
      </c>
      <c r="I183" s="48" t="str">
        <f>IF(F183="", " ",IF(ISNA(VLOOKUP(D183,'[2]stock-take'!$G:$K,4,FALSE)), "OUT OF STOCK", VLOOKUP(D183,'[2]stock-take'!$G:$K,4,FALSE)))</f>
        <v xml:space="preserve"> </v>
      </c>
      <c r="J183" s="39">
        <f>IF(ISNA(VLOOKUP(D183,'[2]stock-take'!$G:$K,3,FALSE)), 0, VLOOKUP(D183,'[2]stock-take'!$G:$K,3,FALSE))</f>
        <v>0</v>
      </c>
      <c r="K183" s="49" t="str">
        <f>IF(F183="", " ", IF(ISNA(VLOOKUP(D183,'[2]stock-take'!$M:$Q,4,FALSE)), "OUT OF STOCK", VLOOKUP(D183,'[2]stock-take'!$M:$Q,4,FALSE)))</f>
        <v xml:space="preserve"> </v>
      </c>
      <c r="L183" s="47">
        <f>IF(ISNA(VLOOKUP(D183,'[2]stock-take'!$M:$Q,3,FALSE)), 0, VLOOKUP(D183,'[2]stock-take'!$M:$Q,3,FALSE))</f>
        <v>0</v>
      </c>
      <c r="M183" s="48" t="str">
        <f t="shared" si="7"/>
        <v xml:space="preserve"> </v>
      </c>
      <c r="N183" s="39" t="str">
        <f t="shared" si="8"/>
        <v xml:space="preserve"> </v>
      </c>
    </row>
    <row r="184" spans="1:14">
      <c r="A184" s="37">
        <f t="shared" si="6"/>
        <v>173</v>
      </c>
      <c r="D184" s="24"/>
      <c r="G184" s="48" t="str">
        <f>IF(F184=""," ",IF(ISNA(VLOOKUP(D184,'[2]stock-take'!$A:$E,4,FALSE)), "OUT OF STOCK", VLOOKUP(D184,'[2]stock-take'!$A:$E,4,FALSE)))</f>
        <v xml:space="preserve"> </v>
      </c>
      <c r="H184" s="48">
        <f>IF(ISNA(VLOOKUP(D184,'[2]stock-take'!$A:$E,3,FALSE)), 0, VLOOKUP(D184,'[2]stock-take'!$A:$E,3,FALSE))</f>
        <v>0</v>
      </c>
      <c r="I184" s="48" t="str">
        <f>IF(F184="", " ",IF(ISNA(VLOOKUP(D184,'[2]stock-take'!$G:$K,4,FALSE)), "OUT OF STOCK", VLOOKUP(D184,'[2]stock-take'!$G:$K,4,FALSE)))</f>
        <v xml:space="preserve"> </v>
      </c>
      <c r="J184" s="39">
        <f>IF(ISNA(VLOOKUP(D184,'[2]stock-take'!$G:$K,3,FALSE)), 0, VLOOKUP(D184,'[2]stock-take'!$G:$K,3,FALSE))</f>
        <v>0</v>
      </c>
      <c r="K184" s="49" t="str">
        <f>IF(F184="", " ", IF(ISNA(VLOOKUP(D184,'[2]stock-take'!$M:$Q,4,FALSE)), "OUT OF STOCK", VLOOKUP(D184,'[2]stock-take'!$M:$Q,4,FALSE)))</f>
        <v xml:space="preserve"> </v>
      </c>
      <c r="L184" s="47">
        <f>IF(ISNA(VLOOKUP(D184,'[2]stock-take'!$M:$Q,3,FALSE)), 0, VLOOKUP(D184,'[2]stock-take'!$M:$Q,3,FALSE))</f>
        <v>0</v>
      </c>
      <c r="M184" s="48" t="str">
        <f t="shared" si="7"/>
        <v xml:space="preserve"> </v>
      </c>
      <c r="N184" s="39" t="str">
        <f t="shared" si="8"/>
        <v xml:space="preserve"> </v>
      </c>
    </row>
    <row r="185" spans="1:14">
      <c r="A185" s="37">
        <f t="shared" si="6"/>
        <v>174</v>
      </c>
      <c r="D185" s="24"/>
      <c r="G185" s="48" t="str">
        <f>IF(F185=""," ",IF(ISNA(VLOOKUP(D185,'[2]stock-take'!$A:$E,4,FALSE)), "OUT OF STOCK", VLOOKUP(D185,'[2]stock-take'!$A:$E,4,FALSE)))</f>
        <v xml:space="preserve"> </v>
      </c>
      <c r="H185" s="48">
        <f>IF(ISNA(VLOOKUP(D185,'[2]stock-take'!$A:$E,3,FALSE)), 0, VLOOKUP(D185,'[2]stock-take'!$A:$E,3,FALSE))</f>
        <v>0</v>
      </c>
      <c r="I185" s="48" t="str">
        <f>IF(F185="", " ",IF(ISNA(VLOOKUP(D185,'[2]stock-take'!$G:$K,4,FALSE)), "OUT OF STOCK", VLOOKUP(D185,'[2]stock-take'!$G:$K,4,FALSE)))</f>
        <v xml:space="preserve"> </v>
      </c>
      <c r="J185" s="39">
        <f>IF(ISNA(VLOOKUP(D185,'[2]stock-take'!$G:$K,3,FALSE)), 0, VLOOKUP(D185,'[2]stock-take'!$G:$K,3,FALSE))</f>
        <v>0</v>
      </c>
      <c r="K185" s="49" t="str">
        <f>IF(F185="", " ", IF(ISNA(VLOOKUP(D185,'[2]stock-take'!$M:$Q,4,FALSE)), "OUT OF STOCK", VLOOKUP(D185,'[2]stock-take'!$M:$Q,4,FALSE)))</f>
        <v xml:space="preserve"> </v>
      </c>
      <c r="L185" s="47">
        <f>IF(ISNA(VLOOKUP(D185,'[2]stock-take'!$M:$Q,3,FALSE)), 0, VLOOKUP(D185,'[2]stock-take'!$M:$Q,3,FALSE))</f>
        <v>0</v>
      </c>
      <c r="M185" s="48" t="str">
        <f t="shared" si="7"/>
        <v xml:space="preserve"> </v>
      </c>
      <c r="N185" s="39" t="str">
        <f t="shared" si="8"/>
        <v xml:space="preserve"> </v>
      </c>
    </row>
    <row r="186" spans="1:14">
      <c r="A186" s="37">
        <f t="shared" si="6"/>
        <v>175</v>
      </c>
      <c r="D186" s="24"/>
      <c r="G186" s="48" t="str">
        <f>IF(F186=""," ",IF(ISNA(VLOOKUP(D186,'[2]stock-take'!$A:$E,4,FALSE)), "OUT OF STOCK", VLOOKUP(D186,'[2]stock-take'!$A:$E,4,FALSE)))</f>
        <v xml:space="preserve"> </v>
      </c>
      <c r="H186" s="48">
        <f>IF(ISNA(VLOOKUP(D186,'[2]stock-take'!$A:$E,3,FALSE)), 0, VLOOKUP(D186,'[2]stock-take'!$A:$E,3,FALSE))</f>
        <v>0</v>
      </c>
      <c r="I186" s="48" t="str">
        <f>IF(F186="", " ",IF(ISNA(VLOOKUP(D186,'[2]stock-take'!$G:$K,4,FALSE)), "OUT OF STOCK", VLOOKUP(D186,'[2]stock-take'!$G:$K,4,FALSE)))</f>
        <v xml:space="preserve"> </v>
      </c>
      <c r="J186" s="39">
        <f>IF(ISNA(VLOOKUP(D186,'[2]stock-take'!$G:$K,3,FALSE)), 0, VLOOKUP(D186,'[2]stock-take'!$G:$K,3,FALSE))</f>
        <v>0</v>
      </c>
      <c r="K186" s="49" t="str">
        <f>IF(F186="", " ", IF(ISNA(VLOOKUP(D186,'[2]stock-take'!$M:$Q,4,FALSE)), "OUT OF STOCK", VLOOKUP(D186,'[2]stock-take'!$M:$Q,4,FALSE)))</f>
        <v xml:space="preserve"> </v>
      </c>
      <c r="L186" s="47">
        <f>IF(ISNA(VLOOKUP(D186,'[2]stock-take'!$M:$Q,3,FALSE)), 0, VLOOKUP(D186,'[2]stock-take'!$M:$Q,3,FALSE))</f>
        <v>0</v>
      </c>
      <c r="M186" s="48" t="str">
        <f t="shared" si="7"/>
        <v xml:space="preserve"> </v>
      </c>
      <c r="N186" s="39" t="str">
        <f t="shared" si="8"/>
        <v xml:space="preserve"> </v>
      </c>
    </row>
    <row r="187" spans="1:14">
      <c r="A187" s="37">
        <f t="shared" si="6"/>
        <v>176</v>
      </c>
      <c r="D187" s="24"/>
      <c r="G187" s="48" t="str">
        <f>IF(F187=""," ",IF(ISNA(VLOOKUP(D187,'[2]stock-take'!$A:$E,4,FALSE)), "OUT OF STOCK", VLOOKUP(D187,'[2]stock-take'!$A:$E,4,FALSE)))</f>
        <v xml:space="preserve"> </v>
      </c>
      <c r="H187" s="48">
        <f>IF(ISNA(VLOOKUP(D187,'[2]stock-take'!$A:$E,3,FALSE)), 0, VLOOKUP(D187,'[2]stock-take'!$A:$E,3,FALSE))</f>
        <v>0</v>
      </c>
      <c r="I187" s="48" t="str">
        <f>IF(F187="", " ",IF(ISNA(VLOOKUP(D187,'[2]stock-take'!$G:$K,4,FALSE)), "OUT OF STOCK", VLOOKUP(D187,'[2]stock-take'!$G:$K,4,FALSE)))</f>
        <v xml:space="preserve"> </v>
      </c>
      <c r="J187" s="39">
        <f>IF(ISNA(VLOOKUP(D187,'[2]stock-take'!$G:$K,3,FALSE)), 0, VLOOKUP(D187,'[2]stock-take'!$G:$K,3,FALSE))</f>
        <v>0</v>
      </c>
      <c r="K187" s="49" t="str">
        <f>IF(F187="", " ", IF(ISNA(VLOOKUP(D187,'[2]stock-take'!$M:$Q,4,FALSE)), "OUT OF STOCK", VLOOKUP(D187,'[2]stock-take'!$M:$Q,4,FALSE)))</f>
        <v xml:space="preserve"> </v>
      </c>
      <c r="L187" s="47">
        <f>IF(ISNA(VLOOKUP(D187,'[2]stock-take'!$M:$Q,3,FALSE)), 0, VLOOKUP(D187,'[2]stock-take'!$M:$Q,3,FALSE))</f>
        <v>0</v>
      </c>
      <c r="M187" s="48" t="str">
        <f t="shared" si="7"/>
        <v xml:space="preserve"> </v>
      </c>
      <c r="N187" s="39" t="str">
        <f t="shared" si="8"/>
        <v xml:space="preserve"> </v>
      </c>
    </row>
    <row r="188" spans="1:14">
      <c r="A188" s="37">
        <f t="shared" si="6"/>
        <v>177</v>
      </c>
      <c r="D188" s="24"/>
      <c r="G188" s="48" t="str">
        <f>IF(F188=""," ",IF(ISNA(VLOOKUP(D188,'[2]stock-take'!$A:$E,4,FALSE)), "OUT OF STOCK", VLOOKUP(D188,'[2]stock-take'!$A:$E,4,FALSE)))</f>
        <v xml:space="preserve"> </v>
      </c>
      <c r="H188" s="48">
        <f>IF(ISNA(VLOOKUP(D188,'[2]stock-take'!$A:$E,3,FALSE)), 0, VLOOKUP(D188,'[2]stock-take'!$A:$E,3,FALSE))</f>
        <v>0</v>
      </c>
      <c r="I188" s="48" t="str">
        <f>IF(F188="", " ",IF(ISNA(VLOOKUP(D188,'[2]stock-take'!$G:$K,4,FALSE)), "OUT OF STOCK", VLOOKUP(D188,'[2]stock-take'!$G:$K,4,FALSE)))</f>
        <v xml:space="preserve"> </v>
      </c>
      <c r="J188" s="39">
        <f>IF(ISNA(VLOOKUP(D188,'[2]stock-take'!$G:$K,3,FALSE)), 0, VLOOKUP(D188,'[2]stock-take'!$G:$K,3,FALSE))</f>
        <v>0</v>
      </c>
      <c r="K188" s="49" t="str">
        <f>IF(F188="", " ", IF(ISNA(VLOOKUP(D188,'[2]stock-take'!$M:$Q,4,FALSE)), "OUT OF STOCK", VLOOKUP(D188,'[2]stock-take'!$M:$Q,4,FALSE)))</f>
        <v xml:space="preserve"> </v>
      </c>
      <c r="L188" s="47">
        <f>IF(ISNA(VLOOKUP(D188,'[2]stock-take'!$M:$Q,3,FALSE)), 0, VLOOKUP(D188,'[2]stock-take'!$M:$Q,3,FALSE))</f>
        <v>0</v>
      </c>
      <c r="M188" s="48" t="str">
        <f t="shared" si="7"/>
        <v xml:space="preserve"> </v>
      </c>
      <c r="N188" s="39" t="str">
        <f t="shared" si="8"/>
        <v xml:space="preserve"> </v>
      </c>
    </row>
    <row r="189" spans="1:14">
      <c r="A189" s="37">
        <f t="shared" si="6"/>
        <v>178</v>
      </c>
      <c r="D189" s="24"/>
      <c r="G189" s="48" t="str">
        <f>IF(F189=""," ",IF(ISNA(VLOOKUP(D189,'[2]stock-take'!$A:$E,4,FALSE)), "OUT OF STOCK", VLOOKUP(D189,'[2]stock-take'!$A:$E,4,FALSE)))</f>
        <v xml:space="preserve"> </v>
      </c>
      <c r="H189" s="48">
        <f>IF(ISNA(VLOOKUP(D189,'[2]stock-take'!$A:$E,3,FALSE)), 0, VLOOKUP(D189,'[2]stock-take'!$A:$E,3,FALSE))</f>
        <v>0</v>
      </c>
      <c r="I189" s="48" t="str">
        <f>IF(F189="", " ",IF(ISNA(VLOOKUP(D189,'[2]stock-take'!$G:$K,4,FALSE)), "OUT OF STOCK", VLOOKUP(D189,'[2]stock-take'!$G:$K,4,FALSE)))</f>
        <v xml:space="preserve"> </v>
      </c>
      <c r="J189" s="39">
        <f>IF(ISNA(VLOOKUP(D189,'[2]stock-take'!$G:$K,3,FALSE)), 0, VLOOKUP(D189,'[2]stock-take'!$G:$K,3,FALSE))</f>
        <v>0</v>
      </c>
      <c r="K189" s="49" t="str">
        <f>IF(F189="", " ", IF(ISNA(VLOOKUP(D189,'[2]stock-take'!$M:$Q,4,FALSE)), "OUT OF STOCK", VLOOKUP(D189,'[2]stock-take'!$M:$Q,4,FALSE)))</f>
        <v xml:space="preserve"> </v>
      </c>
      <c r="L189" s="47">
        <f>IF(ISNA(VLOOKUP(D189,'[2]stock-take'!$M:$Q,3,FALSE)), 0, VLOOKUP(D189,'[2]stock-take'!$M:$Q,3,FALSE))</f>
        <v>0</v>
      </c>
      <c r="M189" s="48" t="str">
        <f t="shared" si="7"/>
        <v xml:space="preserve"> </v>
      </c>
      <c r="N189" s="39" t="str">
        <f t="shared" si="8"/>
        <v xml:space="preserve"> </v>
      </c>
    </row>
    <row r="190" spans="1:14">
      <c r="A190" s="37">
        <f t="shared" si="6"/>
        <v>179</v>
      </c>
      <c r="D190" s="24"/>
      <c r="G190" s="48" t="str">
        <f>IF(F190=""," ",IF(ISNA(VLOOKUP(D190,'[2]stock-take'!$A:$E,4,FALSE)), "OUT OF STOCK", VLOOKUP(D190,'[2]stock-take'!$A:$E,4,FALSE)))</f>
        <v xml:space="preserve"> </v>
      </c>
      <c r="H190" s="48">
        <f>IF(ISNA(VLOOKUP(D190,'[2]stock-take'!$A:$E,3,FALSE)), 0, VLOOKUP(D190,'[2]stock-take'!$A:$E,3,FALSE))</f>
        <v>0</v>
      </c>
      <c r="I190" s="48" t="str">
        <f>IF(F190="", " ",IF(ISNA(VLOOKUP(D190,'[2]stock-take'!$G:$K,4,FALSE)), "OUT OF STOCK", VLOOKUP(D190,'[2]stock-take'!$G:$K,4,FALSE)))</f>
        <v xml:space="preserve"> </v>
      </c>
      <c r="J190" s="39">
        <f>IF(ISNA(VLOOKUP(D190,'[2]stock-take'!$G:$K,3,FALSE)), 0, VLOOKUP(D190,'[2]stock-take'!$G:$K,3,FALSE))</f>
        <v>0</v>
      </c>
      <c r="K190" s="49" t="str">
        <f>IF(F190="", " ", IF(ISNA(VLOOKUP(D190,'[2]stock-take'!$M:$Q,4,FALSE)), "OUT OF STOCK", VLOOKUP(D190,'[2]stock-take'!$M:$Q,4,FALSE)))</f>
        <v xml:space="preserve"> </v>
      </c>
      <c r="L190" s="47">
        <f>IF(ISNA(VLOOKUP(D190,'[2]stock-take'!$M:$Q,3,FALSE)), 0, VLOOKUP(D190,'[2]stock-take'!$M:$Q,3,FALSE))</f>
        <v>0</v>
      </c>
      <c r="M190" s="48" t="str">
        <f t="shared" si="7"/>
        <v xml:space="preserve"> </v>
      </c>
      <c r="N190" s="39" t="str">
        <f t="shared" si="8"/>
        <v xml:space="preserve"> </v>
      </c>
    </row>
    <row r="191" spans="1:14">
      <c r="A191" s="37">
        <f t="shared" si="6"/>
        <v>180</v>
      </c>
      <c r="D191" s="24"/>
      <c r="G191" s="48" t="str">
        <f>IF(F191=""," ",IF(ISNA(VLOOKUP(D191,'[2]stock-take'!$A:$E,4,FALSE)), "OUT OF STOCK", VLOOKUP(D191,'[2]stock-take'!$A:$E,4,FALSE)))</f>
        <v xml:space="preserve"> </v>
      </c>
      <c r="H191" s="48">
        <f>IF(ISNA(VLOOKUP(D191,'[2]stock-take'!$A:$E,3,FALSE)), 0, VLOOKUP(D191,'[2]stock-take'!$A:$E,3,FALSE))</f>
        <v>0</v>
      </c>
      <c r="I191" s="48" t="str">
        <f>IF(F191="", " ",IF(ISNA(VLOOKUP(D191,'[2]stock-take'!$G:$K,4,FALSE)), "OUT OF STOCK", VLOOKUP(D191,'[2]stock-take'!$G:$K,4,FALSE)))</f>
        <v xml:space="preserve"> </v>
      </c>
      <c r="J191" s="39">
        <f>IF(ISNA(VLOOKUP(D191,'[2]stock-take'!$G:$K,3,FALSE)), 0, VLOOKUP(D191,'[2]stock-take'!$G:$K,3,FALSE))</f>
        <v>0</v>
      </c>
      <c r="K191" s="49" t="str">
        <f>IF(F191="", " ", IF(ISNA(VLOOKUP(D191,'[2]stock-take'!$M:$Q,4,FALSE)), "OUT OF STOCK", VLOOKUP(D191,'[2]stock-take'!$M:$Q,4,FALSE)))</f>
        <v xml:space="preserve"> </v>
      </c>
      <c r="L191" s="47">
        <f>IF(ISNA(VLOOKUP(D191,'[2]stock-take'!$M:$Q,3,FALSE)), 0, VLOOKUP(D191,'[2]stock-take'!$M:$Q,3,FALSE))</f>
        <v>0</v>
      </c>
      <c r="M191" s="48" t="str">
        <f t="shared" si="7"/>
        <v xml:space="preserve"> </v>
      </c>
      <c r="N191" s="39" t="str">
        <f t="shared" si="8"/>
        <v xml:space="preserve"> </v>
      </c>
    </row>
    <row r="192" spans="1:14">
      <c r="A192" s="37">
        <f t="shared" si="6"/>
        <v>181</v>
      </c>
      <c r="D192" s="24"/>
      <c r="G192" s="48" t="str">
        <f>IF(F192=""," ",IF(ISNA(VLOOKUP(D192,'[2]stock-take'!$A:$E,4,FALSE)), "OUT OF STOCK", VLOOKUP(D192,'[2]stock-take'!$A:$E,4,FALSE)))</f>
        <v xml:space="preserve"> </v>
      </c>
      <c r="H192" s="48">
        <f>IF(ISNA(VLOOKUP(D192,'[2]stock-take'!$A:$E,3,FALSE)), 0, VLOOKUP(D192,'[2]stock-take'!$A:$E,3,FALSE))</f>
        <v>0</v>
      </c>
      <c r="I192" s="48" t="str">
        <f>IF(F192="", " ",IF(ISNA(VLOOKUP(D192,'[2]stock-take'!$G:$K,4,FALSE)), "OUT OF STOCK", VLOOKUP(D192,'[2]stock-take'!$G:$K,4,FALSE)))</f>
        <v xml:space="preserve"> </v>
      </c>
      <c r="J192" s="39">
        <f>IF(ISNA(VLOOKUP(D192,'[2]stock-take'!$G:$K,3,FALSE)), 0, VLOOKUP(D192,'[2]stock-take'!$G:$K,3,FALSE))</f>
        <v>0</v>
      </c>
      <c r="K192" s="49" t="str">
        <f>IF(F192="", " ", IF(ISNA(VLOOKUP(D192,'[2]stock-take'!$M:$Q,4,FALSE)), "OUT OF STOCK", VLOOKUP(D192,'[2]stock-take'!$M:$Q,4,FALSE)))</f>
        <v xml:space="preserve"> </v>
      </c>
      <c r="L192" s="47">
        <f>IF(ISNA(VLOOKUP(D192,'[2]stock-take'!$M:$Q,3,FALSE)), 0, VLOOKUP(D192,'[2]stock-take'!$M:$Q,3,FALSE))</f>
        <v>0</v>
      </c>
      <c r="M192" s="48" t="str">
        <f t="shared" si="7"/>
        <v xml:space="preserve"> </v>
      </c>
      <c r="N192" s="39" t="str">
        <f t="shared" si="8"/>
        <v xml:space="preserve"> </v>
      </c>
    </row>
    <row r="193" spans="1:14">
      <c r="A193" s="37">
        <f t="shared" si="6"/>
        <v>182</v>
      </c>
      <c r="D193" s="24"/>
      <c r="G193" s="48" t="str">
        <f>IF(F193=""," ",IF(ISNA(VLOOKUP(D193,'[2]stock-take'!$A:$E,4,FALSE)), "OUT OF STOCK", VLOOKUP(D193,'[2]stock-take'!$A:$E,4,FALSE)))</f>
        <v xml:space="preserve"> </v>
      </c>
      <c r="H193" s="48">
        <f>IF(ISNA(VLOOKUP(D193,'[2]stock-take'!$A:$E,3,FALSE)), 0, VLOOKUP(D193,'[2]stock-take'!$A:$E,3,FALSE))</f>
        <v>0</v>
      </c>
      <c r="I193" s="48" t="str">
        <f>IF(F193="", " ",IF(ISNA(VLOOKUP(D193,'[2]stock-take'!$G:$K,4,FALSE)), "OUT OF STOCK", VLOOKUP(D193,'[2]stock-take'!$G:$K,4,FALSE)))</f>
        <v xml:space="preserve"> </v>
      </c>
      <c r="J193" s="39">
        <f>IF(ISNA(VLOOKUP(D193,'[2]stock-take'!$G:$K,3,FALSE)), 0, VLOOKUP(D193,'[2]stock-take'!$G:$K,3,FALSE))</f>
        <v>0</v>
      </c>
      <c r="K193" s="49" t="str">
        <f>IF(F193="", " ", IF(ISNA(VLOOKUP(D193,'[2]stock-take'!$M:$Q,4,FALSE)), "OUT OF STOCK", VLOOKUP(D193,'[2]stock-take'!$M:$Q,4,FALSE)))</f>
        <v xml:space="preserve"> </v>
      </c>
      <c r="L193" s="47">
        <f>IF(ISNA(VLOOKUP(D193,'[2]stock-take'!$M:$Q,3,FALSE)), 0, VLOOKUP(D193,'[2]stock-take'!$M:$Q,3,FALSE))</f>
        <v>0</v>
      </c>
      <c r="M193" s="48" t="str">
        <f t="shared" si="7"/>
        <v xml:space="preserve"> </v>
      </c>
      <c r="N193" s="39" t="str">
        <f t="shared" si="8"/>
        <v xml:space="preserve"> </v>
      </c>
    </row>
    <row r="194" spans="1:14">
      <c r="A194" s="37">
        <f t="shared" si="6"/>
        <v>183</v>
      </c>
      <c r="D194" s="24"/>
      <c r="G194" s="48" t="str">
        <f>IF(F194=""," ",IF(ISNA(VLOOKUP(D194,'[2]stock-take'!$A:$E,4,FALSE)), "OUT OF STOCK", VLOOKUP(D194,'[2]stock-take'!$A:$E,4,FALSE)))</f>
        <v xml:space="preserve"> </v>
      </c>
      <c r="H194" s="48">
        <f>IF(ISNA(VLOOKUP(D194,'[2]stock-take'!$A:$E,3,FALSE)), 0, VLOOKUP(D194,'[2]stock-take'!$A:$E,3,FALSE))</f>
        <v>0</v>
      </c>
      <c r="I194" s="48" t="str">
        <f>IF(F194="", " ",IF(ISNA(VLOOKUP(D194,'[2]stock-take'!$G:$K,4,FALSE)), "OUT OF STOCK", VLOOKUP(D194,'[2]stock-take'!$G:$K,4,FALSE)))</f>
        <v xml:space="preserve"> </v>
      </c>
      <c r="J194" s="39">
        <f>IF(ISNA(VLOOKUP(D194,'[2]stock-take'!$G:$K,3,FALSE)), 0, VLOOKUP(D194,'[2]stock-take'!$G:$K,3,FALSE))</f>
        <v>0</v>
      </c>
      <c r="K194" s="49" t="str">
        <f>IF(F194="", " ", IF(ISNA(VLOOKUP(D194,'[2]stock-take'!$M:$Q,4,FALSE)), "OUT OF STOCK", VLOOKUP(D194,'[2]stock-take'!$M:$Q,4,FALSE)))</f>
        <v xml:space="preserve"> </v>
      </c>
      <c r="L194" s="47">
        <f>IF(ISNA(VLOOKUP(D194,'[2]stock-take'!$M:$Q,3,FALSE)), 0, VLOOKUP(D194,'[2]stock-take'!$M:$Q,3,FALSE))</f>
        <v>0</v>
      </c>
      <c r="M194" s="48" t="str">
        <f t="shared" si="7"/>
        <v xml:space="preserve"> </v>
      </c>
      <c r="N194" s="39" t="str">
        <f t="shared" si="8"/>
        <v xml:space="preserve"> </v>
      </c>
    </row>
    <row r="195" spans="1:14">
      <c r="A195" s="37">
        <f t="shared" si="6"/>
        <v>184</v>
      </c>
      <c r="D195" s="24"/>
      <c r="G195" s="48" t="str">
        <f>IF(F195=""," ",IF(ISNA(VLOOKUP(D195,'[2]stock-take'!$A:$E,4,FALSE)), "OUT OF STOCK", VLOOKUP(D195,'[2]stock-take'!$A:$E,4,FALSE)))</f>
        <v xml:space="preserve"> </v>
      </c>
      <c r="H195" s="48">
        <f>IF(ISNA(VLOOKUP(D195,'[2]stock-take'!$A:$E,3,FALSE)), 0, VLOOKUP(D195,'[2]stock-take'!$A:$E,3,FALSE))</f>
        <v>0</v>
      </c>
      <c r="I195" s="48" t="str">
        <f>IF(F195="", " ",IF(ISNA(VLOOKUP(D195,'[2]stock-take'!$G:$K,4,FALSE)), "OUT OF STOCK", VLOOKUP(D195,'[2]stock-take'!$G:$K,4,FALSE)))</f>
        <v xml:space="preserve"> </v>
      </c>
      <c r="J195" s="39">
        <f>IF(ISNA(VLOOKUP(D195,'[2]stock-take'!$G:$K,3,FALSE)), 0, VLOOKUP(D195,'[2]stock-take'!$G:$K,3,FALSE))</f>
        <v>0</v>
      </c>
      <c r="K195" s="49" t="str">
        <f>IF(F195="", " ", IF(ISNA(VLOOKUP(D195,'[2]stock-take'!$M:$Q,4,FALSE)), "OUT OF STOCK", VLOOKUP(D195,'[2]stock-take'!$M:$Q,4,FALSE)))</f>
        <v xml:space="preserve"> </v>
      </c>
      <c r="L195" s="47">
        <f>IF(ISNA(VLOOKUP(D195,'[2]stock-take'!$M:$Q,3,FALSE)), 0, VLOOKUP(D195,'[2]stock-take'!$M:$Q,3,FALSE))</f>
        <v>0</v>
      </c>
      <c r="M195" s="48" t="str">
        <f t="shared" si="7"/>
        <v xml:space="preserve"> </v>
      </c>
      <c r="N195" s="39" t="str">
        <f t="shared" si="8"/>
        <v xml:space="preserve"> </v>
      </c>
    </row>
    <row r="196" spans="1:14">
      <c r="A196" s="37">
        <f t="shared" si="6"/>
        <v>185</v>
      </c>
      <c r="D196" s="24"/>
      <c r="G196" s="48" t="str">
        <f>IF(F196=""," ",IF(ISNA(VLOOKUP(D196,'[2]stock-take'!$A:$E,4,FALSE)), "OUT OF STOCK", VLOOKUP(D196,'[2]stock-take'!$A:$E,4,FALSE)))</f>
        <v xml:space="preserve"> </v>
      </c>
      <c r="H196" s="48">
        <f>IF(ISNA(VLOOKUP(D196,'[2]stock-take'!$A:$E,3,FALSE)), 0, VLOOKUP(D196,'[2]stock-take'!$A:$E,3,FALSE))</f>
        <v>0</v>
      </c>
      <c r="I196" s="48" t="str">
        <f>IF(F196="", " ",IF(ISNA(VLOOKUP(D196,'[2]stock-take'!$G:$K,4,FALSE)), "OUT OF STOCK", VLOOKUP(D196,'[2]stock-take'!$G:$K,4,FALSE)))</f>
        <v xml:space="preserve"> </v>
      </c>
      <c r="J196" s="39">
        <f>IF(ISNA(VLOOKUP(D196,'[2]stock-take'!$G:$K,3,FALSE)), 0, VLOOKUP(D196,'[2]stock-take'!$G:$K,3,FALSE))</f>
        <v>0</v>
      </c>
      <c r="K196" s="49" t="str">
        <f>IF(F196="", " ", IF(ISNA(VLOOKUP(D196,'[2]stock-take'!$M:$Q,4,FALSE)), "OUT OF STOCK", VLOOKUP(D196,'[2]stock-take'!$M:$Q,4,FALSE)))</f>
        <v xml:space="preserve"> </v>
      </c>
      <c r="L196" s="47">
        <f>IF(ISNA(VLOOKUP(D196,'[2]stock-take'!$M:$Q,3,FALSE)), 0, VLOOKUP(D196,'[2]stock-take'!$M:$Q,3,FALSE))</f>
        <v>0</v>
      </c>
      <c r="M196" s="48" t="str">
        <f t="shared" si="7"/>
        <v xml:space="preserve"> </v>
      </c>
      <c r="N196" s="39" t="str">
        <f t="shared" si="8"/>
        <v xml:space="preserve"> </v>
      </c>
    </row>
    <row r="197" spans="1:14">
      <c r="A197" s="37">
        <f t="shared" si="6"/>
        <v>186</v>
      </c>
      <c r="D197" s="24"/>
      <c r="G197" s="48" t="str">
        <f>IF(F197=""," ",IF(ISNA(VLOOKUP(D197,'[2]stock-take'!$A:$E,4,FALSE)), "OUT OF STOCK", VLOOKUP(D197,'[2]stock-take'!$A:$E,4,FALSE)))</f>
        <v xml:space="preserve"> </v>
      </c>
      <c r="H197" s="48">
        <f>IF(ISNA(VLOOKUP(D197,'[2]stock-take'!$A:$E,3,FALSE)), 0, VLOOKUP(D197,'[2]stock-take'!$A:$E,3,FALSE))</f>
        <v>0</v>
      </c>
      <c r="I197" s="48" t="str">
        <f>IF(F197="", " ",IF(ISNA(VLOOKUP(D197,'[2]stock-take'!$G:$K,4,FALSE)), "OUT OF STOCK", VLOOKUP(D197,'[2]stock-take'!$G:$K,4,FALSE)))</f>
        <v xml:space="preserve"> </v>
      </c>
      <c r="J197" s="39">
        <f>IF(ISNA(VLOOKUP(D197,'[2]stock-take'!$G:$K,3,FALSE)), 0, VLOOKUP(D197,'[2]stock-take'!$G:$K,3,FALSE))</f>
        <v>0</v>
      </c>
      <c r="K197" s="49" t="str">
        <f>IF(F197="", " ", IF(ISNA(VLOOKUP(D197,'[2]stock-take'!$M:$Q,4,FALSE)), "OUT OF STOCK", VLOOKUP(D197,'[2]stock-take'!$M:$Q,4,FALSE)))</f>
        <v xml:space="preserve"> </v>
      </c>
      <c r="L197" s="47">
        <f>IF(ISNA(VLOOKUP(D197,'[2]stock-take'!$M:$Q,3,FALSE)), 0, VLOOKUP(D197,'[2]stock-take'!$M:$Q,3,FALSE))</f>
        <v>0</v>
      </c>
      <c r="M197" s="48" t="str">
        <f t="shared" si="7"/>
        <v xml:space="preserve"> </v>
      </c>
      <c r="N197" s="39" t="str">
        <f t="shared" si="8"/>
        <v xml:space="preserve"> </v>
      </c>
    </row>
    <row r="198" spans="1:14">
      <c r="A198" s="37">
        <f t="shared" si="6"/>
        <v>187</v>
      </c>
      <c r="D198" s="24"/>
      <c r="G198" s="48" t="str">
        <f>IF(F198=""," ",IF(ISNA(VLOOKUP(D198,'[2]stock-take'!$A:$E,4,FALSE)), "OUT OF STOCK", VLOOKUP(D198,'[2]stock-take'!$A:$E,4,FALSE)))</f>
        <v xml:space="preserve"> </v>
      </c>
      <c r="H198" s="48">
        <f>IF(ISNA(VLOOKUP(D198,'[2]stock-take'!$A:$E,3,FALSE)), 0, VLOOKUP(D198,'[2]stock-take'!$A:$E,3,FALSE))</f>
        <v>0</v>
      </c>
      <c r="I198" s="48" t="str">
        <f>IF(F198="", " ",IF(ISNA(VLOOKUP(D198,'[2]stock-take'!$G:$K,4,FALSE)), "OUT OF STOCK", VLOOKUP(D198,'[2]stock-take'!$G:$K,4,FALSE)))</f>
        <v xml:space="preserve"> </v>
      </c>
      <c r="J198" s="39">
        <f>IF(ISNA(VLOOKUP(D198,'[2]stock-take'!$G:$K,3,FALSE)), 0, VLOOKUP(D198,'[2]stock-take'!$G:$K,3,FALSE))</f>
        <v>0</v>
      </c>
      <c r="K198" s="49" t="str">
        <f>IF(F198="", " ", IF(ISNA(VLOOKUP(D198,'[2]stock-take'!$M:$Q,4,FALSE)), "OUT OF STOCK", VLOOKUP(D198,'[2]stock-take'!$M:$Q,4,FALSE)))</f>
        <v xml:space="preserve"> </v>
      </c>
      <c r="L198" s="47">
        <f>IF(ISNA(VLOOKUP(D198,'[2]stock-take'!$M:$Q,3,FALSE)), 0, VLOOKUP(D198,'[2]stock-take'!$M:$Q,3,FALSE))</f>
        <v>0</v>
      </c>
      <c r="M198" s="48" t="str">
        <f t="shared" si="7"/>
        <v xml:space="preserve"> </v>
      </c>
      <c r="N198" s="39" t="str">
        <f t="shared" si="8"/>
        <v xml:space="preserve"> </v>
      </c>
    </row>
    <row r="199" spans="1:14">
      <c r="A199" s="37">
        <f t="shared" si="6"/>
        <v>188</v>
      </c>
      <c r="D199" s="24"/>
      <c r="G199" s="48" t="str">
        <f>IF(F199=""," ",IF(ISNA(VLOOKUP(D199,'[2]stock-take'!$A:$E,4,FALSE)), "OUT OF STOCK", VLOOKUP(D199,'[2]stock-take'!$A:$E,4,FALSE)))</f>
        <v xml:space="preserve"> </v>
      </c>
      <c r="H199" s="48">
        <f>IF(ISNA(VLOOKUP(D199,'[2]stock-take'!$A:$E,3,FALSE)), 0, VLOOKUP(D199,'[2]stock-take'!$A:$E,3,FALSE))</f>
        <v>0</v>
      </c>
      <c r="I199" s="48" t="str">
        <f>IF(F199="", " ",IF(ISNA(VLOOKUP(D199,'[2]stock-take'!$G:$K,4,FALSE)), "OUT OF STOCK", VLOOKUP(D199,'[2]stock-take'!$G:$K,4,FALSE)))</f>
        <v xml:space="preserve"> </v>
      </c>
      <c r="J199" s="39">
        <f>IF(ISNA(VLOOKUP(D199,'[2]stock-take'!$G:$K,3,FALSE)), 0, VLOOKUP(D199,'[2]stock-take'!$G:$K,3,FALSE))</f>
        <v>0</v>
      </c>
      <c r="K199" s="49" t="str">
        <f>IF(F199="", " ", IF(ISNA(VLOOKUP(D199,'[2]stock-take'!$M:$Q,4,FALSE)), "OUT OF STOCK", VLOOKUP(D199,'[2]stock-take'!$M:$Q,4,FALSE)))</f>
        <v xml:space="preserve"> </v>
      </c>
      <c r="L199" s="47">
        <f>IF(ISNA(VLOOKUP(D199,'[2]stock-take'!$M:$Q,3,FALSE)), 0, VLOOKUP(D199,'[2]stock-take'!$M:$Q,3,FALSE))</f>
        <v>0</v>
      </c>
      <c r="M199" s="48" t="str">
        <f t="shared" si="7"/>
        <v xml:space="preserve"> </v>
      </c>
      <c r="N199" s="39" t="str">
        <f t="shared" si="8"/>
        <v xml:space="preserve"> </v>
      </c>
    </row>
    <row r="200" spans="1:14">
      <c r="A200" s="37">
        <f t="shared" si="6"/>
        <v>189</v>
      </c>
      <c r="D200" s="24"/>
      <c r="G200" s="48" t="str">
        <f>IF(F200=""," ",IF(ISNA(VLOOKUP(D200,'[2]stock-take'!$A:$E,4,FALSE)), "OUT OF STOCK", VLOOKUP(D200,'[2]stock-take'!$A:$E,4,FALSE)))</f>
        <v xml:space="preserve"> </v>
      </c>
      <c r="H200" s="48">
        <f>IF(ISNA(VLOOKUP(D200,'[2]stock-take'!$A:$E,3,FALSE)), 0, VLOOKUP(D200,'[2]stock-take'!$A:$E,3,FALSE))</f>
        <v>0</v>
      </c>
      <c r="I200" s="48" t="str">
        <f>IF(F200="", " ",IF(ISNA(VLOOKUP(D200,'[2]stock-take'!$G:$K,4,FALSE)), "OUT OF STOCK", VLOOKUP(D200,'[2]stock-take'!$G:$K,4,FALSE)))</f>
        <v xml:space="preserve"> </v>
      </c>
      <c r="J200" s="39">
        <f>IF(ISNA(VLOOKUP(D200,'[2]stock-take'!$G:$K,3,FALSE)), 0, VLOOKUP(D200,'[2]stock-take'!$G:$K,3,FALSE))</f>
        <v>0</v>
      </c>
      <c r="K200" s="49" t="str">
        <f>IF(F200="", " ", IF(ISNA(VLOOKUP(D200,'[2]stock-take'!$M:$Q,4,FALSE)), "OUT OF STOCK", VLOOKUP(D200,'[2]stock-take'!$M:$Q,4,FALSE)))</f>
        <v xml:space="preserve"> </v>
      </c>
      <c r="L200" s="47">
        <f>IF(ISNA(VLOOKUP(D200,'[2]stock-take'!$M:$Q,3,FALSE)), 0, VLOOKUP(D200,'[2]stock-take'!$M:$Q,3,FALSE))</f>
        <v>0</v>
      </c>
      <c r="M200" s="48" t="str">
        <f t="shared" si="7"/>
        <v xml:space="preserve"> </v>
      </c>
      <c r="N200" s="39" t="str">
        <f t="shared" si="8"/>
        <v xml:space="preserve"> </v>
      </c>
    </row>
    <row r="201" spans="1:14">
      <c r="A201" s="37">
        <f t="shared" si="6"/>
        <v>190</v>
      </c>
      <c r="D201" s="24"/>
      <c r="G201" s="48" t="str">
        <f>IF(F201=""," ",IF(ISNA(VLOOKUP(D201,'[2]stock-take'!$A:$E,4,FALSE)), "OUT OF STOCK", VLOOKUP(D201,'[2]stock-take'!$A:$E,4,FALSE)))</f>
        <v xml:space="preserve"> </v>
      </c>
      <c r="H201" s="48">
        <f>IF(ISNA(VLOOKUP(D201,'[2]stock-take'!$A:$E,3,FALSE)), 0, VLOOKUP(D201,'[2]stock-take'!$A:$E,3,FALSE))</f>
        <v>0</v>
      </c>
      <c r="I201" s="48" t="str">
        <f>IF(F201="", " ",IF(ISNA(VLOOKUP(D201,'[2]stock-take'!$G:$K,4,FALSE)), "OUT OF STOCK", VLOOKUP(D201,'[2]stock-take'!$G:$K,4,FALSE)))</f>
        <v xml:space="preserve"> </v>
      </c>
      <c r="J201" s="39">
        <f>IF(ISNA(VLOOKUP(D201,'[2]stock-take'!$G:$K,3,FALSE)), 0, VLOOKUP(D201,'[2]stock-take'!$G:$K,3,FALSE))</f>
        <v>0</v>
      </c>
      <c r="K201" s="49" t="str">
        <f>IF(F201="", " ", IF(ISNA(VLOOKUP(D201,'[2]stock-take'!$M:$Q,4,FALSE)), "OUT OF STOCK", VLOOKUP(D201,'[2]stock-take'!$M:$Q,4,FALSE)))</f>
        <v xml:space="preserve"> </v>
      </c>
      <c r="L201" s="47">
        <f>IF(ISNA(VLOOKUP(D201,'[2]stock-take'!$M:$Q,3,FALSE)), 0, VLOOKUP(D201,'[2]stock-take'!$M:$Q,3,FALSE))</f>
        <v>0</v>
      </c>
      <c r="M201" s="48" t="str">
        <f t="shared" si="7"/>
        <v xml:space="preserve"> </v>
      </c>
      <c r="N201" s="39" t="str">
        <f t="shared" si="8"/>
        <v xml:space="preserve"> </v>
      </c>
    </row>
    <row r="202" spans="1:14">
      <c r="A202" s="37">
        <f t="shared" si="6"/>
        <v>191</v>
      </c>
      <c r="D202" s="24"/>
      <c r="G202" s="48" t="str">
        <f>IF(F202=""," ",IF(ISNA(VLOOKUP(D202,'[2]stock-take'!$A:$E,4,FALSE)), "OUT OF STOCK", VLOOKUP(D202,'[2]stock-take'!$A:$E,4,FALSE)))</f>
        <v xml:space="preserve"> </v>
      </c>
      <c r="H202" s="48">
        <f>IF(ISNA(VLOOKUP(D202,'[2]stock-take'!$A:$E,3,FALSE)), 0, VLOOKUP(D202,'[2]stock-take'!$A:$E,3,FALSE))</f>
        <v>0</v>
      </c>
      <c r="I202" s="48" t="str">
        <f>IF(F202="", " ",IF(ISNA(VLOOKUP(D202,'[2]stock-take'!$G:$K,4,FALSE)), "OUT OF STOCK", VLOOKUP(D202,'[2]stock-take'!$G:$K,4,FALSE)))</f>
        <v xml:space="preserve"> </v>
      </c>
      <c r="J202" s="39">
        <f>IF(ISNA(VLOOKUP(D202,'[2]stock-take'!$G:$K,3,FALSE)), 0, VLOOKUP(D202,'[2]stock-take'!$G:$K,3,FALSE))</f>
        <v>0</v>
      </c>
      <c r="K202" s="49" t="str">
        <f>IF(F202="", " ", IF(ISNA(VLOOKUP(D202,'[2]stock-take'!$M:$Q,4,FALSE)), "OUT OF STOCK", VLOOKUP(D202,'[2]stock-take'!$M:$Q,4,FALSE)))</f>
        <v xml:space="preserve"> </v>
      </c>
      <c r="L202" s="47">
        <f>IF(ISNA(VLOOKUP(D202,'[2]stock-take'!$M:$Q,3,FALSE)), 0, VLOOKUP(D202,'[2]stock-take'!$M:$Q,3,FALSE))</f>
        <v>0</v>
      </c>
      <c r="M202" s="48" t="str">
        <f t="shared" si="7"/>
        <v xml:space="preserve"> </v>
      </c>
      <c r="N202" s="39" t="str">
        <f t="shared" si="8"/>
        <v xml:space="preserve"> </v>
      </c>
    </row>
    <row r="203" spans="1:14">
      <c r="A203" s="37">
        <f t="shared" si="6"/>
        <v>192</v>
      </c>
      <c r="D203" s="24"/>
      <c r="G203" s="48" t="str">
        <f>IF(F203=""," ",IF(ISNA(VLOOKUP(D203,'[2]stock-take'!$A:$E,4,FALSE)), "OUT OF STOCK", VLOOKUP(D203,'[2]stock-take'!$A:$E,4,FALSE)))</f>
        <v xml:space="preserve"> </v>
      </c>
      <c r="H203" s="48">
        <f>IF(ISNA(VLOOKUP(D203,'[2]stock-take'!$A:$E,3,FALSE)), 0, VLOOKUP(D203,'[2]stock-take'!$A:$E,3,FALSE))</f>
        <v>0</v>
      </c>
      <c r="I203" s="48" t="str">
        <f>IF(F203="", " ",IF(ISNA(VLOOKUP(D203,'[2]stock-take'!$G:$K,4,FALSE)), "OUT OF STOCK", VLOOKUP(D203,'[2]stock-take'!$G:$K,4,FALSE)))</f>
        <v xml:space="preserve"> </v>
      </c>
      <c r="J203" s="39">
        <f>IF(ISNA(VLOOKUP(D203,'[2]stock-take'!$G:$K,3,FALSE)), 0, VLOOKUP(D203,'[2]stock-take'!$G:$K,3,FALSE))</f>
        <v>0</v>
      </c>
      <c r="K203" s="49" t="str">
        <f>IF(F203="", " ", IF(ISNA(VLOOKUP(D203,'[2]stock-take'!$M:$Q,4,FALSE)), "OUT OF STOCK", VLOOKUP(D203,'[2]stock-take'!$M:$Q,4,FALSE)))</f>
        <v xml:space="preserve"> </v>
      </c>
      <c r="L203" s="47">
        <f>IF(ISNA(VLOOKUP(D203,'[2]stock-take'!$M:$Q,3,FALSE)), 0, VLOOKUP(D203,'[2]stock-take'!$M:$Q,3,FALSE))</f>
        <v>0</v>
      </c>
      <c r="M203" s="48" t="str">
        <f t="shared" si="7"/>
        <v xml:space="preserve"> </v>
      </c>
      <c r="N203" s="39" t="str">
        <f t="shared" si="8"/>
        <v xml:space="preserve"> </v>
      </c>
    </row>
    <row r="204" spans="1:14">
      <c r="A204" s="37">
        <f t="shared" ref="A204:A267" si="9">ROW(A204)-11</f>
        <v>193</v>
      </c>
      <c r="D204" s="24"/>
      <c r="G204" s="48" t="str">
        <f>IF(F204=""," ",IF(ISNA(VLOOKUP(D204,'[2]stock-take'!$A:$E,4,FALSE)), "OUT OF STOCK", VLOOKUP(D204,'[2]stock-take'!$A:$E,4,FALSE)))</f>
        <v xml:space="preserve"> </v>
      </c>
      <c r="H204" s="48">
        <f>IF(ISNA(VLOOKUP(D204,'[2]stock-take'!$A:$E,3,FALSE)), 0, VLOOKUP(D204,'[2]stock-take'!$A:$E,3,FALSE))</f>
        <v>0</v>
      </c>
      <c r="I204" s="48" t="str">
        <f>IF(F204="", " ",IF(ISNA(VLOOKUP(D204,'[2]stock-take'!$G:$K,4,FALSE)), "OUT OF STOCK", VLOOKUP(D204,'[2]stock-take'!$G:$K,4,FALSE)))</f>
        <v xml:space="preserve"> </v>
      </c>
      <c r="J204" s="39">
        <f>IF(ISNA(VLOOKUP(D204,'[2]stock-take'!$G:$K,3,FALSE)), 0, VLOOKUP(D204,'[2]stock-take'!$G:$K,3,FALSE))</f>
        <v>0</v>
      </c>
      <c r="K204" s="49" t="str">
        <f>IF(F204="", " ", IF(ISNA(VLOOKUP(D204,'[2]stock-take'!$M:$Q,4,FALSE)), "OUT OF STOCK", VLOOKUP(D204,'[2]stock-take'!$M:$Q,4,FALSE)))</f>
        <v xml:space="preserve"> </v>
      </c>
      <c r="L204" s="47">
        <f>IF(ISNA(VLOOKUP(D204,'[2]stock-take'!$M:$Q,3,FALSE)), 0, VLOOKUP(D204,'[2]stock-take'!$M:$Q,3,FALSE))</f>
        <v>0</v>
      </c>
      <c r="M204" s="48" t="str">
        <f t="shared" si="7"/>
        <v xml:space="preserve"> </v>
      </c>
      <c r="N204" s="39" t="str">
        <f t="shared" si="8"/>
        <v xml:space="preserve"> </v>
      </c>
    </row>
    <row r="205" spans="1:14">
      <c r="A205" s="37">
        <f t="shared" si="9"/>
        <v>194</v>
      </c>
      <c r="D205" s="24"/>
      <c r="G205" s="48" t="str">
        <f>IF(F205=""," ",IF(ISNA(VLOOKUP(D205,'[2]stock-take'!$A:$E,4,FALSE)), "OUT OF STOCK", VLOOKUP(D205,'[2]stock-take'!$A:$E,4,FALSE)))</f>
        <v xml:space="preserve"> </v>
      </c>
      <c r="H205" s="48">
        <f>IF(ISNA(VLOOKUP(D205,'[2]stock-take'!$A:$E,3,FALSE)), 0, VLOOKUP(D205,'[2]stock-take'!$A:$E,3,FALSE))</f>
        <v>0</v>
      </c>
      <c r="I205" s="48" t="str">
        <f>IF(F205="", " ",IF(ISNA(VLOOKUP(D205,'[2]stock-take'!$G:$K,4,FALSE)), "OUT OF STOCK", VLOOKUP(D205,'[2]stock-take'!$G:$K,4,FALSE)))</f>
        <v xml:space="preserve"> </v>
      </c>
      <c r="J205" s="39">
        <f>IF(ISNA(VLOOKUP(D205,'[2]stock-take'!$G:$K,3,FALSE)), 0, VLOOKUP(D205,'[2]stock-take'!$G:$K,3,FALSE))</f>
        <v>0</v>
      </c>
      <c r="K205" s="49" t="str">
        <f>IF(F205="", " ", IF(ISNA(VLOOKUP(D205,'[2]stock-take'!$M:$Q,4,FALSE)), "OUT OF STOCK", VLOOKUP(D205,'[2]stock-take'!$M:$Q,4,FALSE)))</f>
        <v xml:space="preserve"> </v>
      </c>
      <c r="L205" s="47">
        <f>IF(ISNA(VLOOKUP(D205,'[2]stock-take'!$M:$Q,3,FALSE)), 0, VLOOKUP(D205,'[2]stock-take'!$M:$Q,3,FALSE))</f>
        <v>0</v>
      </c>
      <c r="M205" s="48" t="str">
        <f t="shared" ref="M205:M268" si="10">IF(F205=""," ",IF(H205&gt;=F205,"Y",IF(J205&gt;=F205,"Y",IF(L205&gt;=F205,"Y",IF(SUM(H205,J205,L205)&gt;=F205,"Y","N")))))</f>
        <v xml:space="preserve"> </v>
      </c>
      <c r="N205" s="39" t="str">
        <f t="shared" ref="N205:N268" si="11">IF(F205=""," ",IF(H205&gt;=F205,"ILOOM",IF(J205&gt;=F205,"NO.6",IF(L205&gt;=F205,"RMD",IF(SUM(H205,J205,L205)&gt;=F205,"MULTI","LACK")))))</f>
        <v xml:space="preserve"> </v>
      </c>
    </row>
    <row r="206" spans="1:14">
      <c r="A206" s="37">
        <f t="shared" si="9"/>
        <v>195</v>
      </c>
      <c r="D206" s="24"/>
      <c r="G206" s="48" t="str">
        <f>IF(F206=""," ",IF(ISNA(VLOOKUP(D206,'[2]stock-take'!$A:$E,4,FALSE)), "OUT OF STOCK", VLOOKUP(D206,'[2]stock-take'!$A:$E,4,FALSE)))</f>
        <v xml:space="preserve"> </v>
      </c>
      <c r="H206" s="48">
        <f>IF(ISNA(VLOOKUP(D206,'[2]stock-take'!$A:$E,3,FALSE)), 0, VLOOKUP(D206,'[2]stock-take'!$A:$E,3,FALSE))</f>
        <v>0</v>
      </c>
      <c r="I206" s="48" t="str">
        <f>IF(F206="", " ",IF(ISNA(VLOOKUP(D206,'[2]stock-take'!$G:$K,4,FALSE)), "OUT OF STOCK", VLOOKUP(D206,'[2]stock-take'!$G:$K,4,FALSE)))</f>
        <v xml:space="preserve"> </v>
      </c>
      <c r="J206" s="39">
        <f>IF(ISNA(VLOOKUP(D206,'[2]stock-take'!$G:$K,3,FALSE)), 0, VLOOKUP(D206,'[2]stock-take'!$G:$K,3,FALSE))</f>
        <v>0</v>
      </c>
      <c r="K206" s="49" t="str">
        <f>IF(F206="", " ", IF(ISNA(VLOOKUP(D206,'[2]stock-take'!$M:$Q,4,FALSE)), "OUT OF STOCK", VLOOKUP(D206,'[2]stock-take'!$M:$Q,4,FALSE)))</f>
        <v xml:space="preserve"> </v>
      </c>
      <c r="L206" s="47">
        <f>IF(ISNA(VLOOKUP(D206,'[2]stock-take'!$M:$Q,3,FALSE)), 0, VLOOKUP(D206,'[2]stock-take'!$M:$Q,3,FALSE))</f>
        <v>0</v>
      </c>
      <c r="M206" s="48" t="str">
        <f t="shared" si="10"/>
        <v xml:space="preserve"> </v>
      </c>
      <c r="N206" s="39" t="str">
        <f t="shared" si="11"/>
        <v xml:space="preserve"> </v>
      </c>
    </row>
    <row r="207" spans="1:14">
      <c r="A207" s="37">
        <f t="shared" si="9"/>
        <v>196</v>
      </c>
      <c r="D207" s="24"/>
      <c r="G207" s="48" t="str">
        <f>IF(F207=""," ",IF(ISNA(VLOOKUP(D207,'[2]stock-take'!$A:$E,4,FALSE)), "OUT OF STOCK", VLOOKUP(D207,'[2]stock-take'!$A:$E,4,FALSE)))</f>
        <v xml:space="preserve"> </v>
      </c>
      <c r="H207" s="48">
        <f>IF(ISNA(VLOOKUP(D207,'[2]stock-take'!$A:$E,3,FALSE)), 0, VLOOKUP(D207,'[2]stock-take'!$A:$E,3,FALSE))</f>
        <v>0</v>
      </c>
      <c r="I207" s="48" t="str">
        <f>IF(F207="", " ",IF(ISNA(VLOOKUP(D207,'[2]stock-take'!$G:$K,4,FALSE)), "OUT OF STOCK", VLOOKUP(D207,'[2]stock-take'!$G:$K,4,FALSE)))</f>
        <v xml:space="preserve"> </v>
      </c>
      <c r="J207" s="39">
        <f>IF(ISNA(VLOOKUP(D207,'[2]stock-take'!$G:$K,3,FALSE)), 0, VLOOKUP(D207,'[2]stock-take'!$G:$K,3,FALSE))</f>
        <v>0</v>
      </c>
      <c r="K207" s="49" t="str">
        <f>IF(F207="", " ", IF(ISNA(VLOOKUP(D207,'[2]stock-take'!$M:$Q,4,FALSE)), "OUT OF STOCK", VLOOKUP(D207,'[2]stock-take'!$M:$Q,4,FALSE)))</f>
        <v xml:space="preserve"> </v>
      </c>
      <c r="L207" s="47">
        <f>IF(ISNA(VLOOKUP(D207,'[2]stock-take'!$M:$Q,3,FALSE)), 0, VLOOKUP(D207,'[2]stock-take'!$M:$Q,3,FALSE))</f>
        <v>0</v>
      </c>
      <c r="M207" s="48" t="str">
        <f t="shared" si="10"/>
        <v xml:space="preserve"> </v>
      </c>
      <c r="N207" s="39" t="str">
        <f t="shared" si="11"/>
        <v xml:space="preserve"> </v>
      </c>
    </row>
    <row r="208" spans="1:14">
      <c r="A208" s="37">
        <f t="shared" si="9"/>
        <v>197</v>
      </c>
      <c r="D208" s="24"/>
      <c r="G208" s="48" t="str">
        <f>IF(F208=""," ",IF(ISNA(VLOOKUP(D208,'[2]stock-take'!$A:$E,4,FALSE)), "OUT OF STOCK", VLOOKUP(D208,'[2]stock-take'!$A:$E,4,FALSE)))</f>
        <v xml:space="preserve"> </v>
      </c>
      <c r="H208" s="48">
        <f>IF(ISNA(VLOOKUP(D208,'[2]stock-take'!$A:$E,3,FALSE)), 0, VLOOKUP(D208,'[2]stock-take'!$A:$E,3,FALSE))</f>
        <v>0</v>
      </c>
      <c r="I208" s="48" t="str">
        <f>IF(F208="", " ",IF(ISNA(VLOOKUP(D208,'[2]stock-take'!$G:$K,4,FALSE)), "OUT OF STOCK", VLOOKUP(D208,'[2]stock-take'!$G:$K,4,FALSE)))</f>
        <v xml:space="preserve"> </v>
      </c>
      <c r="J208" s="39">
        <f>IF(ISNA(VLOOKUP(D208,'[2]stock-take'!$G:$K,3,FALSE)), 0, VLOOKUP(D208,'[2]stock-take'!$G:$K,3,FALSE))</f>
        <v>0</v>
      </c>
      <c r="K208" s="49" t="str">
        <f>IF(F208="", " ", IF(ISNA(VLOOKUP(D208,'[2]stock-take'!$M:$Q,4,FALSE)), "OUT OF STOCK", VLOOKUP(D208,'[2]stock-take'!$M:$Q,4,FALSE)))</f>
        <v xml:space="preserve"> </v>
      </c>
      <c r="L208" s="47">
        <f>IF(ISNA(VLOOKUP(D208,'[2]stock-take'!$M:$Q,3,FALSE)), 0, VLOOKUP(D208,'[2]stock-take'!$M:$Q,3,FALSE))</f>
        <v>0</v>
      </c>
      <c r="M208" s="48" t="str">
        <f t="shared" si="10"/>
        <v xml:space="preserve"> </v>
      </c>
      <c r="N208" s="39" t="str">
        <f t="shared" si="11"/>
        <v xml:space="preserve"> </v>
      </c>
    </row>
    <row r="209" spans="1:14">
      <c r="A209" s="37">
        <f t="shared" si="9"/>
        <v>198</v>
      </c>
      <c r="D209" s="24"/>
      <c r="G209" s="48" t="str">
        <f>IF(F209=""," ",IF(ISNA(VLOOKUP(D209,'[2]stock-take'!$A:$E,4,FALSE)), "OUT OF STOCK", VLOOKUP(D209,'[2]stock-take'!$A:$E,4,FALSE)))</f>
        <v xml:space="preserve"> </v>
      </c>
      <c r="H209" s="48">
        <f>IF(ISNA(VLOOKUP(D209,'[2]stock-take'!$A:$E,3,FALSE)), 0, VLOOKUP(D209,'[2]stock-take'!$A:$E,3,FALSE))</f>
        <v>0</v>
      </c>
      <c r="I209" s="48" t="str">
        <f>IF(F209="", " ",IF(ISNA(VLOOKUP(D209,'[2]stock-take'!$G:$K,4,FALSE)), "OUT OF STOCK", VLOOKUP(D209,'[2]stock-take'!$G:$K,4,FALSE)))</f>
        <v xml:space="preserve"> </v>
      </c>
      <c r="J209" s="39">
        <f>IF(ISNA(VLOOKUP(D209,'[2]stock-take'!$G:$K,3,FALSE)), 0, VLOOKUP(D209,'[2]stock-take'!$G:$K,3,FALSE))</f>
        <v>0</v>
      </c>
      <c r="K209" s="49" t="str">
        <f>IF(F209="", " ", IF(ISNA(VLOOKUP(D209,'[2]stock-take'!$M:$Q,4,FALSE)), "OUT OF STOCK", VLOOKUP(D209,'[2]stock-take'!$M:$Q,4,FALSE)))</f>
        <v xml:space="preserve"> </v>
      </c>
      <c r="L209" s="47">
        <f>IF(ISNA(VLOOKUP(D209,'[2]stock-take'!$M:$Q,3,FALSE)), 0, VLOOKUP(D209,'[2]stock-take'!$M:$Q,3,FALSE))</f>
        <v>0</v>
      </c>
      <c r="M209" s="48" t="str">
        <f t="shared" si="10"/>
        <v xml:space="preserve"> </v>
      </c>
      <c r="N209" s="39" t="str">
        <f t="shared" si="11"/>
        <v xml:space="preserve"> </v>
      </c>
    </row>
    <row r="210" spans="1:14">
      <c r="A210" s="37">
        <f t="shared" si="9"/>
        <v>199</v>
      </c>
      <c r="D210" s="24"/>
      <c r="G210" s="48" t="str">
        <f>IF(F210=""," ",IF(ISNA(VLOOKUP(D210,'[2]stock-take'!$A:$E,4,FALSE)), "OUT OF STOCK", VLOOKUP(D210,'[2]stock-take'!$A:$E,4,FALSE)))</f>
        <v xml:space="preserve"> </v>
      </c>
      <c r="H210" s="48">
        <f>IF(ISNA(VLOOKUP(D210,'[2]stock-take'!$A:$E,3,FALSE)), 0, VLOOKUP(D210,'[2]stock-take'!$A:$E,3,FALSE))</f>
        <v>0</v>
      </c>
      <c r="I210" s="48" t="str">
        <f>IF(F210="", " ",IF(ISNA(VLOOKUP(D210,'[2]stock-take'!$G:$K,4,FALSE)), "OUT OF STOCK", VLOOKUP(D210,'[2]stock-take'!$G:$K,4,FALSE)))</f>
        <v xml:space="preserve"> </v>
      </c>
      <c r="J210" s="39">
        <f>IF(ISNA(VLOOKUP(D210,'[2]stock-take'!$G:$K,3,FALSE)), 0, VLOOKUP(D210,'[2]stock-take'!$G:$K,3,FALSE))</f>
        <v>0</v>
      </c>
      <c r="K210" s="49" t="str">
        <f>IF(F210="", " ", IF(ISNA(VLOOKUP(D210,'[2]stock-take'!$M:$Q,4,FALSE)), "OUT OF STOCK", VLOOKUP(D210,'[2]stock-take'!$M:$Q,4,FALSE)))</f>
        <v xml:space="preserve"> </v>
      </c>
      <c r="L210" s="47">
        <f>IF(ISNA(VLOOKUP(D210,'[2]stock-take'!$M:$Q,3,FALSE)), 0, VLOOKUP(D210,'[2]stock-take'!$M:$Q,3,FALSE))</f>
        <v>0</v>
      </c>
      <c r="M210" s="48" t="str">
        <f t="shared" si="10"/>
        <v xml:space="preserve"> </v>
      </c>
      <c r="N210" s="39" t="str">
        <f t="shared" si="11"/>
        <v xml:space="preserve"> </v>
      </c>
    </row>
    <row r="211" spans="1:14">
      <c r="A211" s="37">
        <f t="shared" si="9"/>
        <v>200</v>
      </c>
      <c r="D211" s="24"/>
      <c r="G211" s="48" t="str">
        <f>IF(F211=""," ",IF(ISNA(VLOOKUP(D211,'[2]stock-take'!$A:$E,4,FALSE)), "OUT OF STOCK", VLOOKUP(D211,'[2]stock-take'!$A:$E,4,FALSE)))</f>
        <v xml:space="preserve"> </v>
      </c>
      <c r="H211" s="48">
        <f>IF(ISNA(VLOOKUP(D211,'[2]stock-take'!$A:$E,3,FALSE)), 0, VLOOKUP(D211,'[2]stock-take'!$A:$E,3,FALSE))</f>
        <v>0</v>
      </c>
      <c r="I211" s="48" t="str">
        <f>IF(F211="", " ",IF(ISNA(VLOOKUP(D211,'[2]stock-take'!$G:$K,4,FALSE)), "OUT OF STOCK", VLOOKUP(D211,'[2]stock-take'!$G:$K,4,FALSE)))</f>
        <v xml:space="preserve"> </v>
      </c>
      <c r="J211" s="39">
        <f>IF(ISNA(VLOOKUP(D211,'[2]stock-take'!$G:$K,3,FALSE)), 0, VLOOKUP(D211,'[2]stock-take'!$G:$K,3,FALSE))</f>
        <v>0</v>
      </c>
      <c r="K211" s="49" t="str">
        <f>IF(F211="", " ", IF(ISNA(VLOOKUP(D211,'[2]stock-take'!$M:$Q,4,FALSE)), "OUT OF STOCK", VLOOKUP(D211,'[2]stock-take'!$M:$Q,4,FALSE)))</f>
        <v xml:space="preserve"> </v>
      </c>
      <c r="L211" s="47">
        <f>IF(ISNA(VLOOKUP(D211,'[2]stock-take'!$M:$Q,3,FALSE)), 0, VLOOKUP(D211,'[2]stock-take'!$M:$Q,3,FALSE))</f>
        <v>0</v>
      </c>
      <c r="M211" s="48" t="str">
        <f t="shared" si="10"/>
        <v xml:space="preserve"> </v>
      </c>
      <c r="N211" s="39" t="str">
        <f t="shared" si="11"/>
        <v xml:space="preserve"> </v>
      </c>
    </row>
    <row r="212" spans="1:14">
      <c r="A212" s="37">
        <f t="shared" si="9"/>
        <v>201</v>
      </c>
      <c r="D212" s="24"/>
      <c r="G212" s="48" t="str">
        <f>IF(F212=""," ",IF(ISNA(VLOOKUP(D212,'[2]stock-take'!$A:$E,4,FALSE)), "OUT OF STOCK", VLOOKUP(D212,'[2]stock-take'!$A:$E,4,FALSE)))</f>
        <v xml:space="preserve"> </v>
      </c>
      <c r="H212" s="48">
        <f>IF(ISNA(VLOOKUP(D212,'[2]stock-take'!$A:$E,3,FALSE)), 0, VLOOKUP(D212,'[2]stock-take'!$A:$E,3,FALSE))</f>
        <v>0</v>
      </c>
      <c r="I212" s="48" t="str">
        <f>IF(F212="", " ",IF(ISNA(VLOOKUP(D212,'[2]stock-take'!$G:$K,4,FALSE)), "OUT OF STOCK", VLOOKUP(D212,'[2]stock-take'!$G:$K,4,FALSE)))</f>
        <v xml:space="preserve"> </v>
      </c>
      <c r="J212" s="39">
        <f>IF(ISNA(VLOOKUP(D212,'[2]stock-take'!$G:$K,3,FALSE)), 0, VLOOKUP(D212,'[2]stock-take'!$G:$K,3,FALSE))</f>
        <v>0</v>
      </c>
      <c r="K212" s="49" t="str">
        <f>IF(F212="", " ", IF(ISNA(VLOOKUP(D212,'[2]stock-take'!$M:$Q,4,FALSE)), "OUT OF STOCK", VLOOKUP(D212,'[2]stock-take'!$M:$Q,4,FALSE)))</f>
        <v xml:space="preserve"> </v>
      </c>
      <c r="L212" s="47">
        <f>IF(ISNA(VLOOKUP(D212,'[2]stock-take'!$M:$Q,3,FALSE)), 0, VLOOKUP(D212,'[2]stock-take'!$M:$Q,3,FALSE))</f>
        <v>0</v>
      </c>
      <c r="M212" s="48" t="str">
        <f t="shared" si="10"/>
        <v xml:space="preserve"> </v>
      </c>
      <c r="N212" s="39" t="str">
        <f t="shared" si="11"/>
        <v xml:space="preserve"> </v>
      </c>
    </row>
    <row r="213" spans="1:14">
      <c r="A213" s="37">
        <f t="shared" si="9"/>
        <v>202</v>
      </c>
      <c r="D213" s="24"/>
      <c r="G213" s="48" t="str">
        <f>IF(F213=""," ",IF(ISNA(VLOOKUP(D213,'[2]stock-take'!$A:$E,4,FALSE)), "OUT OF STOCK", VLOOKUP(D213,'[2]stock-take'!$A:$E,4,FALSE)))</f>
        <v xml:space="preserve"> </v>
      </c>
      <c r="H213" s="48">
        <f>IF(ISNA(VLOOKUP(D213,'[2]stock-take'!$A:$E,3,FALSE)), 0, VLOOKUP(D213,'[2]stock-take'!$A:$E,3,FALSE))</f>
        <v>0</v>
      </c>
      <c r="I213" s="48" t="str">
        <f>IF(F213="", " ",IF(ISNA(VLOOKUP(D213,'[2]stock-take'!$G:$K,4,FALSE)), "OUT OF STOCK", VLOOKUP(D213,'[2]stock-take'!$G:$K,4,FALSE)))</f>
        <v xml:space="preserve"> </v>
      </c>
      <c r="J213" s="39">
        <f>IF(ISNA(VLOOKUP(D213,'[2]stock-take'!$G:$K,3,FALSE)), 0, VLOOKUP(D213,'[2]stock-take'!$G:$K,3,FALSE))</f>
        <v>0</v>
      </c>
      <c r="K213" s="49" t="str">
        <f>IF(F213="", " ", IF(ISNA(VLOOKUP(D213,'[2]stock-take'!$M:$Q,4,FALSE)), "OUT OF STOCK", VLOOKUP(D213,'[2]stock-take'!$M:$Q,4,FALSE)))</f>
        <v xml:space="preserve"> </v>
      </c>
      <c r="L213" s="47">
        <f>IF(ISNA(VLOOKUP(D213,'[2]stock-take'!$M:$Q,3,FALSE)), 0, VLOOKUP(D213,'[2]stock-take'!$M:$Q,3,FALSE))</f>
        <v>0</v>
      </c>
      <c r="M213" s="48" t="str">
        <f t="shared" si="10"/>
        <v xml:space="preserve"> </v>
      </c>
      <c r="N213" s="39" t="str">
        <f t="shared" si="11"/>
        <v xml:space="preserve"> </v>
      </c>
    </row>
    <row r="214" spans="1:14">
      <c r="A214" s="37">
        <f t="shared" si="9"/>
        <v>203</v>
      </c>
      <c r="D214" s="24"/>
      <c r="G214" s="48" t="str">
        <f>IF(F214=""," ",IF(ISNA(VLOOKUP(D214,'[2]stock-take'!$A:$E,4,FALSE)), "OUT OF STOCK", VLOOKUP(D214,'[2]stock-take'!$A:$E,4,FALSE)))</f>
        <v xml:space="preserve"> </v>
      </c>
      <c r="H214" s="48">
        <f>IF(ISNA(VLOOKUP(D214,'[2]stock-take'!$A:$E,3,FALSE)), 0, VLOOKUP(D214,'[2]stock-take'!$A:$E,3,FALSE))</f>
        <v>0</v>
      </c>
      <c r="I214" s="48" t="str">
        <f>IF(F214="", " ",IF(ISNA(VLOOKUP(D214,'[2]stock-take'!$G:$K,4,FALSE)), "OUT OF STOCK", VLOOKUP(D214,'[2]stock-take'!$G:$K,4,FALSE)))</f>
        <v xml:space="preserve"> </v>
      </c>
      <c r="J214" s="39">
        <f>IF(ISNA(VLOOKUP(D214,'[2]stock-take'!$G:$K,3,FALSE)), 0, VLOOKUP(D214,'[2]stock-take'!$G:$K,3,FALSE))</f>
        <v>0</v>
      </c>
      <c r="K214" s="49" t="str">
        <f>IF(F214="", " ", IF(ISNA(VLOOKUP(D214,'[2]stock-take'!$M:$Q,4,FALSE)), "OUT OF STOCK", VLOOKUP(D214,'[2]stock-take'!$M:$Q,4,FALSE)))</f>
        <v xml:space="preserve"> </v>
      </c>
      <c r="L214" s="47">
        <f>IF(ISNA(VLOOKUP(D214,'[2]stock-take'!$M:$Q,3,FALSE)), 0, VLOOKUP(D214,'[2]stock-take'!$M:$Q,3,FALSE))</f>
        <v>0</v>
      </c>
      <c r="M214" s="48" t="str">
        <f t="shared" si="10"/>
        <v xml:space="preserve"> </v>
      </c>
      <c r="N214" s="39" t="str">
        <f t="shared" si="11"/>
        <v xml:space="preserve"> </v>
      </c>
    </row>
    <row r="215" spans="1:14">
      <c r="A215" s="37">
        <f t="shared" si="9"/>
        <v>204</v>
      </c>
      <c r="D215" s="24"/>
      <c r="G215" s="48" t="str">
        <f>IF(F215=""," ",IF(ISNA(VLOOKUP(D215,'[2]stock-take'!$A:$E,4,FALSE)), "OUT OF STOCK", VLOOKUP(D215,'[2]stock-take'!$A:$E,4,FALSE)))</f>
        <v xml:space="preserve"> </v>
      </c>
      <c r="H215" s="48">
        <f>IF(ISNA(VLOOKUP(D215,'[2]stock-take'!$A:$E,3,FALSE)), 0, VLOOKUP(D215,'[2]stock-take'!$A:$E,3,FALSE))</f>
        <v>0</v>
      </c>
      <c r="I215" s="48" t="str">
        <f>IF(F215="", " ",IF(ISNA(VLOOKUP(D215,'[2]stock-take'!$G:$K,4,FALSE)), "OUT OF STOCK", VLOOKUP(D215,'[2]stock-take'!$G:$K,4,FALSE)))</f>
        <v xml:space="preserve"> </v>
      </c>
      <c r="J215" s="39">
        <f>IF(ISNA(VLOOKUP(D215,'[2]stock-take'!$G:$K,3,FALSE)), 0, VLOOKUP(D215,'[2]stock-take'!$G:$K,3,FALSE))</f>
        <v>0</v>
      </c>
      <c r="K215" s="49" t="str">
        <f>IF(F215="", " ", IF(ISNA(VLOOKUP(D215,'[2]stock-take'!$M:$Q,4,FALSE)), "OUT OF STOCK", VLOOKUP(D215,'[2]stock-take'!$M:$Q,4,FALSE)))</f>
        <v xml:space="preserve"> </v>
      </c>
      <c r="L215" s="47">
        <f>IF(ISNA(VLOOKUP(D215,'[2]stock-take'!$M:$Q,3,FALSE)), 0, VLOOKUP(D215,'[2]stock-take'!$M:$Q,3,FALSE))</f>
        <v>0</v>
      </c>
      <c r="M215" s="48" t="str">
        <f t="shared" si="10"/>
        <v xml:space="preserve"> </v>
      </c>
      <c r="N215" s="39" t="str">
        <f t="shared" si="11"/>
        <v xml:space="preserve"> </v>
      </c>
    </row>
    <row r="216" spans="1:14">
      <c r="A216" s="37">
        <f t="shared" si="9"/>
        <v>205</v>
      </c>
      <c r="D216" s="24"/>
      <c r="G216" s="48" t="str">
        <f>IF(F216=""," ",IF(ISNA(VLOOKUP(D216,'[2]stock-take'!$A:$E,4,FALSE)), "OUT OF STOCK", VLOOKUP(D216,'[2]stock-take'!$A:$E,4,FALSE)))</f>
        <v xml:space="preserve"> </v>
      </c>
      <c r="H216" s="48">
        <f>IF(ISNA(VLOOKUP(D216,'[2]stock-take'!$A:$E,3,FALSE)), 0, VLOOKUP(D216,'[2]stock-take'!$A:$E,3,FALSE))</f>
        <v>0</v>
      </c>
      <c r="I216" s="48" t="str">
        <f>IF(F216="", " ",IF(ISNA(VLOOKUP(D216,'[2]stock-take'!$G:$K,4,FALSE)), "OUT OF STOCK", VLOOKUP(D216,'[2]stock-take'!$G:$K,4,FALSE)))</f>
        <v xml:space="preserve"> </v>
      </c>
      <c r="J216" s="39">
        <f>IF(ISNA(VLOOKUP(D216,'[2]stock-take'!$G:$K,3,FALSE)), 0, VLOOKUP(D216,'[2]stock-take'!$G:$K,3,FALSE))</f>
        <v>0</v>
      </c>
      <c r="K216" s="49" t="str">
        <f>IF(F216="", " ", IF(ISNA(VLOOKUP(D216,'[2]stock-take'!$M:$Q,4,FALSE)), "OUT OF STOCK", VLOOKUP(D216,'[2]stock-take'!$M:$Q,4,FALSE)))</f>
        <v xml:space="preserve"> </v>
      </c>
      <c r="L216" s="47">
        <f>IF(ISNA(VLOOKUP(D216,'[2]stock-take'!$M:$Q,3,FALSE)), 0, VLOOKUP(D216,'[2]stock-take'!$M:$Q,3,FALSE))</f>
        <v>0</v>
      </c>
      <c r="M216" s="48" t="str">
        <f t="shared" si="10"/>
        <v xml:space="preserve"> </v>
      </c>
      <c r="N216" s="39" t="str">
        <f t="shared" si="11"/>
        <v xml:space="preserve"> </v>
      </c>
    </row>
    <row r="217" spans="1:14">
      <c r="A217" s="37">
        <f t="shared" si="9"/>
        <v>206</v>
      </c>
      <c r="D217" s="24"/>
      <c r="G217" s="48" t="str">
        <f>IF(F217=""," ",IF(ISNA(VLOOKUP(D217,'[2]stock-take'!$A:$E,4,FALSE)), "OUT OF STOCK", VLOOKUP(D217,'[2]stock-take'!$A:$E,4,FALSE)))</f>
        <v xml:space="preserve"> </v>
      </c>
      <c r="H217" s="48">
        <f>IF(ISNA(VLOOKUP(D217,'[2]stock-take'!$A:$E,3,FALSE)), 0, VLOOKUP(D217,'[2]stock-take'!$A:$E,3,FALSE))</f>
        <v>0</v>
      </c>
      <c r="I217" s="48" t="str">
        <f>IF(F217="", " ",IF(ISNA(VLOOKUP(D217,'[2]stock-take'!$G:$K,4,FALSE)), "OUT OF STOCK", VLOOKUP(D217,'[2]stock-take'!$G:$K,4,FALSE)))</f>
        <v xml:space="preserve"> </v>
      </c>
      <c r="J217" s="39">
        <f>IF(ISNA(VLOOKUP(D217,'[2]stock-take'!$G:$K,3,FALSE)), 0, VLOOKUP(D217,'[2]stock-take'!$G:$K,3,FALSE))</f>
        <v>0</v>
      </c>
      <c r="K217" s="49" t="str">
        <f>IF(F217="", " ", IF(ISNA(VLOOKUP(D217,'[2]stock-take'!$M:$Q,4,FALSE)), "OUT OF STOCK", VLOOKUP(D217,'[2]stock-take'!$M:$Q,4,FALSE)))</f>
        <v xml:space="preserve"> </v>
      </c>
      <c r="L217" s="47">
        <f>IF(ISNA(VLOOKUP(D217,'[2]stock-take'!$M:$Q,3,FALSE)), 0, VLOOKUP(D217,'[2]stock-take'!$M:$Q,3,FALSE))</f>
        <v>0</v>
      </c>
      <c r="M217" s="48" t="str">
        <f t="shared" si="10"/>
        <v xml:space="preserve"> </v>
      </c>
      <c r="N217" s="39" t="str">
        <f t="shared" si="11"/>
        <v xml:space="preserve"> </v>
      </c>
    </row>
    <row r="218" spans="1:14">
      <c r="A218" s="37">
        <f t="shared" si="9"/>
        <v>207</v>
      </c>
      <c r="D218" s="24"/>
      <c r="G218" s="48" t="str">
        <f>IF(F218=""," ",IF(ISNA(VLOOKUP(D218,'[2]stock-take'!$A:$E,4,FALSE)), "OUT OF STOCK", VLOOKUP(D218,'[2]stock-take'!$A:$E,4,FALSE)))</f>
        <v xml:space="preserve"> </v>
      </c>
      <c r="H218" s="48">
        <f>IF(ISNA(VLOOKUP(D218,'[2]stock-take'!$A:$E,3,FALSE)), 0, VLOOKUP(D218,'[2]stock-take'!$A:$E,3,FALSE))</f>
        <v>0</v>
      </c>
      <c r="I218" s="48" t="str">
        <f>IF(F218="", " ",IF(ISNA(VLOOKUP(D218,'[2]stock-take'!$G:$K,4,FALSE)), "OUT OF STOCK", VLOOKUP(D218,'[2]stock-take'!$G:$K,4,FALSE)))</f>
        <v xml:space="preserve"> </v>
      </c>
      <c r="J218" s="39">
        <f>IF(ISNA(VLOOKUP(D218,'[2]stock-take'!$G:$K,3,FALSE)), 0, VLOOKUP(D218,'[2]stock-take'!$G:$K,3,FALSE))</f>
        <v>0</v>
      </c>
      <c r="K218" s="49" t="str">
        <f>IF(F218="", " ", IF(ISNA(VLOOKUP(D218,'[2]stock-take'!$M:$Q,4,FALSE)), "OUT OF STOCK", VLOOKUP(D218,'[2]stock-take'!$M:$Q,4,FALSE)))</f>
        <v xml:space="preserve"> </v>
      </c>
      <c r="L218" s="47">
        <f>IF(ISNA(VLOOKUP(D218,'[2]stock-take'!$M:$Q,3,FALSE)), 0, VLOOKUP(D218,'[2]stock-take'!$M:$Q,3,FALSE))</f>
        <v>0</v>
      </c>
      <c r="M218" s="48" t="str">
        <f t="shared" si="10"/>
        <v xml:space="preserve"> </v>
      </c>
      <c r="N218" s="39" t="str">
        <f t="shared" si="11"/>
        <v xml:space="preserve"> </v>
      </c>
    </row>
    <row r="219" spans="1:14">
      <c r="A219" s="37">
        <f t="shared" si="9"/>
        <v>208</v>
      </c>
      <c r="D219" s="24"/>
      <c r="G219" s="48" t="str">
        <f>IF(F219=""," ",IF(ISNA(VLOOKUP(D219,'[2]stock-take'!$A:$E,4,FALSE)), "OUT OF STOCK", VLOOKUP(D219,'[2]stock-take'!$A:$E,4,FALSE)))</f>
        <v xml:space="preserve"> </v>
      </c>
      <c r="H219" s="48">
        <f>IF(ISNA(VLOOKUP(D219,'[2]stock-take'!$A:$E,3,FALSE)), 0, VLOOKUP(D219,'[2]stock-take'!$A:$E,3,FALSE))</f>
        <v>0</v>
      </c>
      <c r="I219" s="48" t="str">
        <f>IF(F219="", " ",IF(ISNA(VLOOKUP(D219,'[2]stock-take'!$G:$K,4,FALSE)), "OUT OF STOCK", VLOOKUP(D219,'[2]stock-take'!$G:$K,4,FALSE)))</f>
        <v xml:space="preserve"> </v>
      </c>
      <c r="J219" s="39">
        <f>IF(ISNA(VLOOKUP(D219,'[2]stock-take'!$G:$K,3,FALSE)), 0, VLOOKUP(D219,'[2]stock-take'!$G:$K,3,FALSE))</f>
        <v>0</v>
      </c>
      <c r="K219" s="49" t="str">
        <f>IF(F219="", " ", IF(ISNA(VLOOKUP(D219,'[2]stock-take'!$M:$Q,4,FALSE)), "OUT OF STOCK", VLOOKUP(D219,'[2]stock-take'!$M:$Q,4,FALSE)))</f>
        <v xml:space="preserve"> </v>
      </c>
      <c r="L219" s="47">
        <f>IF(ISNA(VLOOKUP(D219,'[2]stock-take'!$M:$Q,3,FALSE)), 0, VLOOKUP(D219,'[2]stock-take'!$M:$Q,3,FALSE))</f>
        <v>0</v>
      </c>
      <c r="M219" s="48" t="str">
        <f t="shared" si="10"/>
        <v xml:space="preserve"> </v>
      </c>
      <c r="N219" s="39" t="str">
        <f t="shared" si="11"/>
        <v xml:space="preserve"> </v>
      </c>
    </row>
    <row r="220" spans="1:14">
      <c r="A220" s="37">
        <f t="shared" si="9"/>
        <v>209</v>
      </c>
      <c r="D220" s="24"/>
      <c r="G220" s="48" t="str">
        <f>IF(F220=""," ",IF(ISNA(VLOOKUP(D220,'[2]stock-take'!$A:$E,4,FALSE)), "OUT OF STOCK", VLOOKUP(D220,'[2]stock-take'!$A:$E,4,FALSE)))</f>
        <v xml:space="preserve"> </v>
      </c>
      <c r="H220" s="48">
        <f>IF(ISNA(VLOOKUP(D220,'[2]stock-take'!$A:$E,3,FALSE)), 0, VLOOKUP(D220,'[2]stock-take'!$A:$E,3,FALSE))</f>
        <v>0</v>
      </c>
      <c r="I220" s="48" t="str">
        <f>IF(F220="", " ",IF(ISNA(VLOOKUP(D220,'[2]stock-take'!$G:$K,4,FALSE)), "OUT OF STOCK", VLOOKUP(D220,'[2]stock-take'!$G:$K,4,FALSE)))</f>
        <v xml:space="preserve"> </v>
      </c>
      <c r="J220" s="39">
        <f>IF(ISNA(VLOOKUP(D220,'[2]stock-take'!$G:$K,3,FALSE)), 0, VLOOKUP(D220,'[2]stock-take'!$G:$K,3,FALSE))</f>
        <v>0</v>
      </c>
      <c r="K220" s="49" t="str">
        <f>IF(F220="", " ", IF(ISNA(VLOOKUP(D220,'[2]stock-take'!$M:$Q,4,FALSE)), "OUT OF STOCK", VLOOKUP(D220,'[2]stock-take'!$M:$Q,4,FALSE)))</f>
        <v xml:space="preserve"> </v>
      </c>
      <c r="L220" s="47">
        <f>IF(ISNA(VLOOKUP(D220,'[2]stock-take'!$M:$Q,3,FALSE)), 0, VLOOKUP(D220,'[2]stock-take'!$M:$Q,3,FALSE))</f>
        <v>0</v>
      </c>
      <c r="M220" s="48" t="str">
        <f t="shared" si="10"/>
        <v xml:space="preserve"> </v>
      </c>
      <c r="N220" s="39" t="str">
        <f t="shared" si="11"/>
        <v xml:space="preserve"> </v>
      </c>
    </row>
    <row r="221" spans="1:14">
      <c r="A221" s="37">
        <f t="shared" si="9"/>
        <v>210</v>
      </c>
      <c r="D221" s="24"/>
      <c r="G221" s="48" t="str">
        <f>IF(F221=""," ",IF(ISNA(VLOOKUP(D221,'[2]stock-take'!$A:$E,4,FALSE)), "OUT OF STOCK", VLOOKUP(D221,'[2]stock-take'!$A:$E,4,FALSE)))</f>
        <v xml:space="preserve"> </v>
      </c>
      <c r="H221" s="48">
        <f>IF(ISNA(VLOOKUP(D221,'[2]stock-take'!$A:$E,3,FALSE)), 0, VLOOKUP(D221,'[2]stock-take'!$A:$E,3,FALSE))</f>
        <v>0</v>
      </c>
      <c r="I221" s="48" t="str">
        <f>IF(F221="", " ",IF(ISNA(VLOOKUP(D221,'[2]stock-take'!$G:$K,4,FALSE)), "OUT OF STOCK", VLOOKUP(D221,'[2]stock-take'!$G:$K,4,FALSE)))</f>
        <v xml:space="preserve"> </v>
      </c>
      <c r="J221" s="39">
        <f>IF(ISNA(VLOOKUP(D221,'[2]stock-take'!$G:$K,3,FALSE)), 0, VLOOKUP(D221,'[2]stock-take'!$G:$K,3,FALSE))</f>
        <v>0</v>
      </c>
      <c r="K221" s="49" t="str">
        <f>IF(F221="", " ", IF(ISNA(VLOOKUP(D221,'[2]stock-take'!$M:$Q,4,FALSE)), "OUT OF STOCK", VLOOKUP(D221,'[2]stock-take'!$M:$Q,4,FALSE)))</f>
        <v xml:space="preserve"> </v>
      </c>
      <c r="L221" s="47">
        <f>IF(ISNA(VLOOKUP(D221,'[2]stock-take'!$M:$Q,3,FALSE)), 0, VLOOKUP(D221,'[2]stock-take'!$M:$Q,3,FALSE))</f>
        <v>0</v>
      </c>
      <c r="M221" s="48" t="str">
        <f t="shared" si="10"/>
        <v xml:space="preserve"> </v>
      </c>
      <c r="N221" s="39" t="str">
        <f t="shared" si="11"/>
        <v xml:space="preserve"> </v>
      </c>
    </row>
    <row r="222" spans="1:14">
      <c r="A222" s="37">
        <f t="shared" si="9"/>
        <v>211</v>
      </c>
      <c r="D222" s="24"/>
      <c r="G222" s="48" t="str">
        <f>IF(F222=""," ",IF(ISNA(VLOOKUP(D222,'[2]stock-take'!$A:$E,4,FALSE)), "OUT OF STOCK", VLOOKUP(D222,'[2]stock-take'!$A:$E,4,FALSE)))</f>
        <v xml:space="preserve"> </v>
      </c>
      <c r="H222" s="48">
        <f>IF(ISNA(VLOOKUP(D222,'[2]stock-take'!$A:$E,3,FALSE)), 0, VLOOKUP(D222,'[2]stock-take'!$A:$E,3,FALSE))</f>
        <v>0</v>
      </c>
      <c r="I222" s="48" t="str">
        <f>IF(F222="", " ",IF(ISNA(VLOOKUP(D222,'[2]stock-take'!$G:$K,4,FALSE)), "OUT OF STOCK", VLOOKUP(D222,'[2]stock-take'!$G:$K,4,FALSE)))</f>
        <v xml:space="preserve"> </v>
      </c>
      <c r="J222" s="39">
        <f>IF(ISNA(VLOOKUP(D222,'[2]stock-take'!$G:$K,3,FALSE)), 0, VLOOKUP(D222,'[2]stock-take'!$G:$K,3,FALSE))</f>
        <v>0</v>
      </c>
      <c r="K222" s="49" t="str">
        <f>IF(F222="", " ", IF(ISNA(VLOOKUP(D222,'[2]stock-take'!$M:$Q,4,FALSE)), "OUT OF STOCK", VLOOKUP(D222,'[2]stock-take'!$M:$Q,4,FALSE)))</f>
        <v xml:space="preserve"> </v>
      </c>
      <c r="L222" s="47">
        <f>IF(ISNA(VLOOKUP(D222,'[2]stock-take'!$M:$Q,3,FALSE)), 0, VLOOKUP(D222,'[2]stock-take'!$M:$Q,3,FALSE))</f>
        <v>0</v>
      </c>
      <c r="M222" s="48" t="str">
        <f t="shared" si="10"/>
        <v xml:space="preserve"> </v>
      </c>
      <c r="N222" s="39" t="str">
        <f t="shared" si="11"/>
        <v xml:space="preserve"> </v>
      </c>
    </row>
    <row r="223" spans="1:14">
      <c r="A223" s="37">
        <f t="shared" si="9"/>
        <v>212</v>
      </c>
      <c r="G223" s="48" t="str">
        <f>IF(F223=""," ",IF(ISNA(VLOOKUP(D223,'[2]stock-take'!$A:$E,4,FALSE)), "OUT OF STOCK", VLOOKUP(D223,'[2]stock-take'!$A:$E,4,FALSE)))</f>
        <v xml:space="preserve"> </v>
      </c>
      <c r="H223" s="48">
        <f>IF(ISNA(VLOOKUP(D223,'[2]stock-take'!$A:$E,3,FALSE)), 0, VLOOKUP(D223,'[2]stock-take'!$A:$E,3,FALSE))</f>
        <v>0</v>
      </c>
      <c r="I223" s="48" t="str">
        <f>IF(F223="", " ",IF(ISNA(VLOOKUP(D223,'[2]stock-take'!$G:$K,4,FALSE)), "OUT OF STOCK", VLOOKUP(D223,'[2]stock-take'!$G:$K,4,FALSE)))</f>
        <v xml:space="preserve"> </v>
      </c>
      <c r="J223" s="39">
        <f>IF(ISNA(VLOOKUP(D223,'[2]stock-take'!$G:$K,3,FALSE)), 0, VLOOKUP(D223,'[2]stock-take'!$G:$K,3,FALSE))</f>
        <v>0</v>
      </c>
      <c r="K223" s="49" t="str">
        <f>IF(F223="", " ", IF(ISNA(VLOOKUP(D223,'[2]stock-take'!$M:$Q,4,FALSE)), "OUT OF STOCK", VLOOKUP(D223,'[2]stock-take'!$M:$Q,4,FALSE)))</f>
        <v xml:space="preserve"> </v>
      </c>
      <c r="L223" s="47">
        <f>IF(ISNA(VLOOKUP(D223,'[2]stock-take'!$M:$Q,3,FALSE)), 0, VLOOKUP(D223,'[2]stock-take'!$M:$Q,3,FALSE))</f>
        <v>0</v>
      </c>
      <c r="M223" s="48" t="str">
        <f t="shared" si="10"/>
        <v xml:space="preserve"> </v>
      </c>
      <c r="N223" s="39" t="str">
        <f t="shared" si="11"/>
        <v xml:space="preserve"> </v>
      </c>
    </row>
    <row r="224" spans="1:14">
      <c r="A224" s="37">
        <f t="shared" si="9"/>
        <v>213</v>
      </c>
      <c r="G224" s="48" t="str">
        <f>IF(F224=""," ",IF(ISNA(VLOOKUP(D224,'[2]stock-take'!$A:$E,4,FALSE)), "OUT OF STOCK", VLOOKUP(D224,'[2]stock-take'!$A:$E,4,FALSE)))</f>
        <v xml:space="preserve"> </v>
      </c>
      <c r="H224" s="48">
        <f>IF(ISNA(VLOOKUP(D224,'[2]stock-take'!$A:$E,3,FALSE)), 0, VLOOKUP(D224,'[2]stock-take'!$A:$E,3,FALSE))</f>
        <v>0</v>
      </c>
      <c r="I224" s="48" t="str">
        <f>IF(F224="", " ",IF(ISNA(VLOOKUP(D224,'[2]stock-take'!$G:$K,4,FALSE)), "OUT OF STOCK", VLOOKUP(D224,'[2]stock-take'!$G:$K,4,FALSE)))</f>
        <v xml:space="preserve"> </v>
      </c>
      <c r="J224" s="39">
        <f>IF(ISNA(VLOOKUP(D224,'[2]stock-take'!$G:$K,3,FALSE)), 0, VLOOKUP(D224,'[2]stock-take'!$G:$K,3,FALSE))</f>
        <v>0</v>
      </c>
      <c r="K224" s="49" t="str">
        <f>IF(F224="", " ", IF(ISNA(VLOOKUP(D224,'[2]stock-take'!$M:$Q,4,FALSE)), "OUT OF STOCK", VLOOKUP(D224,'[2]stock-take'!$M:$Q,4,FALSE)))</f>
        <v xml:space="preserve"> </v>
      </c>
      <c r="L224" s="47">
        <f>IF(ISNA(VLOOKUP(D224,'[2]stock-take'!$M:$Q,3,FALSE)), 0, VLOOKUP(D224,'[2]stock-take'!$M:$Q,3,FALSE))</f>
        <v>0</v>
      </c>
      <c r="M224" s="48" t="str">
        <f t="shared" si="10"/>
        <v xml:space="preserve"> </v>
      </c>
      <c r="N224" s="39" t="str">
        <f t="shared" si="11"/>
        <v xml:space="preserve"> </v>
      </c>
    </row>
    <row r="225" spans="1:14">
      <c r="A225" s="37">
        <f t="shared" si="9"/>
        <v>214</v>
      </c>
      <c r="G225" s="48" t="str">
        <f>IF(F225=""," ",IF(ISNA(VLOOKUP(D225,'[2]stock-take'!$A:$E,4,FALSE)), "OUT OF STOCK", VLOOKUP(D225,'[2]stock-take'!$A:$E,4,FALSE)))</f>
        <v xml:space="preserve"> </v>
      </c>
      <c r="H225" s="48">
        <f>IF(ISNA(VLOOKUP(D225,'[2]stock-take'!$A:$E,3,FALSE)), 0, VLOOKUP(D225,'[2]stock-take'!$A:$E,3,FALSE))</f>
        <v>0</v>
      </c>
      <c r="I225" s="48" t="str">
        <f>IF(F225="", " ",IF(ISNA(VLOOKUP(D225,'[2]stock-take'!$G:$K,4,FALSE)), "OUT OF STOCK", VLOOKUP(D225,'[2]stock-take'!$G:$K,4,FALSE)))</f>
        <v xml:space="preserve"> </v>
      </c>
      <c r="J225" s="39">
        <f>IF(ISNA(VLOOKUP(D225,'[2]stock-take'!$G:$K,3,FALSE)), 0, VLOOKUP(D225,'[2]stock-take'!$G:$K,3,FALSE))</f>
        <v>0</v>
      </c>
      <c r="K225" s="49" t="str">
        <f>IF(F225="", " ", IF(ISNA(VLOOKUP(D225,'[2]stock-take'!$M:$Q,4,FALSE)), "OUT OF STOCK", VLOOKUP(D225,'[2]stock-take'!$M:$Q,4,FALSE)))</f>
        <v xml:space="preserve"> </v>
      </c>
      <c r="L225" s="47">
        <f>IF(ISNA(VLOOKUP(D225,'[2]stock-take'!$M:$Q,3,FALSE)), 0, VLOOKUP(D225,'[2]stock-take'!$M:$Q,3,FALSE))</f>
        <v>0</v>
      </c>
      <c r="M225" s="48" t="str">
        <f t="shared" si="10"/>
        <v xml:space="preserve"> </v>
      </c>
      <c r="N225" s="39" t="str">
        <f t="shared" si="11"/>
        <v xml:space="preserve"> </v>
      </c>
    </row>
    <row r="226" spans="1:14">
      <c r="A226" s="37">
        <f t="shared" si="9"/>
        <v>215</v>
      </c>
      <c r="G226" s="48" t="str">
        <f>IF(F226=""," ",IF(ISNA(VLOOKUP(D226,'[2]stock-take'!$A:$E,4,FALSE)), "OUT OF STOCK", VLOOKUP(D226,'[2]stock-take'!$A:$E,4,FALSE)))</f>
        <v xml:space="preserve"> </v>
      </c>
      <c r="H226" s="48">
        <f>IF(ISNA(VLOOKUP(D226,'[2]stock-take'!$A:$E,3,FALSE)), 0, VLOOKUP(D226,'[2]stock-take'!$A:$E,3,FALSE))</f>
        <v>0</v>
      </c>
      <c r="I226" s="48" t="str">
        <f>IF(F226="", " ",IF(ISNA(VLOOKUP(D226,'[2]stock-take'!$G:$K,4,FALSE)), "OUT OF STOCK", VLOOKUP(D226,'[2]stock-take'!$G:$K,4,FALSE)))</f>
        <v xml:space="preserve"> </v>
      </c>
      <c r="J226" s="39">
        <f>IF(ISNA(VLOOKUP(D226,'[2]stock-take'!$G:$K,3,FALSE)), 0, VLOOKUP(D226,'[2]stock-take'!$G:$K,3,FALSE))</f>
        <v>0</v>
      </c>
      <c r="K226" s="49" t="str">
        <f>IF(F226="", " ", IF(ISNA(VLOOKUP(D226,'[2]stock-take'!$M:$Q,4,FALSE)), "OUT OF STOCK", VLOOKUP(D226,'[2]stock-take'!$M:$Q,4,FALSE)))</f>
        <v xml:space="preserve"> </v>
      </c>
      <c r="L226" s="47">
        <f>IF(ISNA(VLOOKUP(D226,'[2]stock-take'!$M:$Q,3,FALSE)), 0, VLOOKUP(D226,'[2]stock-take'!$M:$Q,3,FALSE))</f>
        <v>0</v>
      </c>
      <c r="M226" s="48" t="str">
        <f t="shared" si="10"/>
        <v xml:space="preserve"> </v>
      </c>
      <c r="N226" s="39" t="str">
        <f t="shared" si="11"/>
        <v xml:space="preserve"> </v>
      </c>
    </row>
    <row r="227" spans="1:14">
      <c r="A227" s="37">
        <f t="shared" si="9"/>
        <v>216</v>
      </c>
      <c r="G227" s="48" t="str">
        <f>IF(F227=""," ",IF(ISNA(VLOOKUP(D227,'[2]stock-take'!$A:$E,4,FALSE)), "OUT OF STOCK", VLOOKUP(D227,'[2]stock-take'!$A:$E,4,FALSE)))</f>
        <v xml:space="preserve"> </v>
      </c>
      <c r="H227" s="48">
        <f>IF(ISNA(VLOOKUP(D227,'[2]stock-take'!$A:$E,3,FALSE)), 0, VLOOKUP(D227,'[2]stock-take'!$A:$E,3,FALSE))</f>
        <v>0</v>
      </c>
      <c r="I227" s="48" t="str">
        <f>IF(F227="", " ",IF(ISNA(VLOOKUP(D227,'[2]stock-take'!$G:$K,4,FALSE)), "OUT OF STOCK", VLOOKUP(D227,'[2]stock-take'!$G:$K,4,FALSE)))</f>
        <v xml:space="preserve"> </v>
      </c>
      <c r="J227" s="39">
        <f>IF(ISNA(VLOOKUP(D227,'[2]stock-take'!$G:$K,3,FALSE)), 0, VLOOKUP(D227,'[2]stock-take'!$G:$K,3,FALSE))</f>
        <v>0</v>
      </c>
      <c r="K227" s="49" t="str">
        <f>IF(F227="", " ", IF(ISNA(VLOOKUP(D227,'[2]stock-take'!$M:$Q,4,FALSE)), "OUT OF STOCK", VLOOKUP(D227,'[2]stock-take'!$M:$Q,4,FALSE)))</f>
        <v xml:space="preserve"> </v>
      </c>
      <c r="L227" s="47">
        <f>IF(ISNA(VLOOKUP(D227,'[2]stock-take'!$M:$Q,3,FALSE)), 0, VLOOKUP(D227,'[2]stock-take'!$M:$Q,3,FALSE))</f>
        <v>0</v>
      </c>
      <c r="M227" s="48" t="str">
        <f t="shared" si="10"/>
        <v xml:space="preserve"> </v>
      </c>
      <c r="N227" s="39" t="str">
        <f t="shared" si="11"/>
        <v xml:space="preserve"> </v>
      </c>
    </row>
    <row r="228" spans="1:14">
      <c r="A228" s="37">
        <f t="shared" si="9"/>
        <v>217</v>
      </c>
      <c r="G228" s="48" t="str">
        <f>IF(F228=""," ",IF(ISNA(VLOOKUP(D228,'[2]stock-take'!$A:$E,4,FALSE)), "OUT OF STOCK", VLOOKUP(D228,'[2]stock-take'!$A:$E,4,FALSE)))</f>
        <v xml:space="preserve"> </v>
      </c>
      <c r="H228" s="48">
        <f>IF(ISNA(VLOOKUP(D228,'[2]stock-take'!$A:$E,3,FALSE)), 0, VLOOKUP(D228,'[2]stock-take'!$A:$E,3,FALSE))</f>
        <v>0</v>
      </c>
      <c r="I228" s="48" t="str">
        <f>IF(F228="", " ",IF(ISNA(VLOOKUP(D228,'[2]stock-take'!$G:$K,4,FALSE)), "OUT OF STOCK", VLOOKUP(D228,'[2]stock-take'!$G:$K,4,FALSE)))</f>
        <v xml:space="preserve"> </v>
      </c>
      <c r="J228" s="39">
        <f>IF(ISNA(VLOOKUP(D228,'[2]stock-take'!$G:$K,3,FALSE)), 0, VLOOKUP(D228,'[2]stock-take'!$G:$K,3,FALSE))</f>
        <v>0</v>
      </c>
      <c r="K228" s="49" t="str">
        <f>IF(F228="", " ", IF(ISNA(VLOOKUP(D228,'[2]stock-take'!$M:$Q,4,FALSE)), "OUT OF STOCK", VLOOKUP(D228,'[2]stock-take'!$M:$Q,4,FALSE)))</f>
        <v xml:space="preserve"> </v>
      </c>
      <c r="L228" s="47">
        <f>IF(ISNA(VLOOKUP(D228,'[2]stock-take'!$M:$Q,3,FALSE)), 0, VLOOKUP(D228,'[2]stock-take'!$M:$Q,3,FALSE))</f>
        <v>0</v>
      </c>
      <c r="M228" s="48" t="str">
        <f t="shared" si="10"/>
        <v xml:space="preserve"> </v>
      </c>
      <c r="N228" s="39" t="str">
        <f t="shared" si="11"/>
        <v xml:space="preserve"> </v>
      </c>
    </row>
    <row r="229" spans="1:14">
      <c r="A229" s="37">
        <f t="shared" si="9"/>
        <v>218</v>
      </c>
      <c r="G229" s="48" t="str">
        <f>IF(F229=""," ",IF(ISNA(VLOOKUP(D229,'[2]stock-take'!$A:$E,4,FALSE)), "OUT OF STOCK", VLOOKUP(D229,'[2]stock-take'!$A:$E,4,FALSE)))</f>
        <v xml:space="preserve"> </v>
      </c>
      <c r="H229" s="48">
        <f>IF(ISNA(VLOOKUP(D229,'[2]stock-take'!$A:$E,3,FALSE)), 0, VLOOKUP(D229,'[2]stock-take'!$A:$E,3,FALSE))</f>
        <v>0</v>
      </c>
      <c r="I229" s="48" t="str">
        <f>IF(F229="", " ",IF(ISNA(VLOOKUP(D229,'[2]stock-take'!$G:$K,4,FALSE)), "OUT OF STOCK", VLOOKUP(D229,'[2]stock-take'!$G:$K,4,FALSE)))</f>
        <v xml:space="preserve"> </v>
      </c>
      <c r="J229" s="39">
        <f>IF(ISNA(VLOOKUP(D229,'[2]stock-take'!$G:$K,3,FALSE)), 0, VLOOKUP(D229,'[2]stock-take'!$G:$K,3,FALSE))</f>
        <v>0</v>
      </c>
      <c r="K229" s="49" t="str">
        <f>IF(F229="", " ", IF(ISNA(VLOOKUP(D229,'[2]stock-take'!$M:$Q,4,FALSE)), "OUT OF STOCK", VLOOKUP(D229,'[2]stock-take'!$M:$Q,4,FALSE)))</f>
        <v xml:space="preserve"> </v>
      </c>
      <c r="L229" s="47">
        <f>IF(ISNA(VLOOKUP(D229,'[2]stock-take'!$M:$Q,3,FALSE)), 0, VLOOKUP(D229,'[2]stock-take'!$M:$Q,3,FALSE))</f>
        <v>0</v>
      </c>
      <c r="M229" s="48" t="str">
        <f t="shared" si="10"/>
        <v xml:space="preserve"> </v>
      </c>
      <c r="N229" s="39" t="str">
        <f t="shared" si="11"/>
        <v xml:space="preserve"> </v>
      </c>
    </row>
    <row r="230" spans="1:14">
      <c r="A230" s="37">
        <f t="shared" si="9"/>
        <v>219</v>
      </c>
      <c r="G230" s="48" t="str">
        <f>IF(F230=""," ",IF(ISNA(VLOOKUP(D230,'[2]stock-take'!$A:$E,4,FALSE)), "OUT OF STOCK", VLOOKUP(D230,'[2]stock-take'!$A:$E,4,FALSE)))</f>
        <v xml:space="preserve"> </v>
      </c>
      <c r="H230" s="48">
        <f>IF(ISNA(VLOOKUP(D230,'[2]stock-take'!$A:$E,3,FALSE)), 0, VLOOKUP(D230,'[2]stock-take'!$A:$E,3,FALSE))</f>
        <v>0</v>
      </c>
      <c r="I230" s="48" t="str">
        <f>IF(F230="", " ",IF(ISNA(VLOOKUP(D230,'[2]stock-take'!$G:$K,4,FALSE)), "OUT OF STOCK", VLOOKUP(D230,'[2]stock-take'!$G:$K,4,FALSE)))</f>
        <v xml:space="preserve"> </v>
      </c>
      <c r="J230" s="39">
        <f>IF(ISNA(VLOOKUP(D230,'[2]stock-take'!$G:$K,3,FALSE)), 0, VLOOKUP(D230,'[2]stock-take'!$G:$K,3,FALSE))</f>
        <v>0</v>
      </c>
      <c r="K230" s="49" t="str">
        <f>IF(F230="", " ", IF(ISNA(VLOOKUP(D230,'[2]stock-take'!$M:$Q,4,FALSE)), "OUT OF STOCK", VLOOKUP(D230,'[2]stock-take'!$M:$Q,4,FALSE)))</f>
        <v xml:space="preserve"> </v>
      </c>
      <c r="L230" s="47">
        <f>IF(ISNA(VLOOKUP(D230,'[2]stock-take'!$M:$Q,3,FALSE)), 0, VLOOKUP(D230,'[2]stock-take'!$M:$Q,3,FALSE))</f>
        <v>0</v>
      </c>
      <c r="M230" s="48" t="str">
        <f t="shared" si="10"/>
        <v xml:space="preserve"> </v>
      </c>
      <c r="N230" s="39" t="str">
        <f t="shared" si="11"/>
        <v xml:space="preserve"> </v>
      </c>
    </row>
    <row r="231" spans="1:14">
      <c r="A231" s="37">
        <f t="shared" si="9"/>
        <v>220</v>
      </c>
      <c r="G231" s="48" t="str">
        <f>IF(F231=""," ",IF(ISNA(VLOOKUP(D231,'[2]stock-take'!$A:$E,4,FALSE)), "OUT OF STOCK", VLOOKUP(D231,'[2]stock-take'!$A:$E,4,FALSE)))</f>
        <v xml:space="preserve"> </v>
      </c>
      <c r="H231" s="48">
        <f>IF(ISNA(VLOOKUP(D231,'[2]stock-take'!$A:$E,3,FALSE)), 0, VLOOKUP(D231,'[2]stock-take'!$A:$E,3,FALSE))</f>
        <v>0</v>
      </c>
      <c r="I231" s="48" t="str">
        <f>IF(F231="", " ",IF(ISNA(VLOOKUP(D231,'[2]stock-take'!$G:$K,4,FALSE)), "OUT OF STOCK", VLOOKUP(D231,'[2]stock-take'!$G:$K,4,FALSE)))</f>
        <v xml:space="preserve"> </v>
      </c>
      <c r="J231" s="39">
        <f>IF(ISNA(VLOOKUP(D231,'[2]stock-take'!$G:$K,3,FALSE)), 0, VLOOKUP(D231,'[2]stock-take'!$G:$K,3,FALSE))</f>
        <v>0</v>
      </c>
      <c r="K231" s="49" t="str">
        <f>IF(F231="", " ", IF(ISNA(VLOOKUP(D231,'[2]stock-take'!$M:$Q,4,FALSE)), "OUT OF STOCK", VLOOKUP(D231,'[2]stock-take'!$M:$Q,4,FALSE)))</f>
        <v xml:space="preserve"> </v>
      </c>
      <c r="L231" s="47">
        <f>IF(ISNA(VLOOKUP(D231,'[2]stock-take'!$M:$Q,3,FALSE)), 0, VLOOKUP(D231,'[2]stock-take'!$M:$Q,3,FALSE))</f>
        <v>0</v>
      </c>
      <c r="M231" s="48" t="str">
        <f t="shared" si="10"/>
        <v xml:space="preserve"> </v>
      </c>
      <c r="N231" s="39" t="str">
        <f t="shared" si="11"/>
        <v xml:space="preserve"> </v>
      </c>
    </row>
    <row r="232" spans="1:14">
      <c r="A232" s="37">
        <f t="shared" si="9"/>
        <v>221</v>
      </c>
      <c r="G232" s="48" t="str">
        <f>IF(F232=""," ",IF(ISNA(VLOOKUP(D232,'[2]stock-take'!$A:$E,4,FALSE)), "OUT OF STOCK", VLOOKUP(D232,'[2]stock-take'!$A:$E,4,FALSE)))</f>
        <v xml:space="preserve"> </v>
      </c>
      <c r="H232" s="48">
        <f>IF(ISNA(VLOOKUP(D232,'[2]stock-take'!$A:$E,3,FALSE)), 0, VLOOKUP(D232,'[2]stock-take'!$A:$E,3,FALSE))</f>
        <v>0</v>
      </c>
      <c r="I232" s="48" t="str">
        <f>IF(F232="", " ",IF(ISNA(VLOOKUP(D232,'[2]stock-take'!$G:$K,4,FALSE)), "OUT OF STOCK", VLOOKUP(D232,'[2]stock-take'!$G:$K,4,FALSE)))</f>
        <v xml:space="preserve"> </v>
      </c>
      <c r="J232" s="39">
        <f>IF(ISNA(VLOOKUP(D232,'[2]stock-take'!$G:$K,3,FALSE)), 0, VLOOKUP(D232,'[2]stock-take'!$G:$K,3,FALSE))</f>
        <v>0</v>
      </c>
      <c r="K232" s="49" t="str">
        <f>IF(F232="", " ", IF(ISNA(VLOOKUP(D232,'[2]stock-take'!$M:$Q,4,FALSE)), "OUT OF STOCK", VLOOKUP(D232,'[2]stock-take'!$M:$Q,4,FALSE)))</f>
        <v xml:space="preserve"> </v>
      </c>
      <c r="L232" s="47">
        <f>IF(ISNA(VLOOKUP(D232,'[2]stock-take'!$M:$Q,3,FALSE)), 0, VLOOKUP(D232,'[2]stock-take'!$M:$Q,3,FALSE))</f>
        <v>0</v>
      </c>
      <c r="M232" s="48" t="str">
        <f t="shared" si="10"/>
        <v xml:space="preserve"> </v>
      </c>
      <c r="N232" s="39" t="str">
        <f t="shared" si="11"/>
        <v xml:space="preserve"> </v>
      </c>
    </row>
    <row r="233" spans="1:14">
      <c r="A233" s="37">
        <f t="shared" si="9"/>
        <v>222</v>
      </c>
      <c r="G233" s="48" t="str">
        <f>IF(F233=""," ",IF(ISNA(VLOOKUP(D233,'[2]stock-take'!$A:$E,4,FALSE)), "OUT OF STOCK", VLOOKUP(D233,'[2]stock-take'!$A:$E,4,FALSE)))</f>
        <v xml:space="preserve"> </v>
      </c>
      <c r="H233" s="48">
        <f>IF(ISNA(VLOOKUP(D233,'[2]stock-take'!$A:$E,3,FALSE)), 0, VLOOKUP(D233,'[2]stock-take'!$A:$E,3,FALSE))</f>
        <v>0</v>
      </c>
      <c r="I233" s="48" t="str">
        <f>IF(F233="", " ",IF(ISNA(VLOOKUP(D233,'[2]stock-take'!$G:$K,4,FALSE)), "OUT OF STOCK", VLOOKUP(D233,'[2]stock-take'!$G:$K,4,FALSE)))</f>
        <v xml:space="preserve"> </v>
      </c>
      <c r="J233" s="39">
        <f>IF(ISNA(VLOOKUP(D233,'[2]stock-take'!$G:$K,3,FALSE)), 0, VLOOKUP(D233,'[2]stock-take'!$G:$K,3,FALSE))</f>
        <v>0</v>
      </c>
      <c r="K233" s="49" t="str">
        <f>IF(F233="", " ", IF(ISNA(VLOOKUP(D233,'[2]stock-take'!$M:$Q,4,FALSE)), "OUT OF STOCK", VLOOKUP(D233,'[2]stock-take'!$M:$Q,4,FALSE)))</f>
        <v xml:space="preserve"> </v>
      </c>
      <c r="L233" s="47">
        <f>IF(ISNA(VLOOKUP(D233,'[2]stock-take'!$M:$Q,3,FALSE)), 0, VLOOKUP(D233,'[2]stock-take'!$M:$Q,3,FALSE))</f>
        <v>0</v>
      </c>
      <c r="M233" s="48" t="str">
        <f t="shared" si="10"/>
        <v xml:space="preserve"> </v>
      </c>
      <c r="N233" s="39" t="str">
        <f t="shared" si="11"/>
        <v xml:space="preserve"> </v>
      </c>
    </row>
    <row r="234" spans="1:14">
      <c r="A234" s="37">
        <f t="shared" si="9"/>
        <v>223</v>
      </c>
      <c r="G234" s="48" t="str">
        <f>IF(F234=""," ",IF(ISNA(VLOOKUP(D234,'[2]stock-take'!$A:$E,4,FALSE)), "OUT OF STOCK", VLOOKUP(D234,'[2]stock-take'!$A:$E,4,FALSE)))</f>
        <v xml:space="preserve"> </v>
      </c>
      <c r="H234" s="48">
        <f>IF(ISNA(VLOOKUP(D234,'[2]stock-take'!$A:$E,3,FALSE)), 0, VLOOKUP(D234,'[2]stock-take'!$A:$E,3,FALSE))</f>
        <v>0</v>
      </c>
      <c r="I234" s="48" t="str">
        <f>IF(F234="", " ",IF(ISNA(VLOOKUP(D234,'[2]stock-take'!$G:$K,4,FALSE)), "OUT OF STOCK", VLOOKUP(D234,'[2]stock-take'!$G:$K,4,FALSE)))</f>
        <v xml:space="preserve"> </v>
      </c>
      <c r="J234" s="39">
        <f>IF(ISNA(VLOOKUP(D234,'[2]stock-take'!$G:$K,3,FALSE)), 0, VLOOKUP(D234,'[2]stock-take'!$G:$K,3,FALSE))</f>
        <v>0</v>
      </c>
      <c r="K234" s="49" t="str">
        <f>IF(F234="", " ", IF(ISNA(VLOOKUP(D234,'[2]stock-take'!$M:$Q,4,FALSE)), "OUT OF STOCK", VLOOKUP(D234,'[2]stock-take'!$M:$Q,4,FALSE)))</f>
        <v xml:space="preserve"> </v>
      </c>
      <c r="L234" s="47">
        <f>IF(ISNA(VLOOKUP(D234,'[2]stock-take'!$M:$Q,3,FALSE)), 0, VLOOKUP(D234,'[2]stock-take'!$M:$Q,3,FALSE))</f>
        <v>0</v>
      </c>
      <c r="M234" s="48" t="str">
        <f t="shared" si="10"/>
        <v xml:space="preserve"> </v>
      </c>
      <c r="N234" s="39" t="str">
        <f t="shared" si="11"/>
        <v xml:space="preserve"> </v>
      </c>
    </row>
    <row r="235" spans="1:14">
      <c r="A235" s="37">
        <f t="shared" si="9"/>
        <v>224</v>
      </c>
      <c r="G235" s="48" t="str">
        <f>IF(F235=""," ",IF(ISNA(VLOOKUP(D235,'[2]stock-take'!$A:$E,4,FALSE)), "OUT OF STOCK", VLOOKUP(D235,'[2]stock-take'!$A:$E,4,FALSE)))</f>
        <v xml:space="preserve"> </v>
      </c>
      <c r="H235" s="48">
        <f>IF(ISNA(VLOOKUP(D235,'[2]stock-take'!$A:$E,3,FALSE)), 0, VLOOKUP(D235,'[2]stock-take'!$A:$E,3,FALSE))</f>
        <v>0</v>
      </c>
      <c r="I235" s="48" t="str">
        <f>IF(F235="", " ",IF(ISNA(VLOOKUP(D235,'[2]stock-take'!$G:$K,4,FALSE)), "OUT OF STOCK", VLOOKUP(D235,'[2]stock-take'!$G:$K,4,FALSE)))</f>
        <v xml:space="preserve"> </v>
      </c>
      <c r="J235" s="39">
        <f>IF(ISNA(VLOOKUP(D235,'[2]stock-take'!$G:$K,3,FALSE)), 0, VLOOKUP(D235,'[2]stock-take'!$G:$K,3,FALSE))</f>
        <v>0</v>
      </c>
      <c r="K235" s="49" t="str">
        <f>IF(F235="", " ", IF(ISNA(VLOOKUP(D235,'[2]stock-take'!$M:$Q,4,FALSE)), "OUT OF STOCK", VLOOKUP(D235,'[2]stock-take'!$M:$Q,4,FALSE)))</f>
        <v xml:space="preserve"> </v>
      </c>
      <c r="L235" s="47">
        <f>IF(ISNA(VLOOKUP(D235,'[2]stock-take'!$M:$Q,3,FALSE)), 0, VLOOKUP(D235,'[2]stock-take'!$M:$Q,3,FALSE))</f>
        <v>0</v>
      </c>
      <c r="M235" s="48" t="str">
        <f t="shared" si="10"/>
        <v xml:space="preserve"> </v>
      </c>
      <c r="N235" s="39" t="str">
        <f t="shared" si="11"/>
        <v xml:space="preserve"> </v>
      </c>
    </row>
    <row r="236" spans="1:14">
      <c r="A236" s="37">
        <f t="shared" si="9"/>
        <v>225</v>
      </c>
      <c r="G236" s="48" t="str">
        <f>IF(F236=""," ",IF(ISNA(VLOOKUP(D236,'[2]stock-take'!$A:$E,4,FALSE)), "OUT OF STOCK", VLOOKUP(D236,'[2]stock-take'!$A:$E,4,FALSE)))</f>
        <v xml:space="preserve"> </v>
      </c>
      <c r="H236" s="48">
        <f>IF(ISNA(VLOOKUP(D236,'[2]stock-take'!$A:$E,3,FALSE)), 0, VLOOKUP(D236,'[2]stock-take'!$A:$E,3,FALSE))</f>
        <v>0</v>
      </c>
      <c r="I236" s="48" t="str">
        <f>IF(F236="", " ",IF(ISNA(VLOOKUP(D236,'[2]stock-take'!$G:$K,4,FALSE)), "OUT OF STOCK", VLOOKUP(D236,'[2]stock-take'!$G:$K,4,FALSE)))</f>
        <v xml:space="preserve"> </v>
      </c>
      <c r="J236" s="39">
        <f>IF(ISNA(VLOOKUP(D236,'[2]stock-take'!$G:$K,3,FALSE)), 0, VLOOKUP(D236,'[2]stock-take'!$G:$K,3,FALSE))</f>
        <v>0</v>
      </c>
      <c r="K236" s="49" t="str">
        <f>IF(F236="", " ", IF(ISNA(VLOOKUP(D236,'[2]stock-take'!$M:$Q,4,FALSE)), "OUT OF STOCK", VLOOKUP(D236,'[2]stock-take'!$M:$Q,4,FALSE)))</f>
        <v xml:space="preserve"> </v>
      </c>
      <c r="L236" s="47">
        <f>IF(ISNA(VLOOKUP(D236,'[2]stock-take'!$M:$Q,3,FALSE)), 0, VLOOKUP(D236,'[2]stock-take'!$M:$Q,3,FALSE))</f>
        <v>0</v>
      </c>
      <c r="M236" s="48" t="str">
        <f t="shared" si="10"/>
        <v xml:space="preserve"> </v>
      </c>
      <c r="N236" s="39" t="str">
        <f t="shared" si="11"/>
        <v xml:space="preserve"> </v>
      </c>
    </row>
    <row r="237" spans="1:14">
      <c r="A237" s="37">
        <f t="shared" si="9"/>
        <v>226</v>
      </c>
      <c r="G237" s="48" t="str">
        <f>IF(F237=""," ",IF(ISNA(VLOOKUP(D237,'[2]stock-take'!$A:$E,4,FALSE)), "OUT OF STOCK", VLOOKUP(D237,'[2]stock-take'!$A:$E,4,FALSE)))</f>
        <v xml:space="preserve"> </v>
      </c>
      <c r="H237" s="48">
        <f>IF(ISNA(VLOOKUP(D237,'[2]stock-take'!$A:$E,3,FALSE)), 0, VLOOKUP(D237,'[2]stock-take'!$A:$E,3,FALSE))</f>
        <v>0</v>
      </c>
      <c r="I237" s="48" t="str">
        <f>IF(F237="", " ",IF(ISNA(VLOOKUP(D237,'[2]stock-take'!$G:$K,4,FALSE)), "OUT OF STOCK", VLOOKUP(D237,'[2]stock-take'!$G:$K,4,FALSE)))</f>
        <v xml:space="preserve"> </v>
      </c>
      <c r="J237" s="39">
        <f>IF(ISNA(VLOOKUP(D237,'[2]stock-take'!$G:$K,3,FALSE)), 0, VLOOKUP(D237,'[2]stock-take'!$G:$K,3,FALSE))</f>
        <v>0</v>
      </c>
      <c r="K237" s="49" t="str">
        <f>IF(F237="", " ", IF(ISNA(VLOOKUP(D237,'[2]stock-take'!$M:$Q,4,FALSE)), "OUT OF STOCK", VLOOKUP(D237,'[2]stock-take'!$M:$Q,4,FALSE)))</f>
        <v xml:space="preserve"> </v>
      </c>
      <c r="L237" s="47">
        <f>IF(ISNA(VLOOKUP(D237,'[2]stock-take'!$M:$Q,3,FALSE)), 0, VLOOKUP(D237,'[2]stock-take'!$M:$Q,3,FALSE))</f>
        <v>0</v>
      </c>
      <c r="M237" s="48" t="str">
        <f t="shared" si="10"/>
        <v xml:space="preserve"> </v>
      </c>
      <c r="N237" s="39" t="str">
        <f t="shared" si="11"/>
        <v xml:space="preserve"> </v>
      </c>
    </row>
    <row r="238" spans="1:14">
      <c r="A238" s="37">
        <f t="shared" si="9"/>
        <v>227</v>
      </c>
      <c r="G238" s="48" t="str">
        <f>IF(F238=""," ",IF(ISNA(VLOOKUP(D238,'[2]stock-take'!$A:$E,4,FALSE)), "OUT OF STOCK", VLOOKUP(D238,'[2]stock-take'!$A:$E,4,FALSE)))</f>
        <v xml:space="preserve"> </v>
      </c>
      <c r="H238" s="48">
        <f>IF(ISNA(VLOOKUP(D238,'[2]stock-take'!$A:$E,3,FALSE)), 0, VLOOKUP(D238,'[2]stock-take'!$A:$E,3,FALSE))</f>
        <v>0</v>
      </c>
      <c r="I238" s="48" t="str">
        <f>IF(F238="", " ",IF(ISNA(VLOOKUP(D238,'[2]stock-take'!$G:$K,4,FALSE)), "OUT OF STOCK", VLOOKUP(D238,'[2]stock-take'!$G:$K,4,FALSE)))</f>
        <v xml:space="preserve"> </v>
      </c>
      <c r="J238" s="39">
        <f>IF(ISNA(VLOOKUP(D238,'[2]stock-take'!$G:$K,3,FALSE)), 0, VLOOKUP(D238,'[2]stock-take'!$G:$K,3,FALSE))</f>
        <v>0</v>
      </c>
      <c r="K238" s="49" t="str">
        <f>IF(F238="", " ", IF(ISNA(VLOOKUP(D238,'[2]stock-take'!$M:$Q,4,FALSE)), "OUT OF STOCK", VLOOKUP(D238,'[2]stock-take'!$M:$Q,4,FALSE)))</f>
        <v xml:space="preserve"> </v>
      </c>
      <c r="L238" s="47">
        <f>IF(ISNA(VLOOKUP(D238,'[2]stock-take'!$M:$Q,3,FALSE)), 0, VLOOKUP(D238,'[2]stock-take'!$M:$Q,3,FALSE))</f>
        <v>0</v>
      </c>
      <c r="M238" s="48" t="str">
        <f t="shared" si="10"/>
        <v xml:space="preserve"> </v>
      </c>
      <c r="N238" s="39" t="str">
        <f t="shared" si="11"/>
        <v xml:space="preserve"> </v>
      </c>
    </row>
    <row r="239" spans="1:14">
      <c r="A239" s="37">
        <f t="shared" si="9"/>
        <v>228</v>
      </c>
      <c r="G239" s="48" t="str">
        <f>IF(F239=""," ",IF(ISNA(VLOOKUP(D239,'[2]stock-take'!$A:$E,4,FALSE)), "OUT OF STOCK", VLOOKUP(D239,'[2]stock-take'!$A:$E,4,FALSE)))</f>
        <v xml:space="preserve"> </v>
      </c>
      <c r="H239" s="48">
        <f>IF(ISNA(VLOOKUP(D239,'[2]stock-take'!$A:$E,3,FALSE)), 0, VLOOKUP(D239,'[2]stock-take'!$A:$E,3,FALSE))</f>
        <v>0</v>
      </c>
      <c r="I239" s="48" t="str">
        <f>IF(F239="", " ",IF(ISNA(VLOOKUP(D239,'[2]stock-take'!$G:$K,4,FALSE)), "OUT OF STOCK", VLOOKUP(D239,'[2]stock-take'!$G:$K,4,FALSE)))</f>
        <v xml:space="preserve"> </v>
      </c>
      <c r="J239" s="39">
        <f>IF(ISNA(VLOOKUP(D239,'[2]stock-take'!$G:$K,3,FALSE)), 0, VLOOKUP(D239,'[2]stock-take'!$G:$K,3,FALSE))</f>
        <v>0</v>
      </c>
      <c r="K239" s="49" t="str">
        <f>IF(F239="", " ", IF(ISNA(VLOOKUP(D239,'[2]stock-take'!$M:$Q,4,FALSE)), "OUT OF STOCK", VLOOKUP(D239,'[2]stock-take'!$M:$Q,4,FALSE)))</f>
        <v xml:space="preserve"> </v>
      </c>
      <c r="L239" s="47">
        <f>IF(ISNA(VLOOKUP(D239,'[2]stock-take'!$M:$Q,3,FALSE)), 0, VLOOKUP(D239,'[2]stock-take'!$M:$Q,3,FALSE))</f>
        <v>0</v>
      </c>
      <c r="M239" s="48" t="str">
        <f t="shared" si="10"/>
        <v xml:space="preserve"> </v>
      </c>
      <c r="N239" s="39" t="str">
        <f t="shared" si="11"/>
        <v xml:space="preserve"> </v>
      </c>
    </row>
    <row r="240" spans="1:14">
      <c r="A240" s="37">
        <f t="shared" si="9"/>
        <v>229</v>
      </c>
      <c r="G240" s="48" t="str">
        <f>IF(F240=""," ",IF(ISNA(VLOOKUP(D240,'[2]stock-take'!$A:$E,4,FALSE)), "OUT OF STOCK", VLOOKUP(D240,'[2]stock-take'!$A:$E,4,FALSE)))</f>
        <v xml:space="preserve"> </v>
      </c>
      <c r="H240" s="48">
        <f>IF(ISNA(VLOOKUP(D240,'[2]stock-take'!$A:$E,3,FALSE)), 0, VLOOKUP(D240,'[2]stock-take'!$A:$E,3,FALSE))</f>
        <v>0</v>
      </c>
      <c r="I240" s="48" t="str">
        <f>IF(F240="", " ",IF(ISNA(VLOOKUP(D240,'[2]stock-take'!$G:$K,4,FALSE)), "OUT OF STOCK", VLOOKUP(D240,'[2]stock-take'!$G:$K,4,FALSE)))</f>
        <v xml:space="preserve"> </v>
      </c>
      <c r="J240" s="39">
        <f>IF(ISNA(VLOOKUP(D240,'[2]stock-take'!$G:$K,3,FALSE)), 0, VLOOKUP(D240,'[2]stock-take'!$G:$K,3,FALSE))</f>
        <v>0</v>
      </c>
      <c r="K240" s="49" t="str">
        <f>IF(F240="", " ", IF(ISNA(VLOOKUP(D240,'[2]stock-take'!$M:$Q,4,FALSE)), "OUT OF STOCK", VLOOKUP(D240,'[2]stock-take'!$M:$Q,4,FALSE)))</f>
        <v xml:space="preserve"> </v>
      </c>
      <c r="L240" s="47">
        <f>IF(ISNA(VLOOKUP(D240,'[2]stock-take'!$M:$Q,3,FALSE)), 0, VLOOKUP(D240,'[2]stock-take'!$M:$Q,3,FALSE))</f>
        <v>0</v>
      </c>
      <c r="M240" s="48" t="str">
        <f t="shared" si="10"/>
        <v xml:space="preserve"> </v>
      </c>
      <c r="N240" s="39" t="str">
        <f t="shared" si="11"/>
        <v xml:space="preserve"> </v>
      </c>
    </row>
    <row r="241" spans="1:14">
      <c r="A241" s="37">
        <f t="shared" si="9"/>
        <v>230</v>
      </c>
      <c r="G241" s="48" t="str">
        <f>IF(F241=""," ",IF(ISNA(VLOOKUP(D241,'[2]stock-take'!$A:$E,4,FALSE)), "OUT OF STOCK", VLOOKUP(D241,'[2]stock-take'!$A:$E,4,FALSE)))</f>
        <v xml:space="preserve"> </v>
      </c>
      <c r="H241" s="48">
        <f>IF(ISNA(VLOOKUP(D241,'[2]stock-take'!$A:$E,3,FALSE)), 0, VLOOKUP(D241,'[2]stock-take'!$A:$E,3,FALSE))</f>
        <v>0</v>
      </c>
      <c r="I241" s="48" t="str">
        <f>IF(F241="", " ",IF(ISNA(VLOOKUP(D241,'[2]stock-take'!$G:$K,4,FALSE)), "OUT OF STOCK", VLOOKUP(D241,'[2]stock-take'!$G:$K,4,FALSE)))</f>
        <v xml:space="preserve"> </v>
      </c>
      <c r="J241" s="39">
        <f>IF(ISNA(VLOOKUP(D241,'[2]stock-take'!$G:$K,3,FALSE)), 0, VLOOKUP(D241,'[2]stock-take'!$G:$K,3,FALSE))</f>
        <v>0</v>
      </c>
      <c r="K241" s="49" t="str">
        <f>IF(F241="", " ", IF(ISNA(VLOOKUP(D241,'[2]stock-take'!$M:$Q,4,FALSE)), "OUT OF STOCK", VLOOKUP(D241,'[2]stock-take'!$M:$Q,4,FALSE)))</f>
        <v xml:space="preserve"> </v>
      </c>
      <c r="L241" s="47">
        <f>IF(ISNA(VLOOKUP(D241,'[2]stock-take'!$M:$Q,3,FALSE)), 0, VLOOKUP(D241,'[2]stock-take'!$M:$Q,3,FALSE))</f>
        <v>0</v>
      </c>
      <c r="M241" s="48" t="str">
        <f t="shared" si="10"/>
        <v xml:space="preserve"> </v>
      </c>
      <c r="N241" s="39" t="str">
        <f t="shared" si="11"/>
        <v xml:space="preserve"> </v>
      </c>
    </row>
    <row r="242" spans="1:14">
      <c r="A242" s="37">
        <f t="shared" si="9"/>
        <v>231</v>
      </c>
      <c r="G242" s="48" t="str">
        <f>IF(F242=""," ",IF(ISNA(VLOOKUP(D242,'[2]stock-take'!$A:$E,4,FALSE)), "OUT OF STOCK", VLOOKUP(D242,'[2]stock-take'!$A:$E,4,FALSE)))</f>
        <v xml:space="preserve"> </v>
      </c>
      <c r="H242" s="48">
        <f>IF(ISNA(VLOOKUP(D242,'[2]stock-take'!$A:$E,3,FALSE)), 0, VLOOKUP(D242,'[2]stock-take'!$A:$E,3,FALSE))</f>
        <v>0</v>
      </c>
      <c r="I242" s="48" t="str">
        <f>IF(F242="", " ",IF(ISNA(VLOOKUP(D242,'[2]stock-take'!$G:$K,4,FALSE)), "OUT OF STOCK", VLOOKUP(D242,'[2]stock-take'!$G:$K,4,FALSE)))</f>
        <v xml:space="preserve"> </v>
      </c>
      <c r="J242" s="39">
        <f>IF(ISNA(VLOOKUP(D242,'[2]stock-take'!$G:$K,3,FALSE)), 0, VLOOKUP(D242,'[2]stock-take'!$G:$K,3,FALSE))</f>
        <v>0</v>
      </c>
      <c r="K242" s="49" t="str">
        <f>IF(F242="", " ", IF(ISNA(VLOOKUP(D242,'[2]stock-take'!$M:$Q,4,FALSE)), "OUT OF STOCK", VLOOKUP(D242,'[2]stock-take'!$M:$Q,4,FALSE)))</f>
        <v xml:space="preserve"> </v>
      </c>
      <c r="L242" s="47">
        <f>IF(ISNA(VLOOKUP(D242,'[2]stock-take'!$M:$Q,3,FALSE)), 0, VLOOKUP(D242,'[2]stock-take'!$M:$Q,3,FALSE))</f>
        <v>0</v>
      </c>
      <c r="M242" s="48" t="str">
        <f t="shared" si="10"/>
        <v xml:space="preserve"> </v>
      </c>
      <c r="N242" s="39" t="str">
        <f t="shared" si="11"/>
        <v xml:space="preserve"> </v>
      </c>
    </row>
    <row r="243" spans="1:14">
      <c r="A243" s="37">
        <f t="shared" si="9"/>
        <v>232</v>
      </c>
      <c r="G243" s="48" t="str">
        <f>IF(F243=""," ",IF(ISNA(VLOOKUP(D243,'[2]stock-take'!$A:$E,4,FALSE)), "OUT OF STOCK", VLOOKUP(D243,'[2]stock-take'!$A:$E,4,FALSE)))</f>
        <v xml:space="preserve"> </v>
      </c>
      <c r="H243" s="48">
        <f>IF(ISNA(VLOOKUP(D243,'[2]stock-take'!$A:$E,3,FALSE)), 0, VLOOKUP(D243,'[2]stock-take'!$A:$E,3,FALSE))</f>
        <v>0</v>
      </c>
      <c r="I243" s="48" t="str">
        <f>IF(F243="", " ",IF(ISNA(VLOOKUP(D243,'[2]stock-take'!$G:$K,4,FALSE)), "OUT OF STOCK", VLOOKUP(D243,'[2]stock-take'!$G:$K,4,FALSE)))</f>
        <v xml:space="preserve"> </v>
      </c>
      <c r="J243" s="39">
        <f>IF(ISNA(VLOOKUP(D243,'[2]stock-take'!$G:$K,3,FALSE)), 0, VLOOKUP(D243,'[2]stock-take'!$G:$K,3,FALSE))</f>
        <v>0</v>
      </c>
      <c r="K243" s="49" t="str">
        <f>IF(F243="", " ", IF(ISNA(VLOOKUP(D243,'[2]stock-take'!$M:$Q,4,FALSE)), "OUT OF STOCK", VLOOKUP(D243,'[2]stock-take'!$M:$Q,4,FALSE)))</f>
        <v xml:space="preserve"> </v>
      </c>
      <c r="L243" s="47">
        <f>IF(ISNA(VLOOKUP(D243,'[2]stock-take'!$M:$Q,3,FALSE)), 0, VLOOKUP(D243,'[2]stock-take'!$M:$Q,3,FALSE))</f>
        <v>0</v>
      </c>
      <c r="M243" s="48" t="str">
        <f t="shared" si="10"/>
        <v xml:space="preserve"> </v>
      </c>
      <c r="N243" s="39" t="str">
        <f t="shared" si="11"/>
        <v xml:space="preserve"> </v>
      </c>
    </row>
    <row r="244" spans="1:14">
      <c r="A244" s="37">
        <f t="shared" si="9"/>
        <v>233</v>
      </c>
      <c r="G244" s="48" t="str">
        <f>IF(F244=""," ",IF(ISNA(VLOOKUP(D244,'[2]stock-take'!$A:$E,4,FALSE)), "OUT OF STOCK", VLOOKUP(D244,'[2]stock-take'!$A:$E,4,FALSE)))</f>
        <v xml:space="preserve"> </v>
      </c>
      <c r="H244" s="48">
        <f>IF(ISNA(VLOOKUP(D244,'[2]stock-take'!$A:$E,3,FALSE)), 0, VLOOKUP(D244,'[2]stock-take'!$A:$E,3,FALSE))</f>
        <v>0</v>
      </c>
      <c r="I244" s="48" t="str">
        <f>IF(F244="", " ",IF(ISNA(VLOOKUP(D244,'[2]stock-take'!$G:$K,4,FALSE)), "OUT OF STOCK", VLOOKUP(D244,'[2]stock-take'!$G:$K,4,FALSE)))</f>
        <v xml:space="preserve"> </v>
      </c>
      <c r="J244" s="39">
        <f>IF(ISNA(VLOOKUP(D244,'[2]stock-take'!$G:$K,3,FALSE)), 0, VLOOKUP(D244,'[2]stock-take'!$G:$K,3,FALSE))</f>
        <v>0</v>
      </c>
      <c r="K244" s="49" t="str">
        <f>IF(F244="", " ", IF(ISNA(VLOOKUP(D244,'[2]stock-take'!$M:$Q,4,FALSE)), "OUT OF STOCK", VLOOKUP(D244,'[2]stock-take'!$M:$Q,4,FALSE)))</f>
        <v xml:space="preserve"> </v>
      </c>
      <c r="L244" s="47">
        <f>IF(ISNA(VLOOKUP(D244,'[2]stock-take'!$M:$Q,3,FALSE)), 0, VLOOKUP(D244,'[2]stock-take'!$M:$Q,3,FALSE))</f>
        <v>0</v>
      </c>
      <c r="M244" s="48" t="str">
        <f t="shared" si="10"/>
        <v xml:space="preserve"> </v>
      </c>
      <c r="N244" s="39" t="str">
        <f t="shared" si="11"/>
        <v xml:space="preserve"> </v>
      </c>
    </row>
    <row r="245" spans="1:14">
      <c r="A245" s="37">
        <f t="shared" si="9"/>
        <v>234</v>
      </c>
      <c r="G245" s="48" t="str">
        <f>IF(F245=""," ",IF(ISNA(VLOOKUP(D245,'[2]stock-take'!$A:$E,4,FALSE)), "OUT OF STOCK", VLOOKUP(D245,'[2]stock-take'!$A:$E,4,FALSE)))</f>
        <v xml:space="preserve"> </v>
      </c>
      <c r="H245" s="48">
        <f>IF(ISNA(VLOOKUP(D245,'[2]stock-take'!$A:$E,3,FALSE)), 0, VLOOKUP(D245,'[2]stock-take'!$A:$E,3,FALSE))</f>
        <v>0</v>
      </c>
      <c r="I245" s="48" t="str">
        <f>IF(F245="", " ",IF(ISNA(VLOOKUP(D245,'[2]stock-take'!$G:$K,4,FALSE)), "OUT OF STOCK", VLOOKUP(D245,'[2]stock-take'!$G:$K,4,FALSE)))</f>
        <v xml:space="preserve"> </v>
      </c>
      <c r="J245" s="39">
        <f>IF(ISNA(VLOOKUP(D245,'[2]stock-take'!$G:$K,3,FALSE)), 0, VLOOKUP(D245,'[2]stock-take'!$G:$K,3,FALSE))</f>
        <v>0</v>
      </c>
      <c r="K245" s="49" t="str">
        <f>IF(F245="", " ", IF(ISNA(VLOOKUP(D245,'[2]stock-take'!$M:$Q,4,FALSE)), "OUT OF STOCK", VLOOKUP(D245,'[2]stock-take'!$M:$Q,4,FALSE)))</f>
        <v xml:space="preserve"> </v>
      </c>
      <c r="L245" s="47">
        <f>IF(ISNA(VLOOKUP(D245,'[2]stock-take'!$M:$Q,3,FALSE)), 0, VLOOKUP(D245,'[2]stock-take'!$M:$Q,3,FALSE))</f>
        <v>0</v>
      </c>
      <c r="M245" s="48" t="str">
        <f t="shared" si="10"/>
        <v xml:space="preserve"> </v>
      </c>
      <c r="N245" s="39" t="str">
        <f t="shared" si="11"/>
        <v xml:space="preserve"> </v>
      </c>
    </row>
    <row r="246" spans="1:14">
      <c r="A246" s="37">
        <f t="shared" si="9"/>
        <v>235</v>
      </c>
      <c r="G246" s="48" t="str">
        <f>IF(F246=""," ",IF(ISNA(VLOOKUP(D246,'[2]stock-take'!$A:$E,4,FALSE)), "OUT OF STOCK", VLOOKUP(D246,'[2]stock-take'!$A:$E,4,FALSE)))</f>
        <v xml:space="preserve"> </v>
      </c>
      <c r="H246" s="48">
        <f>IF(ISNA(VLOOKUP(D246,'[2]stock-take'!$A:$E,3,FALSE)), 0, VLOOKUP(D246,'[2]stock-take'!$A:$E,3,FALSE))</f>
        <v>0</v>
      </c>
      <c r="I246" s="48" t="str">
        <f>IF(F246="", " ",IF(ISNA(VLOOKUP(D246,'[2]stock-take'!$G:$K,4,FALSE)), "OUT OF STOCK", VLOOKUP(D246,'[2]stock-take'!$G:$K,4,FALSE)))</f>
        <v xml:space="preserve"> </v>
      </c>
      <c r="J246" s="39">
        <f>IF(ISNA(VLOOKUP(D246,'[2]stock-take'!$G:$K,3,FALSE)), 0, VLOOKUP(D246,'[2]stock-take'!$G:$K,3,FALSE))</f>
        <v>0</v>
      </c>
      <c r="K246" s="49" t="str">
        <f>IF(F246="", " ", IF(ISNA(VLOOKUP(D246,'[2]stock-take'!$M:$Q,4,FALSE)), "OUT OF STOCK", VLOOKUP(D246,'[2]stock-take'!$M:$Q,4,FALSE)))</f>
        <v xml:space="preserve"> </v>
      </c>
      <c r="L246" s="47">
        <f>IF(ISNA(VLOOKUP(D246,'[2]stock-take'!$M:$Q,3,FALSE)), 0, VLOOKUP(D246,'[2]stock-take'!$M:$Q,3,FALSE))</f>
        <v>0</v>
      </c>
      <c r="M246" s="48" t="str">
        <f t="shared" si="10"/>
        <v xml:space="preserve"> </v>
      </c>
      <c r="N246" s="39" t="str">
        <f t="shared" si="11"/>
        <v xml:space="preserve"> </v>
      </c>
    </row>
    <row r="247" spans="1:14">
      <c r="A247" s="37">
        <f t="shared" si="9"/>
        <v>236</v>
      </c>
      <c r="G247" s="48" t="str">
        <f>IF(F247=""," ",IF(ISNA(VLOOKUP(D247,'[2]stock-take'!$A:$E,4,FALSE)), "OUT OF STOCK", VLOOKUP(D247,'[2]stock-take'!$A:$E,4,FALSE)))</f>
        <v xml:space="preserve"> </v>
      </c>
      <c r="H247" s="48">
        <f>IF(ISNA(VLOOKUP(D247,'[2]stock-take'!$A:$E,3,FALSE)), 0, VLOOKUP(D247,'[2]stock-take'!$A:$E,3,FALSE))</f>
        <v>0</v>
      </c>
      <c r="I247" s="48" t="str">
        <f>IF(F247="", " ",IF(ISNA(VLOOKUP(D247,'[2]stock-take'!$G:$K,4,FALSE)), "OUT OF STOCK", VLOOKUP(D247,'[2]stock-take'!$G:$K,4,FALSE)))</f>
        <v xml:space="preserve"> </v>
      </c>
      <c r="J247" s="39">
        <f>IF(ISNA(VLOOKUP(D247,'[2]stock-take'!$G:$K,3,FALSE)), 0, VLOOKUP(D247,'[2]stock-take'!$G:$K,3,FALSE))</f>
        <v>0</v>
      </c>
      <c r="K247" s="49" t="str">
        <f>IF(F247="", " ", IF(ISNA(VLOOKUP(D247,'[2]stock-take'!$M:$Q,4,FALSE)), "OUT OF STOCK", VLOOKUP(D247,'[2]stock-take'!$M:$Q,4,FALSE)))</f>
        <v xml:space="preserve"> </v>
      </c>
      <c r="L247" s="47">
        <f>IF(ISNA(VLOOKUP(D247,'[2]stock-take'!$M:$Q,3,FALSE)), 0, VLOOKUP(D247,'[2]stock-take'!$M:$Q,3,FALSE))</f>
        <v>0</v>
      </c>
      <c r="M247" s="48" t="str">
        <f t="shared" si="10"/>
        <v xml:space="preserve"> </v>
      </c>
      <c r="N247" s="39" t="str">
        <f t="shared" si="11"/>
        <v xml:space="preserve"> </v>
      </c>
    </row>
    <row r="248" spans="1:14">
      <c r="A248" s="37">
        <f t="shared" si="9"/>
        <v>237</v>
      </c>
      <c r="G248" s="48" t="str">
        <f>IF(F248=""," ",IF(ISNA(VLOOKUP(D248,'[2]stock-take'!$A:$E,4,FALSE)), "OUT OF STOCK", VLOOKUP(D248,'[2]stock-take'!$A:$E,4,FALSE)))</f>
        <v xml:space="preserve"> </v>
      </c>
      <c r="H248" s="48">
        <f>IF(ISNA(VLOOKUP(D248,'[2]stock-take'!$A:$E,3,FALSE)), 0, VLOOKUP(D248,'[2]stock-take'!$A:$E,3,FALSE))</f>
        <v>0</v>
      </c>
      <c r="I248" s="48" t="str">
        <f>IF(F248="", " ",IF(ISNA(VLOOKUP(D248,'[2]stock-take'!$G:$K,4,FALSE)), "OUT OF STOCK", VLOOKUP(D248,'[2]stock-take'!$G:$K,4,FALSE)))</f>
        <v xml:space="preserve"> </v>
      </c>
      <c r="J248" s="39">
        <f>IF(ISNA(VLOOKUP(D248,'[2]stock-take'!$G:$K,3,FALSE)), 0, VLOOKUP(D248,'[2]stock-take'!$G:$K,3,FALSE))</f>
        <v>0</v>
      </c>
      <c r="K248" s="49" t="str">
        <f>IF(F248="", " ", IF(ISNA(VLOOKUP(D248,'[2]stock-take'!$M:$Q,4,FALSE)), "OUT OF STOCK", VLOOKUP(D248,'[2]stock-take'!$M:$Q,4,FALSE)))</f>
        <v xml:space="preserve"> </v>
      </c>
      <c r="L248" s="47">
        <f>IF(ISNA(VLOOKUP(D248,'[2]stock-take'!$M:$Q,3,FALSE)), 0, VLOOKUP(D248,'[2]stock-take'!$M:$Q,3,FALSE))</f>
        <v>0</v>
      </c>
      <c r="M248" s="48" t="str">
        <f t="shared" si="10"/>
        <v xml:space="preserve"> </v>
      </c>
      <c r="N248" s="39" t="str">
        <f t="shared" si="11"/>
        <v xml:space="preserve"> </v>
      </c>
    </row>
    <row r="249" spans="1:14">
      <c r="A249" s="37">
        <f t="shared" si="9"/>
        <v>238</v>
      </c>
      <c r="G249" s="48" t="str">
        <f>IF(F249=""," ",IF(ISNA(VLOOKUP(D249,'[2]stock-take'!$A:$E,4,FALSE)), "OUT OF STOCK", VLOOKUP(D249,'[2]stock-take'!$A:$E,4,FALSE)))</f>
        <v xml:space="preserve"> </v>
      </c>
      <c r="H249" s="48">
        <f>IF(ISNA(VLOOKUP(D249,'[2]stock-take'!$A:$E,3,FALSE)), 0, VLOOKUP(D249,'[2]stock-take'!$A:$E,3,FALSE))</f>
        <v>0</v>
      </c>
      <c r="I249" s="48" t="str">
        <f>IF(F249="", " ",IF(ISNA(VLOOKUP(D249,'[2]stock-take'!$G:$K,4,FALSE)), "OUT OF STOCK", VLOOKUP(D249,'[2]stock-take'!$G:$K,4,FALSE)))</f>
        <v xml:space="preserve"> </v>
      </c>
      <c r="J249" s="39">
        <f>IF(ISNA(VLOOKUP(D249,'[2]stock-take'!$G:$K,3,FALSE)), 0, VLOOKUP(D249,'[2]stock-take'!$G:$K,3,FALSE))</f>
        <v>0</v>
      </c>
      <c r="K249" s="49" t="str">
        <f>IF(F249="", " ", IF(ISNA(VLOOKUP(D249,'[2]stock-take'!$M:$Q,4,FALSE)), "OUT OF STOCK", VLOOKUP(D249,'[2]stock-take'!$M:$Q,4,FALSE)))</f>
        <v xml:space="preserve"> </v>
      </c>
      <c r="L249" s="47">
        <f>IF(ISNA(VLOOKUP(D249,'[2]stock-take'!$M:$Q,3,FALSE)), 0, VLOOKUP(D249,'[2]stock-take'!$M:$Q,3,FALSE))</f>
        <v>0</v>
      </c>
      <c r="M249" s="48" t="str">
        <f t="shared" si="10"/>
        <v xml:space="preserve"> </v>
      </c>
      <c r="N249" s="39" t="str">
        <f t="shared" si="11"/>
        <v xml:space="preserve"> </v>
      </c>
    </row>
    <row r="250" spans="1:14">
      <c r="A250" s="37">
        <f t="shared" si="9"/>
        <v>239</v>
      </c>
      <c r="G250" s="48" t="str">
        <f>IF(F250=""," ",IF(ISNA(VLOOKUP(D250,'[2]stock-take'!$A:$E,4,FALSE)), "OUT OF STOCK", VLOOKUP(D250,'[2]stock-take'!$A:$E,4,FALSE)))</f>
        <v xml:space="preserve"> </v>
      </c>
      <c r="H250" s="48">
        <f>IF(ISNA(VLOOKUP(D250,'[2]stock-take'!$A:$E,3,FALSE)), 0, VLOOKUP(D250,'[2]stock-take'!$A:$E,3,FALSE))</f>
        <v>0</v>
      </c>
      <c r="I250" s="48" t="str">
        <f>IF(F250="", " ",IF(ISNA(VLOOKUP(D250,'[2]stock-take'!$G:$K,4,FALSE)), "OUT OF STOCK", VLOOKUP(D250,'[2]stock-take'!$G:$K,4,FALSE)))</f>
        <v xml:space="preserve"> </v>
      </c>
      <c r="J250" s="39">
        <f>IF(ISNA(VLOOKUP(D250,'[2]stock-take'!$G:$K,3,FALSE)), 0, VLOOKUP(D250,'[2]stock-take'!$G:$K,3,FALSE))</f>
        <v>0</v>
      </c>
      <c r="K250" s="49" t="str">
        <f>IF(F250="", " ", IF(ISNA(VLOOKUP(D250,'[2]stock-take'!$M:$Q,4,FALSE)), "OUT OF STOCK", VLOOKUP(D250,'[2]stock-take'!$M:$Q,4,FALSE)))</f>
        <v xml:space="preserve"> </v>
      </c>
      <c r="L250" s="47">
        <f>IF(ISNA(VLOOKUP(D250,'[2]stock-take'!$M:$Q,3,FALSE)), 0, VLOOKUP(D250,'[2]stock-take'!$M:$Q,3,FALSE))</f>
        <v>0</v>
      </c>
      <c r="M250" s="48" t="str">
        <f t="shared" si="10"/>
        <v xml:space="preserve"> </v>
      </c>
      <c r="N250" s="39" t="str">
        <f t="shared" si="11"/>
        <v xml:space="preserve"> </v>
      </c>
    </row>
    <row r="251" spans="1:14">
      <c r="A251" s="37">
        <f t="shared" si="9"/>
        <v>240</v>
      </c>
      <c r="G251" s="48" t="str">
        <f>IF(F251=""," ",IF(ISNA(VLOOKUP(D251,'[2]stock-take'!$A:$E,4,FALSE)), "OUT OF STOCK", VLOOKUP(D251,'[2]stock-take'!$A:$E,4,FALSE)))</f>
        <v xml:space="preserve"> </v>
      </c>
      <c r="H251" s="48">
        <f>IF(ISNA(VLOOKUP(D251,'[2]stock-take'!$A:$E,3,FALSE)), 0, VLOOKUP(D251,'[2]stock-take'!$A:$E,3,FALSE))</f>
        <v>0</v>
      </c>
      <c r="I251" s="48" t="str">
        <f>IF(F251="", " ",IF(ISNA(VLOOKUP(D251,'[2]stock-take'!$G:$K,4,FALSE)), "OUT OF STOCK", VLOOKUP(D251,'[2]stock-take'!$G:$K,4,FALSE)))</f>
        <v xml:space="preserve"> </v>
      </c>
      <c r="J251" s="39">
        <f>IF(ISNA(VLOOKUP(D251,'[2]stock-take'!$G:$K,3,FALSE)), 0, VLOOKUP(D251,'[2]stock-take'!$G:$K,3,FALSE))</f>
        <v>0</v>
      </c>
      <c r="K251" s="49" t="str">
        <f>IF(F251="", " ", IF(ISNA(VLOOKUP(D251,'[2]stock-take'!$M:$Q,4,FALSE)), "OUT OF STOCK", VLOOKUP(D251,'[2]stock-take'!$M:$Q,4,FALSE)))</f>
        <v xml:space="preserve"> </v>
      </c>
      <c r="L251" s="47">
        <f>IF(ISNA(VLOOKUP(D251,'[2]stock-take'!$M:$Q,3,FALSE)), 0, VLOOKUP(D251,'[2]stock-take'!$M:$Q,3,FALSE))</f>
        <v>0</v>
      </c>
      <c r="M251" s="48" t="str">
        <f t="shared" si="10"/>
        <v xml:space="preserve"> </v>
      </c>
      <c r="N251" s="39" t="str">
        <f t="shared" si="11"/>
        <v xml:space="preserve"> </v>
      </c>
    </row>
    <row r="252" spans="1:14">
      <c r="A252" s="37">
        <f t="shared" si="9"/>
        <v>241</v>
      </c>
      <c r="G252" s="48" t="str">
        <f>IF(F252=""," ",IF(ISNA(VLOOKUP(D252,'[2]stock-take'!$A:$E,4,FALSE)), "OUT OF STOCK", VLOOKUP(D252,'[2]stock-take'!$A:$E,4,FALSE)))</f>
        <v xml:space="preserve"> </v>
      </c>
      <c r="H252" s="48">
        <f>IF(ISNA(VLOOKUP(D252,'[2]stock-take'!$A:$E,3,FALSE)), 0, VLOOKUP(D252,'[2]stock-take'!$A:$E,3,FALSE))</f>
        <v>0</v>
      </c>
      <c r="I252" s="48" t="str">
        <f>IF(F252="", " ",IF(ISNA(VLOOKUP(D252,'[2]stock-take'!$G:$K,4,FALSE)), "OUT OF STOCK", VLOOKUP(D252,'[2]stock-take'!$G:$K,4,FALSE)))</f>
        <v xml:space="preserve"> </v>
      </c>
      <c r="J252" s="39">
        <f>IF(ISNA(VLOOKUP(D252,'[2]stock-take'!$G:$K,3,FALSE)), 0, VLOOKUP(D252,'[2]stock-take'!$G:$K,3,FALSE))</f>
        <v>0</v>
      </c>
      <c r="K252" s="49" t="str">
        <f>IF(F252="", " ", IF(ISNA(VLOOKUP(D252,'[2]stock-take'!$M:$Q,4,FALSE)), "OUT OF STOCK", VLOOKUP(D252,'[2]stock-take'!$M:$Q,4,FALSE)))</f>
        <v xml:space="preserve"> </v>
      </c>
      <c r="L252" s="47">
        <f>IF(ISNA(VLOOKUP(D252,'[2]stock-take'!$M:$Q,3,FALSE)), 0, VLOOKUP(D252,'[2]stock-take'!$M:$Q,3,FALSE))</f>
        <v>0</v>
      </c>
      <c r="M252" s="48" t="str">
        <f t="shared" si="10"/>
        <v xml:space="preserve"> </v>
      </c>
      <c r="N252" s="39" t="str">
        <f t="shared" si="11"/>
        <v xml:space="preserve"> </v>
      </c>
    </row>
    <row r="253" spans="1:14">
      <c r="A253" s="37">
        <f t="shared" si="9"/>
        <v>242</v>
      </c>
      <c r="G253" s="48" t="str">
        <f>IF(F253=""," ",IF(ISNA(VLOOKUP(D253,'[2]stock-take'!$A:$E,4,FALSE)), "OUT OF STOCK", VLOOKUP(D253,'[2]stock-take'!$A:$E,4,FALSE)))</f>
        <v xml:space="preserve"> </v>
      </c>
      <c r="H253" s="48">
        <f>IF(ISNA(VLOOKUP(D253,'[2]stock-take'!$A:$E,3,FALSE)), 0, VLOOKUP(D253,'[2]stock-take'!$A:$E,3,FALSE))</f>
        <v>0</v>
      </c>
      <c r="I253" s="48" t="str">
        <f>IF(F253="", " ",IF(ISNA(VLOOKUP(D253,'[2]stock-take'!$G:$K,4,FALSE)), "OUT OF STOCK", VLOOKUP(D253,'[2]stock-take'!$G:$K,4,FALSE)))</f>
        <v xml:space="preserve"> </v>
      </c>
      <c r="J253" s="39">
        <f>IF(ISNA(VLOOKUP(D253,'[2]stock-take'!$G:$K,3,FALSE)), 0, VLOOKUP(D253,'[2]stock-take'!$G:$K,3,FALSE))</f>
        <v>0</v>
      </c>
      <c r="K253" s="49" t="str">
        <f>IF(F253="", " ", IF(ISNA(VLOOKUP(D253,'[2]stock-take'!$M:$Q,4,FALSE)), "OUT OF STOCK", VLOOKUP(D253,'[2]stock-take'!$M:$Q,4,FALSE)))</f>
        <v xml:space="preserve"> </v>
      </c>
      <c r="L253" s="47">
        <f>IF(ISNA(VLOOKUP(D253,'[2]stock-take'!$M:$Q,3,FALSE)), 0, VLOOKUP(D253,'[2]stock-take'!$M:$Q,3,FALSE))</f>
        <v>0</v>
      </c>
      <c r="M253" s="48" t="str">
        <f t="shared" si="10"/>
        <v xml:space="preserve"> </v>
      </c>
      <c r="N253" s="39" t="str">
        <f t="shared" si="11"/>
        <v xml:space="preserve"> </v>
      </c>
    </row>
    <row r="254" spans="1:14">
      <c r="A254" s="37">
        <f t="shared" si="9"/>
        <v>243</v>
      </c>
      <c r="G254" s="48" t="str">
        <f>IF(F254=""," ",IF(ISNA(VLOOKUP(D254,'[2]stock-take'!$A:$E,4,FALSE)), "OUT OF STOCK", VLOOKUP(D254,'[2]stock-take'!$A:$E,4,FALSE)))</f>
        <v xml:space="preserve"> </v>
      </c>
      <c r="H254" s="48">
        <f>IF(ISNA(VLOOKUP(D254,'[2]stock-take'!$A:$E,3,FALSE)), 0, VLOOKUP(D254,'[2]stock-take'!$A:$E,3,FALSE))</f>
        <v>0</v>
      </c>
      <c r="I254" s="48" t="str">
        <f>IF(F254="", " ",IF(ISNA(VLOOKUP(D254,'[2]stock-take'!$G:$K,4,FALSE)), "OUT OF STOCK", VLOOKUP(D254,'[2]stock-take'!$G:$K,4,FALSE)))</f>
        <v xml:space="preserve"> </v>
      </c>
      <c r="J254" s="39">
        <f>IF(ISNA(VLOOKUP(D254,'[2]stock-take'!$G:$K,3,FALSE)), 0, VLOOKUP(D254,'[2]stock-take'!$G:$K,3,FALSE))</f>
        <v>0</v>
      </c>
      <c r="K254" s="49" t="str">
        <f>IF(F254="", " ", IF(ISNA(VLOOKUP(D254,'[2]stock-take'!$M:$Q,4,FALSE)), "OUT OF STOCK", VLOOKUP(D254,'[2]stock-take'!$M:$Q,4,FALSE)))</f>
        <v xml:space="preserve"> </v>
      </c>
      <c r="L254" s="47">
        <f>IF(ISNA(VLOOKUP(D254,'[2]stock-take'!$M:$Q,3,FALSE)), 0, VLOOKUP(D254,'[2]stock-take'!$M:$Q,3,FALSE))</f>
        <v>0</v>
      </c>
      <c r="M254" s="48" t="str">
        <f t="shared" si="10"/>
        <v xml:space="preserve"> </v>
      </c>
      <c r="N254" s="39" t="str">
        <f t="shared" si="11"/>
        <v xml:space="preserve"> </v>
      </c>
    </row>
    <row r="255" spans="1:14">
      <c r="A255" s="37">
        <f t="shared" si="9"/>
        <v>244</v>
      </c>
      <c r="G255" s="48" t="str">
        <f>IF(F255=""," ",IF(ISNA(VLOOKUP(D255,'[2]stock-take'!$A:$E,4,FALSE)), "OUT OF STOCK", VLOOKUP(D255,'[2]stock-take'!$A:$E,4,FALSE)))</f>
        <v xml:space="preserve"> </v>
      </c>
      <c r="H255" s="48">
        <f>IF(ISNA(VLOOKUP(D255,'[2]stock-take'!$A:$E,3,FALSE)), 0, VLOOKUP(D255,'[2]stock-take'!$A:$E,3,FALSE))</f>
        <v>0</v>
      </c>
      <c r="I255" s="48" t="str">
        <f>IF(F255="", " ",IF(ISNA(VLOOKUP(D255,'[2]stock-take'!$G:$K,4,FALSE)), "OUT OF STOCK", VLOOKUP(D255,'[2]stock-take'!$G:$K,4,FALSE)))</f>
        <v xml:space="preserve"> </v>
      </c>
      <c r="J255" s="39">
        <f>IF(ISNA(VLOOKUP(D255,'[2]stock-take'!$G:$K,3,FALSE)), 0, VLOOKUP(D255,'[2]stock-take'!$G:$K,3,FALSE))</f>
        <v>0</v>
      </c>
      <c r="K255" s="49" t="str">
        <f>IF(F255="", " ", IF(ISNA(VLOOKUP(D255,'[2]stock-take'!$M:$Q,4,FALSE)), "OUT OF STOCK", VLOOKUP(D255,'[2]stock-take'!$M:$Q,4,FALSE)))</f>
        <v xml:space="preserve"> </v>
      </c>
      <c r="L255" s="47">
        <f>IF(ISNA(VLOOKUP(D255,'[2]stock-take'!$M:$Q,3,FALSE)), 0, VLOOKUP(D255,'[2]stock-take'!$M:$Q,3,FALSE))</f>
        <v>0</v>
      </c>
      <c r="M255" s="48" t="str">
        <f t="shared" si="10"/>
        <v xml:space="preserve"> </v>
      </c>
      <c r="N255" s="39" t="str">
        <f t="shared" si="11"/>
        <v xml:space="preserve"> </v>
      </c>
    </row>
    <row r="256" spans="1:14">
      <c r="A256" s="37">
        <f t="shared" si="9"/>
        <v>245</v>
      </c>
      <c r="G256" s="48" t="str">
        <f>IF(F256=""," ",IF(ISNA(VLOOKUP(D256,'[2]stock-take'!$A:$E,4,FALSE)), "OUT OF STOCK", VLOOKUP(D256,'[2]stock-take'!$A:$E,4,FALSE)))</f>
        <v xml:space="preserve"> </v>
      </c>
      <c r="H256" s="48">
        <f>IF(ISNA(VLOOKUP(D256,'[2]stock-take'!$A:$E,3,FALSE)), 0, VLOOKUP(D256,'[2]stock-take'!$A:$E,3,FALSE))</f>
        <v>0</v>
      </c>
      <c r="I256" s="48" t="str">
        <f>IF(F256="", " ",IF(ISNA(VLOOKUP(D256,'[2]stock-take'!$G:$K,4,FALSE)), "OUT OF STOCK", VLOOKUP(D256,'[2]stock-take'!$G:$K,4,FALSE)))</f>
        <v xml:space="preserve"> </v>
      </c>
      <c r="J256" s="39">
        <f>IF(ISNA(VLOOKUP(D256,'[2]stock-take'!$G:$K,3,FALSE)), 0, VLOOKUP(D256,'[2]stock-take'!$G:$K,3,FALSE))</f>
        <v>0</v>
      </c>
      <c r="K256" s="49" t="str">
        <f>IF(F256="", " ", IF(ISNA(VLOOKUP(D256,'[2]stock-take'!$M:$Q,4,FALSE)), "OUT OF STOCK", VLOOKUP(D256,'[2]stock-take'!$M:$Q,4,FALSE)))</f>
        <v xml:space="preserve"> </v>
      </c>
      <c r="L256" s="47">
        <f>IF(ISNA(VLOOKUP(D256,'[2]stock-take'!$M:$Q,3,FALSE)), 0, VLOOKUP(D256,'[2]stock-take'!$M:$Q,3,FALSE))</f>
        <v>0</v>
      </c>
      <c r="M256" s="48" t="str">
        <f t="shared" si="10"/>
        <v xml:space="preserve"> </v>
      </c>
      <c r="N256" s="39" t="str">
        <f t="shared" si="11"/>
        <v xml:space="preserve"> </v>
      </c>
    </row>
    <row r="257" spans="1:14">
      <c r="A257" s="37">
        <f t="shared" si="9"/>
        <v>246</v>
      </c>
      <c r="G257" s="48" t="str">
        <f>IF(F257=""," ",IF(ISNA(VLOOKUP(D257,'[2]stock-take'!$A:$E,4,FALSE)), "OUT OF STOCK", VLOOKUP(D257,'[2]stock-take'!$A:$E,4,FALSE)))</f>
        <v xml:space="preserve"> </v>
      </c>
      <c r="H257" s="48">
        <f>IF(ISNA(VLOOKUP(D257,'[2]stock-take'!$A:$E,3,FALSE)), 0, VLOOKUP(D257,'[2]stock-take'!$A:$E,3,FALSE))</f>
        <v>0</v>
      </c>
      <c r="I257" s="48" t="str">
        <f>IF(F257="", " ",IF(ISNA(VLOOKUP(D257,'[2]stock-take'!$G:$K,4,FALSE)), "OUT OF STOCK", VLOOKUP(D257,'[2]stock-take'!$G:$K,4,FALSE)))</f>
        <v xml:space="preserve"> </v>
      </c>
      <c r="J257" s="39">
        <f>IF(ISNA(VLOOKUP(D257,'[2]stock-take'!$G:$K,3,FALSE)), 0, VLOOKUP(D257,'[2]stock-take'!$G:$K,3,FALSE))</f>
        <v>0</v>
      </c>
      <c r="K257" s="49" t="str">
        <f>IF(F257="", " ", IF(ISNA(VLOOKUP(D257,'[2]stock-take'!$M:$Q,4,FALSE)), "OUT OF STOCK", VLOOKUP(D257,'[2]stock-take'!$M:$Q,4,FALSE)))</f>
        <v xml:space="preserve"> </v>
      </c>
      <c r="L257" s="47">
        <f>IF(ISNA(VLOOKUP(D257,'[2]stock-take'!$M:$Q,3,FALSE)), 0, VLOOKUP(D257,'[2]stock-take'!$M:$Q,3,FALSE))</f>
        <v>0</v>
      </c>
      <c r="M257" s="48" t="str">
        <f t="shared" si="10"/>
        <v xml:space="preserve"> </v>
      </c>
      <c r="N257" s="39" t="str">
        <f t="shared" si="11"/>
        <v xml:space="preserve"> </v>
      </c>
    </row>
    <row r="258" spans="1:14">
      <c r="A258" s="37">
        <f t="shared" si="9"/>
        <v>247</v>
      </c>
      <c r="G258" s="48" t="str">
        <f>IF(F258=""," ",IF(ISNA(VLOOKUP(D258,'[2]stock-take'!$A:$E,4,FALSE)), "OUT OF STOCK", VLOOKUP(D258,'[2]stock-take'!$A:$E,4,FALSE)))</f>
        <v xml:space="preserve"> </v>
      </c>
      <c r="H258" s="48">
        <f>IF(ISNA(VLOOKUP(D258,'[2]stock-take'!$A:$E,3,FALSE)), 0, VLOOKUP(D258,'[2]stock-take'!$A:$E,3,FALSE))</f>
        <v>0</v>
      </c>
      <c r="I258" s="48" t="str">
        <f>IF(F258="", " ",IF(ISNA(VLOOKUP(D258,'[2]stock-take'!$G:$K,4,FALSE)), "OUT OF STOCK", VLOOKUP(D258,'[2]stock-take'!$G:$K,4,FALSE)))</f>
        <v xml:space="preserve"> </v>
      </c>
      <c r="J258" s="39">
        <f>IF(ISNA(VLOOKUP(D258,'[2]stock-take'!$G:$K,3,FALSE)), 0, VLOOKUP(D258,'[2]stock-take'!$G:$K,3,FALSE))</f>
        <v>0</v>
      </c>
      <c r="K258" s="49" t="str">
        <f>IF(F258="", " ", IF(ISNA(VLOOKUP(D258,'[2]stock-take'!$M:$Q,4,FALSE)), "OUT OF STOCK", VLOOKUP(D258,'[2]stock-take'!$M:$Q,4,FALSE)))</f>
        <v xml:space="preserve"> </v>
      </c>
      <c r="L258" s="47">
        <f>IF(ISNA(VLOOKUP(D258,'[2]stock-take'!$M:$Q,3,FALSE)), 0, VLOOKUP(D258,'[2]stock-take'!$M:$Q,3,FALSE))</f>
        <v>0</v>
      </c>
      <c r="M258" s="48" t="str">
        <f t="shared" si="10"/>
        <v xml:space="preserve"> </v>
      </c>
      <c r="N258" s="39" t="str">
        <f t="shared" si="11"/>
        <v xml:space="preserve"> </v>
      </c>
    </row>
    <row r="259" spans="1:14">
      <c r="A259" s="37">
        <f t="shared" si="9"/>
        <v>248</v>
      </c>
      <c r="G259" s="48" t="str">
        <f>IF(F259=""," ",IF(ISNA(VLOOKUP(D259,'[2]stock-take'!$A:$E,4,FALSE)), "OUT OF STOCK", VLOOKUP(D259,'[2]stock-take'!$A:$E,4,FALSE)))</f>
        <v xml:space="preserve"> </v>
      </c>
      <c r="H259" s="48">
        <f>IF(ISNA(VLOOKUP(D259,'[2]stock-take'!$A:$E,3,FALSE)), 0, VLOOKUP(D259,'[2]stock-take'!$A:$E,3,FALSE))</f>
        <v>0</v>
      </c>
      <c r="I259" s="48" t="str">
        <f>IF(F259="", " ",IF(ISNA(VLOOKUP(D259,'[2]stock-take'!$G:$K,4,FALSE)), "OUT OF STOCK", VLOOKUP(D259,'[2]stock-take'!$G:$K,4,FALSE)))</f>
        <v xml:space="preserve"> </v>
      </c>
      <c r="J259" s="39">
        <f>IF(ISNA(VLOOKUP(D259,'[2]stock-take'!$G:$K,3,FALSE)), 0, VLOOKUP(D259,'[2]stock-take'!$G:$K,3,FALSE))</f>
        <v>0</v>
      </c>
      <c r="K259" s="49" t="str">
        <f>IF(F259="", " ", IF(ISNA(VLOOKUP(D259,'[2]stock-take'!$M:$Q,4,FALSE)), "OUT OF STOCK", VLOOKUP(D259,'[2]stock-take'!$M:$Q,4,FALSE)))</f>
        <v xml:space="preserve"> </v>
      </c>
      <c r="L259" s="47">
        <f>IF(ISNA(VLOOKUP(D259,'[2]stock-take'!$M:$Q,3,FALSE)), 0, VLOOKUP(D259,'[2]stock-take'!$M:$Q,3,FALSE))</f>
        <v>0</v>
      </c>
      <c r="M259" s="48" t="str">
        <f t="shared" si="10"/>
        <v xml:space="preserve"> </v>
      </c>
      <c r="N259" s="39" t="str">
        <f t="shared" si="11"/>
        <v xml:space="preserve"> </v>
      </c>
    </row>
    <row r="260" spans="1:14">
      <c r="A260" s="37">
        <f t="shared" si="9"/>
        <v>249</v>
      </c>
      <c r="G260" s="48" t="str">
        <f>IF(F260=""," ",IF(ISNA(VLOOKUP(D260,'[2]stock-take'!$A:$E,4,FALSE)), "OUT OF STOCK", VLOOKUP(D260,'[2]stock-take'!$A:$E,4,FALSE)))</f>
        <v xml:space="preserve"> </v>
      </c>
      <c r="H260" s="48">
        <f>IF(ISNA(VLOOKUP(D260,'[2]stock-take'!$A:$E,3,FALSE)), 0, VLOOKUP(D260,'[2]stock-take'!$A:$E,3,FALSE))</f>
        <v>0</v>
      </c>
      <c r="I260" s="48" t="str">
        <f>IF(F260="", " ",IF(ISNA(VLOOKUP(D260,'[2]stock-take'!$G:$K,4,FALSE)), "OUT OF STOCK", VLOOKUP(D260,'[2]stock-take'!$G:$K,4,FALSE)))</f>
        <v xml:space="preserve"> </v>
      </c>
      <c r="J260" s="39">
        <f>IF(ISNA(VLOOKUP(D260,'[2]stock-take'!$G:$K,3,FALSE)), 0, VLOOKUP(D260,'[2]stock-take'!$G:$K,3,FALSE))</f>
        <v>0</v>
      </c>
      <c r="K260" s="49" t="str">
        <f>IF(F260="", " ", IF(ISNA(VLOOKUP(D260,'[2]stock-take'!$M:$Q,4,FALSE)), "OUT OF STOCK", VLOOKUP(D260,'[2]stock-take'!$M:$Q,4,FALSE)))</f>
        <v xml:space="preserve"> </v>
      </c>
      <c r="L260" s="47">
        <f>IF(ISNA(VLOOKUP(D260,'[2]stock-take'!$M:$Q,3,FALSE)), 0, VLOOKUP(D260,'[2]stock-take'!$M:$Q,3,FALSE))</f>
        <v>0</v>
      </c>
      <c r="M260" s="48" t="str">
        <f t="shared" si="10"/>
        <v xml:space="preserve"> </v>
      </c>
      <c r="N260" s="39" t="str">
        <f t="shared" si="11"/>
        <v xml:space="preserve"> </v>
      </c>
    </row>
    <row r="261" spans="1:14">
      <c r="A261" s="37">
        <f t="shared" si="9"/>
        <v>250</v>
      </c>
      <c r="G261" s="48" t="str">
        <f>IF(F261=""," ",IF(ISNA(VLOOKUP(D261,'[2]stock-take'!$A:$E,4,FALSE)), "OUT OF STOCK", VLOOKUP(D261,'[2]stock-take'!$A:$E,4,FALSE)))</f>
        <v xml:space="preserve"> </v>
      </c>
      <c r="H261" s="48">
        <f>IF(ISNA(VLOOKUP(D261,'[2]stock-take'!$A:$E,3,FALSE)), 0, VLOOKUP(D261,'[2]stock-take'!$A:$E,3,FALSE))</f>
        <v>0</v>
      </c>
      <c r="I261" s="48" t="str">
        <f>IF(F261="", " ",IF(ISNA(VLOOKUP(D261,'[2]stock-take'!$G:$K,4,FALSE)), "OUT OF STOCK", VLOOKUP(D261,'[2]stock-take'!$G:$K,4,FALSE)))</f>
        <v xml:space="preserve"> </v>
      </c>
      <c r="J261" s="39">
        <f>IF(ISNA(VLOOKUP(D261,'[2]stock-take'!$G:$K,3,FALSE)), 0, VLOOKUP(D261,'[2]stock-take'!$G:$K,3,FALSE))</f>
        <v>0</v>
      </c>
      <c r="K261" s="49" t="str">
        <f>IF(F261="", " ", IF(ISNA(VLOOKUP(D261,'[2]stock-take'!$M:$Q,4,FALSE)), "OUT OF STOCK", VLOOKUP(D261,'[2]stock-take'!$M:$Q,4,FALSE)))</f>
        <v xml:space="preserve"> </v>
      </c>
      <c r="L261" s="47">
        <f>IF(ISNA(VLOOKUP(D261,'[2]stock-take'!$M:$Q,3,FALSE)), 0, VLOOKUP(D261,'[2]stock-take'!$M:$Q,3,FALSE))</f>
        <v>0</v>
      </c>
      <c r="M261" s="48" t="str">
        <f t="shared" si="10"/>
        <v xml:space="preserve"> </v>
      </c>
      <c r="N261" s="39" t="str">
        <f t="shared" si="11"/>
        <v xml:space="preserve"> </v>
      </c>
    </row>
    <row r="262" spans="1:14">
      <c r="A262" s="37">
        <f t="shared" si="9"/>
        <v>251</v>
      </c>
      <c r="G262" s="48" t="str">
        <f>IF(F262=""," ",IF(ISNA(VLOOKUP(D262,'[2]stock-take'!$A:$E,4,FALSE)), "OUT OF STOCK", VLOOKUP(D262,'[2]stock-take'!$A:$E,4,FALSE)))</f>
        <v xml:space="preserve"> </v>
      </c>
      <c r="H262" s="48">
        <f>IF(ISNA(VLOOKUP(D262,'[2]stock-take'!$A:$E,3,FALSE)), 0, VLOOKUP(D262,'[2]stock-take'!$A:$E,3,FALSE))</f>
        <v>0</v>
      </c>
      <c r="I262" s="48" t="str">
        <f>IF(F262="", " ",IF(ISNA(VLOOKUP(D262,'[2]stock-take'!$G:$K,4,FALSE)), "OUT OF STOCK", VLOOKUP(D262,'[2]stock-take'!$G:$K,4,FALSE)))</f>
        <v xml:space="preserve"> </v>
      </c>
      <c r="J262" s="39">
        <f>IF(ISNA(VLOOKUP(D262,'[2]stock-take'!$G:$K,3,FALSE)), 0, VLOOKUP(D262,'[2]stock-take'!$G:$K,3,FALSE))</f>
        <v>0</v>
      </c>
      <c r="K262" s="49" t="str">
        <f>IF(F262="", " ", IF(ISNA(VLOOKUP(D262,'[2]stock-take'!$M:$Q,4,FALSE)), "OUT OF STOCK", VLOOKUP(D262,'[2]stock-take'!$M:$Q,4,FALSE)))</f>
        <v xml:space="preserve"> </v>
      </c>
      <c r="L262" s="47">
        <f>IF(ISNA(VLOOKUP(D262,'[2]stock-take'!$M:$Q,3,FALSE)), 0, VLOOKUP(D262,'[2]stock-take'!$M:$Q,3,FALSE))</f>
        <v>0</v>
      </c>
      <c r="M262" s="48" t="str">
        <f t="shared" si="10"/>
        <v xml:space="preserve"> </v>
      </c>
      <c r="N262" s="39" t="str">
        <f t="shared" si="11"/>
        <v xml:space="preserve"> </v>
      </c>
    </row>
    <row r="263" spans="1:14">
      <c r="A263" s="37">
        <f t="shared" si="9"/>
        <v>252</v>
      </c>
      <c r="G263" s="48" t="str">
        <f>IF(F263=""," ",IF(ISNA(VLOOKUP(D263,'[2]stock-take'!$A:$E,4,FALSE)), "OUT OF STOCK", VLOOKUP(D263,'[2]stock-take'!$A:$E,4,FALSE)))</f>
        <v xml:space="preserve"> </v>
      </c>
      <c r="H263" s="48">
        <f>IF(ISNA(VLOOKUP(D263,'[2]stock-take'!$A:$E,3,FALSE)), 0, VLOOKUP(D263,'[2]stock-take'!$A:$E,3,FALSE))</f>
        <v>0</v>
      </c>
      <c r="I263" s="48" t="str">
        <f>IF(F263="", " ",IF(ISNA(VLOOKUP(D263,'[2]stock-take'!$G:$K,4,FALSE)), "OUT OF STOCK", VLOOKUP(D263,'[2]stock-take'!$G:$K,4,FALSE)))</f>
        <v xml:space="preserve"> </v>
      </c>
      <c r="J263" s="39">
        <f>IF(ISNA(VLOOKUP(D263,'[2]stock-take'!$G:$K,3,FALSE)), 0, VLOOKUP(D263,'[2]stock-take'!$G:$K,3,FALSE))</f>
        <v>0</v>
      </c>
      <c r="K263" s="49" t="str">
        <f>IF(F263="", " ", IF(ISNA(VLOOKUP(D263,'[2]stock-take'!$M:$Q,4,FALSE)), "OUT OF STOCK", VLOOKUP(D263,'[2]stock-take'!$M:$Q,4,FALSE)))</f>
        <v xml:space="preserve"> </v>
      </c>
      <c r="L263" s="47">
        <f>IF(ISNA(VLOOKUP(D263,'[2]stock-take'!$M:$Q,3,FALSE)), 0, VLOOKUP(D263,'[2]stock-take'!$M:$Q,3,FALSE))</f>
        <v>0</v>
      </c>
      <c r="M263" s="48" t="str">
        <f t="shared" si="10"/>
        <v xml:space="preserve"> </v>
      </c>
      <c r="N263" s="39" t="str">
        <f t="shared" si="11"/>
        <v xml:space="preserve"> </v>
      </c>
    </row>
    <row r="264" spans="1:14">
      <c r="A264" s="37">
        <f t="shared" si="9"/>
        <v>253</v>
      </c>
      <c r="G264" s="48" t="str">
        <f>IF(F264=""," ",IF(ISNA(VLOOKUP(D264,'[2]stock-take'!$A:$E,4,FALSE)), "OUT OF STOCK", VLOOKUP(D264,'[2]stock-take'!$A:$E,4,FALSE)))</f>
        <v xml:space="preserve"> </v>
      </c>
      <c r="H264" s="48">
        <f>IF(ISNA(VLOOKUP(D264,'[2]stock-take'!$A:$E,3,FALSE)), 0, VLOOKUP(D264,'[2]stock-take'!$A:$E,3,FALSE))</f>
        <v>0</v>
      </c>
      <c r="I264" s="48" t="str">
        <f>IF(F264="", " ",IF(ISNA(VLOOKUP(D264,'[2]stock-take'!$G:$K,4,FALSE)), "OUT OF STOCK", VLOOKUP(D264,'[2]stock-take'!$G:$K,4,FALSE)))</f>
        <v xml:space="preserve"> </v>
      </c>
      <c r="J264" s="39">
        <f>IF(ISNA(VLOOKUP(D264,'[2]stock-take'!$G:$K,3,FALSE)), 0, VLOOKUP(D264,'[2]stock-take'!$G:$K,3,FALSE))</f>
        <v>0</v>
      </c>
      <c r="K264" s="49" t="str">
        <f>IF(F264="", " ", IF(ISNA(VLOOKUP(D264,'[2]stock-take'!$M:$Q,4,FALSE)), "OUT OF STOCK", VLOOKUP(D264,'[2]stock-take'!$M:$Q,4,FALSE)))</f>
        <v xml:space="preserve"> </v>
      </c>
      <c r="L264" s="47">
        <f>IF(ISNA(VLOOKUP(D264,'[2]stock-take'!$M:$Q,3,FALSE)), 0, VLOOKUP(D264,'[2]stock-take'!$M:$Q,3,FALSE))</f>
        <v>0</v>
      </c>
      <c r="M264" s="48" t="str">
        <f t="shared" si="10"/>
        <v xml:space="preserve"> </v>
      </c>
      <c r="N264" s="39" t="str">
        <f t="shared" si="11"/>
        <v xml:space="preserve"> </v>
      </c>
    </row>
    <row r="265" spans="1:14">
      <c r="A265" s="37">
        <f t="shared" si="9"/>
        <v>254</v>
      </c>
      <c r="G265" s="48" t="str">
        <f>IF(F265=""," ",IF(ISNA(VLOOKUP(D265,'[2]stock-take'!$A:$E,4,FALSE)), "OUT OF STOCK", VLOOKUP(D265,'[2]stock-take'!$A:$E,4,FALSE)))</f>
        <v xml:space="preserve"> </v>
      </c>
      <c r="H265" s="48">
        <f>IF(ISNA(VLOOKUP(D265,'[2]stock-take'!$A:$E,3,FALSE)), 0, VLOOKUP(D265,'[2]stock-take'!$A:$E,3,FALSE))</f>
        <v>0</v>
      </c>
      <c r="I265" s="48" t="str">
        <f>IF(F265="", " ",IF(ISNA(VLOOKUP(D265,'[2]stock-take'!$G:$K,4,FALSE)), "OUT OF STOCK", VLOOKUP(D265,'[2]stock-take'!$G:$K,4,FALSE)))</f>
        <v xml:space="preserve"> </v>
      </c>
      <c r="J265" s="39">
        <f>IF(ISNA(VLOOKUP(D265,'[2]stock-take'!$G:$K,3,FALSE)), 0, VLOOKUP(D265,'[2]stock-take'!$G:$K,3,FALSE))</f>
        <v>0</v>
      </c>
      <c r="K265" s="49" t="str">
        <f>IF(F265="", " ", IF(ISNA(VLOOKUP(D265,'[2]stock-take'!$M:$Q,4,FALSE)), "OUT OF STOCK", VLOOKUP(D265,'[2]stock-take'!$M:$Q,4,FALSE)))</f>
        <v xml:space="preserve"> </v>
      </c>
      <c r="L265" s="47">
        <f>IF(ISNA(VLOOKUP(D265,'[2]stock-take'!$M:$Q,3,FALSE)), 0, VLOOKUP(D265,'[2]stock-take'!$M:$Q,3,FALSE))</f>
        <v>0</v>
      </c>
      <c r="M265" s="48" t="str">
        <f t="shared" si="10"/>
        <v xml:space="preserve"> </v>
      </c>
      <c r="N265" s="39" t="str">
        <f t="shared" si="11"/>
        <v xml:space="preserve"> </v>
      </c>
    </row>
    <row r="266" spans="1:14">
      <c r="A266" s="37">
        <f t="shared" si="9"/>
        <v>255</v>
      </c>
      <c r="G266" s="48" t="str">
        <f>IF(F266=""," ",IF(ISNA(VLOOKUP(D266,'[2]stock-take'!$A:$E,4,FALSE)), "OUT OF STOCK", VLOOKUP(D266,'[2]stock-take'!$A:$E,4,FALSE)))</f>
        <v xml:space="preserve"> </v>
      </c>
      <c r="H266" s="48">
        <f>IF(ISNA(VLOOKUP(D266,'[2]stock-take'!$A:$E,3,FALSE)), 0, VLOOKUP(D266,'[2]stock-take'!$A:$E,3,FALSE))</f>
        <v>0</v>
      </c>
      <c r="I266" s="48" t="str">
        <f>IF(F266="", " ",IF(ISNA(VLOOKUP(D266,'[2]stock-take'!$G:$K,4,FALSE)), "OUT OF STOCK", VLOOKUP(D266,'[2]stock-take'!$G:$K,4,FALSE)))</f>
        <v xml:space="preserve"> </v>
      </c>
      <c r="J266" s="39">
        <f>IF(ISNA(VLOOKUP(D266,'[2]stock-take'!$G:$K,3,FALSE)), 0, VLOOKUP(D266,'[2]stock-take'!$G:$K,3,FALSE))</f>
        <v>0</v>
      </c>
      <c r="K266" s="49" t="str">
        <f>IF(F266="", " ", IF(ISNA(VLOOKUP(D266,'[2]stock-take'!$M:$Q,4,FALSE)), "OUT OF STOCK", VLOOKUP(D266,'[2]stock-take'!$M:$Q,4,FALSE)))</f>
        <v xml:space="preserve"> </v>
      </c>
      <c r="L266" s="47">
        <f>IF(ISNA(VLOOKUP(D266,'[2]stock-take'!$M:$Q,3,FALSE)), 0, VLOOKUP(D266,'[2]stock-take'!$M:$Q,3,FALSE))</f>
        <v>0</v>
      </c>
      <c r="M266" s="48" t="str">
        <f t="shared" si="10"/>
        <v xml:space="preserve"> </v>
      </c>
      <c r="N266" s="39" t="str">
        <f t="shared" si="11"/>
        <v xml:space="preserve"> </v>
      </c>
    </row>
    <row r="267" spans="1:14">
      <c r="A267" s="37">
        <f t="shared" si="9"/>
        <v>256</v>
      </c>
      <c r="G267" s="48" t="str">
        <f>IF(F267=""," ",IF(ISNA(VLOOKUP(D267,'[2]stock-take'!$A:$E,4,FALSE)), "OUT OF STOCK", VLOOKUP(D267,'[2]stock-take'!$A:$E,4,FALSE)))</f>
        <v xml:space="preserve"> </v>
      </c>
      <c r="H267" s="48">
        <f>IF(ISNA(VLOOKUP(D267,'[2]stock-take'!$A:$E,3,FALSE)), 0, VLOOKUP(D267,'[2]stock-take'!$A:$E,3,FALSE))</f>
        <v>0</v>
      </c>
      <c r="I267" s="48" t="str">
        <f>IF(F267="", " ",IF(ISNA(VLOOKUP(D267,'[2]stock-take'!$G:$K,4,FALSE)), "OUT OF STOCK", VLOOKUP(D267,'[2]stock-take'!$G:$K,4,FALSE)))</f>
        <v xml:space="preserve"> </v>
      </c>
      <c r="J267" s="39">
        <f>IF(ISNA(VLOOKUP(D267,'[2]stock-take'!$G:$K,3,FALSE)), 0, VLOOKUP(D267,'[2]stock-take'!$G:$K,3,FALSE))</f>
        <v>0</v>
      </c>
      <c r="K267" s="49" t="str">
        <f>IF(F267="", " ", IF(ISNA(VLOOKUP(D267,'[2]stock-take'!$M:$Q,4,FALSE)), "OUT OF STOCK", VLOOKUP(D267,'[2]stock-take'!$M:$Q,4,FALSE)))</f>
        <v xml:space="preserve"> </v>
      </c>
      <c r="L267" s="47">
        <f>IF(ISNA(VLOOKUP(D267,'[2]stock-take'!$M:$Q,3,FALSE)), 0, VLOOKUP(D267,'[2]stock-take'!$M:$Q,3,FALSE))</f>
        <v>0</v>
      </c>
      <c r="M267" s="48" t="str">
        <f t="shared" si="10"/>
        <v xml:space="preserve"> </v>
      </c>
      <c r="N267" s="39" t="str">
        <f t="shared" si="11"/>
        <v xml:space="preserve"> </v>
      </c>
    </row>
    <row r="268" spans="1:14">
      <c r="A268" s="37">
        <f t="shared" ref="A268:A331" si="12">ROW(A268)-11</f>
        <v>257</v>
      </c>
      <c r="G268" s="48" t="str">
        <f>IF(F268=""," ",IF(ISNA(VLOOKUP(D268,'[2]stock-take'!$A:$E,4,FALSE)), "OUT OF STOCK", VLOOKUP(D268,'[2]stock-take'!$A:$E,4,FALSE)))</f>
        <v xml:space="preserve"> </v>
      </c>
      <c r="H268" s="48">
        <f>IF(ISNA(VLOOKUP(D268,'[2]stock-take'!$A:$E,3,FALSE)), 0, VLOOKUP(D268,'[2]stock-take'!$A:$E,3,FALSE))</f>
        <v>0</v>
      </c>
      <c r="I268" s="48" t="str">
        <f>IF(F268="", " ",IF(ISNA(VLOOKUP(D268,'[2]stock-take'!$G:$K,4,FALSE)), "OUT OF STOCK", VLOOKUP(D268,'[2]stock-take'!$G:$K,4,FALSE)))</f>
        <v xml:space="preserve"> </v>
      </c>
      <c r="J268" s="39">
        <f>IF(ISNA(VLOOKUP(D268,'[2]stock-take'!$G:$K,3,FALSE)), 0, VLOOKUP(D268,'[2]stock-take'!$G:$K,3,FALSE))</f>
        <v>0</v>
      </c>
      <c r="K268" s="49" t="str">
        <f>IF(F268="", " ", IF(ISNA(VLOOKUP(D268,'[2]stock-take'!$M:$Q,4,FALSE)), "OUT OF STOCK", VLOOKUP(D268,'[2]stock-take'!$M:$Q,4,FALSE)))</f>
        <v xml:space="preserve"> </v>
      </c>
      <c r="L268" s="47">
        <f>IF(ISNA(VLOOKUP(D268,'[2]stock-take'!$M:$Q,3,FALSE)), 0, VLOOKUP(D268,'[2]stock-take'!$M:$Q,3,FALSE))</f>
        <v>0</v>
      </c>
      <c r="M268" s="48" t="str">
        <f t="shared" si="10"/>
        <v xml:space="preserve"> </v>
      </c>
      <c r="N268" s="39" t="str">
        <f t="shared" si="11"/>
        <v xml:space="preserve"> </v>
      </c>
    </row>
    <row r="269" spans="1:14">
      <c r="A269" s="37">
        <f t="shared" si="12"/>
        <v>258</v>
      </c>
      <c r="G269" s="48" t="str">
        <f>IF(F269=""," ",IF(ISNA(VLOOKUP(D269,'[2]stock-take'!$A:$E,4,FALSE)), "OUT OF STOCK", VLOOKUP(D269,'[2]stock-take'!$A:$E,4,FALSE)))</f>
        <v xml:space="preserve"> </v>
      </c>
      <c r="H269" s="48">
        <f>IF(ISNA(VLOOKUP(D269,'[2]stock-take'!$A:$E,3,FALSE)), 0, VLOOKUP(D269,'[2]stock-take'!$A:$E,3,FALSE))</f>
        <v>0</v>
      </c>
      <c r="I269" s="48" t="str">
        <f>IF(F269="", " ",IF(ISNA(VLOOKUP(D269,'[2]stock-take'!$G:$K,4,FALSE)), "OUT OF STOCK", VLOOKUP(D269,'[2]stock-take'!$G:$K,4,FALSE)))</f>
        <v xml:space="preserve"> </v>
      </c>
      <c r="J269" s="39">
        <f>IF(ISNA(VLOOKUP(D269,'[2]stock-take'!$G:$K,3,FALSE)), 0, VLOOKUP(D269,'[2]stock-take'!$G:$K,3,FALSE))</f>
        <v>0</v>
      </c>
      <c r="K269" s="49" t="str">
        <f>IF(F269="", " ", IF(ISNA(VLOOKUP(D269,'[2]stock-take'!$M:$Q,4,FALSE)), "OUT OF STOCK", VLOOKUP(D269,'[2]stock-take'!$M:$Q,4,FALSE)))</f>
        <v xml:space="preserve"> </v>
      </c>
      <c r="L269" s="47">
        <f>IF(ISNA(VLOOKUP(D269,'[2]stock-take'!$M:$Q,3,FALSE)), 0, VLOOKUP(D269,'[2]stock-take'!$M:$Q,3,FALSE))</f>
        <v>0</v>
      </c>
      <c r="M269" s="48" t="str">
        <f t="shared" ref="M269:M332" si="13">IF(F269=""," ",IF(H269&gt;=F269,"Y",IF(J269&gt;=F269,"Y",IF(L269&gt;=F269,"Y",IF(SUM(H269,J269,L269)&gt;=F269,"Y","N")))))</f>
        <v xml:space="preserve"> </v>
      </c>
      <c r="N269" s="39" t="str">
        <f t="shared" ref="N269:N332" si="14">IF(F269=""," ",IF(H269&gt;=F269,"ILOOM",IF(J269&gt;=F269,"NO.6",IF(L269&gt;=F269,"RMD",IF(SUM(H269,J269,L269)&gt;=F269,"MULTI","LACK")))))</f>
        <v xml:space="preserve"> </v>
      </c>
    </row>
    <row r="270" spans="1:14">
      <c r="A270" s="37">
        <f t="shared" si="12"/>
        <v>259</v>
      </c>
      <c r="G270" s="48" t="str">
        <f>IF(F270=""," ",IF(ISNA(VLOOKUP(D270,'[2]stock-take'!$A:$E,4,FALSE)), "OUT OF STOCK", VLOOKUP(D270,'[2]stock-take'!$A:$E,4,FALSE)))</f>
        <v xml:space="preserve"> </v>
      </c>
      <c r="H270" s="48">
        <f>IF(ISNA(VLOOKUP(D270,'[2]stock-take'!$A:$E,3,FALSE)), 0, VLOOKUP(D270,'[2]stock-take'!$A:$E,3,FALSE))</f>
        <v>0</v>
      </c>
      <c r="I270" s="48" t="str">
        <f>IF(F270="", " ",IF(ISNA(VLOOKUP(D270,'[2]stock-take'!$G:$K,4,FALSE)), "OUT OF STOCK", VLOOKUP(D270,'[2]stock-take'!$G:$K,4,FALSE)))</f>
        <v xml:space="preserve"> </v>
      </c>
      <c r="J270" s="39">
        <f>IF(ISNA(VLOOKUP(D270,'[2]stock-take'!$G:$K,3,FALSE)), 0, VLOOKUP(D270,'[2]stock-take'!$G:$K,3,FALSE))</f>
        <v>0</v>
      </c>
      <c r="K270" s="49" t="str">
        <f>IF(F270="", " ", IF(ISNA(VLOOKUP(D270,'[2]stock-take'!$M:$Q,4,FALSE)), "OUT OF STOCK", VLOOKUP(D270,'[2]stock-take'!$M:$Q,4,FALSE)))</f>
        <v xml:space="preserve"> </v>
      </c>
      <c r="L270" s="47">
        <f>IF(ISNA(VLOOKUP(D270,'[2]stock-take'!$M:$Q,3,FALSE)), 0, VLOOKUP(D270,'[2]stock-take'!$M:$Q,3,FALSE))</f>
        <v>0</v>
      </c>
      <c r="M270" s="48" t="str">
        <f t="shared" si="13"/>
        <v xml:space="preserve"> </v>
      </c>
      <c r="N270" s="39" t="str">
        <f t="shared" si="14"/>
        <v xml:space="preserve"> </v>
      </c>
    </row>
    <row r="271" spans="1:14">
      <c r="A271" s="37">
        <f t="shared" si="12"/>
        <v>260</v>
      </c>
      <c r="G271" s="48" t="str">
        <f>IF(F271=""," ",IF(ISNA(VLOOKUP(D271,'[2]stock-take'!$A:$E,4,FALSE)), "OUT OF STOCK", VLOOKUP(D271,'[2]stock-take'!$A:$E,4,FALSE)))</f>
        <v xml:space="preserve"> </v>
      </c>
      <c r="H271" s="48">
        <f>IF(ISNA(VLOOKUP(D271,'[2]stock-take'!$A:$E,3,FALSE)), 0, VLOOKUP(D271,'[2]stock-take'!$A:$E,3,FALSE))</f>
        <v>0</v>
      </c>
      <c r="I271" s="48" t="str">
        <f>IF(F271="", " ",IF(ISNA(VLOOKUP(D271,'[2]stock-take'!$G:$K,4,FALSE)), "OUT OF STOCK", VLOOKUP(D271,'[2]stock-take'!$G:$K,4,FALSE)))</f>
        <v xml:space="preserve"> </v>
      </c>
      <c r="J271" s="39">
        <f>IF(ISNA(VLOOKUP(D271,'[2]stock-take'!$G:$K,3,FALSE)), 0, VLOOKUP(D271,'[2]stock-take'!$G:$K,3,FALSE))</f>
        <v>0</v>
      </c>
      <c r="K271" s="49" t="str">
        <f>IF(F271="", " ", IF(ISNA(VLOOKUP(D271,'[2]stock-take'!$M:$Q,4,FALSE)), "OUT OF STOCK", VLOOKUP(D271,'[2]stock-take'!$M:$Q,4,FALSE)))</f>
        <v xml:space="preserve"> </v>
      </c>
      <c r="L271" s="47">
        <f>IF(ISNA(VLOOKUP(D271,'[2]stock-take'!$M:$Q,3,FALSE)), 0, VLOOKUP(D271,'[2]stock-take'!$M:$Q,3,FALSE))</f>
        <v>0</v>
      </c>
      <c r="M271" s="48" t="str">
        <f t="shared" si="13"/>
        <v xml:space="preserve"> </v>
      </c>
      <c r="N271" s="39" t="str">
        <f t="shared" si="14"/>
        <v xml:space="preserve"> </v>
      </c>
    </row>
    <row r="272" spans="1:14">
      <c r="A272" s="37">
        <f t="shared" si="12"/>
        <v>261</v>
      </c>
      <c r="G272" s="48" t="str">
        <f>IF(F272=""," ",IF(ISNA(VLOOKUP(D272,'[2]stock-take'!$A:$E,4,FALSE)), "OUT OF STOCK", VLOOKUP(D272,'[2]stock-take'!$A:$E,4,FALSE)))</f>
        <v xml:space="preserve"> </v>
      </c>
      <c r="H272" s="48">
        <f>IF(ISNA(VLOOKUP(D272,'[2]stock-take'!$A:$E,3,FALSE)), 0, VLOOKUP(D272,'[2]stock-take'!$A:$E,3,FALSE))</f>
        <v>0</v>
      </c>
      <c r="I272" s="48" t="str">
        <f>IF(F272="", " ",IF(ISNA(VLOOKUP(D272,'[2]stock-take'!$G:$K,4,FALSE)), "OUT OF STOCK", VLOOKUP(D272,'[2]stock-take'!$G:$K,4,FALSE)))</f>
        <v xml:space="preserve"> </v>
      </c>
      <c r="J272" s="39">
        <f>IF(ISNA(VLOOKUP(D272,'[2]stock-take'!$G:$K,3,FALSE)), 0, VLOOKUP(D272,'[2]stock-take'!$G:$K,3,FALSE))</f>
        <v>0</v>
      </c>
      <c r="K272" s="49" t="str">
        <f>IF(F272="", " ", IF(ISNA(VLOOKUP(D272,'[2]stock-take'!$M:$Q,4,FALSE)), "OUT OF STOCK", VLOOKUP(D272,'[2]stock-take'!$M:$Q,4,FALSE)))</f>
        <v xml:space="preserve"> </v>
      </c>
      <c r="L272" s="47">
        <f>IF(ISNA(VLOOKUP(D272,'[2]stock-take'!$M:$Q,3,FALSE)), 0, VLOOKUP(D272,'[2]stock-take'!$M:$Q,3,FALSE))</f>
        <v>0</v>
      </c>
      <c r="M272" s="48" t="str">
        <f t="shared" si="13"/>
        <v xml:space="preserve"> </v>
      </c>
      <c r="N272" s="39" t="str">
        <f t="shared" si="14"/>
        <v xml:space="preserve"> </v>
      </c>
    </row>
    <row r="273" spans="1:14">
      <c r="A273" s="37">
        <f t="shared" si="12"/>
        <v>262</v>
      </c>
      <c r="G273" s="48" t="str">
        <f>IF(F273=""," ",IF(ISNA(VLOOKUP(D273,'[2]stock-take'!$A:$E,4,FALSE)), "OUT OF STOCK", VLOOKUP(D273,'[2]stock-take'!$A:$E,4,FALSE)))</f>
        <v xml:space="preserve"> </v>
      </c>
      <c r="H273" s="48">
        <f>IF(ISNA(VLOOKUP(D273,'[2]stock-take'!$A:$E,3,FALSE)), 0, VLOOKUP(D273,'[2]stock-take'!$A:$E,3,FALSE))</f>
        <v>0</v>
      </c>
      <c r="I273" s="48" t="str">
        <f>IF(F273="", " ",IF(ISNA(VLOOKUP(D273,'[2]stock-take'!$G:$K,4,FALSE)), "OUT OF STOCK", VLOOKUP(D273,'[2]stock-take'!$G:$K,4,FALSE)))</f>
        <v xml:space="preserve"> </v>
      </c>
      <c r="J273" s="39">
        <f>IF(ISNA(VLOOKUP(D273,'[2]stock-take'!$G:$K,3,FALSE)), 0, VLOOKUP(D273,'[2]stock-take'!$G:$K,3,FALSE))</f>
        <v>0</v>
      </c>
      <c r="K273" s="49" t="str">
        <f>IF(F273="", " ", IF(ISNA(VLOOKUP(D273,'[2]stock-take'!$M:$Q,4,FALSE)), "OUT OF STOCK", VLOOKUP(D273,'[2]stock-take'!$M:$Q,4,FALSE)))</f>
        <v xml:space="preserve"> </v>
      </c>
      <c r="L273" s="47">
        <f>IF(ISNA(VLOOKUP(D273,'[2]stock-take'!$M:$Q,3,FALSE)), 0, VLOOKUP(D273,'[2]stock-take'!$M:$Q,3,FALSE))</f>
        <v>0</v>
      </c>
      <c r="M273" s="48" t="str">
        <f t="shared" si="13"/>
        <v xml:space="preserve"> </v>
      </c>
      <c r="N273" s="39" t="str">
        <f t="shared" si="14"/>
        <v xml:space="preserve"> </v>
      </c>
    </row>
    <row r="274" spans="1:14">
      <c r="A274" s="37">
        <f t="shared" si="12"/>
        <v>263</v>
      </c>
      <c r="G274" s="48" t="str">
        <f>IF(F274=""," ",IF(ISNA(VLOOKUP(D274,'[2]stock-take'!$A:$E,4,FALSE)), "OUT OF STOCK", VLOOKUP(D274,'[2]stock-take'!$A:$E,4,FALSE)))</f>
        <v xml:space="preserve"> </v>
      </c>
      <c r="H274" s="48">
        <f>IF(ISNA(VLOOKUP(D274,'[2]stock-take'!$A:$E,3,FALSE)), 0, VLOOKUP(D274,'[2]stock-take'!$A:$E,3,FALSE))</f>
        <v>0</v>
      </c>
      <c r="I274" s="48" t="str">
        <f>IF(F274="", " ",IF(ISNA(VLOOKUP(D274,'[2]stock-take'!$G:$K,4,FALSE)), "OUT OF STOCK", VLOOKUP(D274,'[2]stock-take'!$G:$K,4,FALSE)))</f>
        <v xml:space="preserve"> </v>
      </c>
      <c r="J274" s="39">
        <f>IF(ISNA(VLOOKUP(D274,'[2]stock-take'!$G:$K,3,FALSE)), 0, VLOOKUP(D274,'[2]stock-take'!$G:$K,3,FALSE))</f>
        <v>0</v>
      </c>
      <c r="K274" s="49" t="str">
        <f>IF(F274="", " ", IF(ISNA(VLOOKUP(D274,'[2]stock-take'!$M:$Q,4,FALSE)), "OUT OF STOCK", VLOOKUP(D274,'[2]stock-take'!$M:$Q,4,FALSE)))</f>
        <v xml:space="preserve"> </v>
      </c>
      <c r="L274" s="47">
        <f>IF(ISNA(VLOOKUP(D274,'[2]stock-take'!$M:$Q,3,FALSE)), 0, VLOOKUP(D274,'[2]stock-take'!$M:$Q,3,FALSE))</f>
        <v>0</v>
      </c>
      <c r="M274" s="48" t="str">
        <f t="shared" si="13"/>
        <v xml:space="preserve"> </v>
      </c>
      <c r="N274" s="39" t="str">
        <f t="shared" si="14"/>
        <v xml:space="preserve"> </v>
      </c>
    </row>
    <row r="275" spans="1:14">
      <c r="A275" s="37">
        <f t="shared" si="12"/>
        <v>264</v>
      </c>
      <c r="G275" s="48" t="str">
        <f>IF(F275=""," ",IF(ISNA(VLOOKUP(D275,'[2]stock-take'!$A:$E,4,FALSE)), "OUT OF STOCK", VLOOKUP(D275,'[2]stock-take'!$A:$E,4,FALSE)))</f>
        <v xml:space="preserve"> </v>
      </c>
      <c r="H275" s="48">
        <f>IF(ISNA(VLOOKUP(D275,'[2]stock-take'!$A:$E,3,FALSE)), 0, VLOOKUP(D275,'[2]stock-take'!$A:$E,3,FALSE))</f>
        <v>0</v>
      </c>
      <c r="I275" s="48" t="str">
        <f>IF(F275="", " ",IF(ISNA(VLOOKUP(D275,'[2]stock-take'!$G:$K,4,FALSE)), "OUT OF STOCK", VLOOKUP(D275,'[2]stock-take'!$G:$K,4,FALSE)))</f>
        <v xml:space="preserve"> </v>
      </c>
      <c r="J275" s="39">
        <f>IF(ISNA(VLOOKUP(D275,'[2]stock-take'!$G:$K,3,FALSE)), 0, VLOOKUP(D275,'[2]stock-take'!$G:$K,3,FALSE))</f>
        <v>0</v>
      </c>
      <c r="K275" s="49" t="str">
        <f>IF(F275="", " ", IF(ISNA(VLOOKUP(D275,'[2]stock-take'!$M:$Q,4,FALSE)), "OUT OF STOCK", VLOOKUP(D275,'[2]stock-take'!$M:$Q,4,FALSE)))</f>
        <v xml:space="preserve"> </v>
      </c>
      <c r="L275" s="47">
        <f>IF(ISNA(VLOOKUP(D275,'[2]stock-take'!$M:$Q,3,FALSE)), 0, VLOOKUP(D275,'[2]stock-take'!$M:$Q,3,FALSE))</f>
        <v>0</v>
      </c>
      <c r="M275" s="48" t="str">
        <f t="shared" si="13"/>
        <v xml:space="preserve"> </v>
      </c>
      <c r="N275" s="39" t="str">
        <f t="shared" si="14"/>
        <v xml:space="preserve"> </v>
      </c>
    </row>
    <row r="276" spans="1:14">
      <c r="A276" s="37">
        <f t="shared" si="12"/>
        <v>265</v>
      </c>
      <c r="G276" s="48" t="str">
        <f>IF(F276=""," ",IF(ISNA(VLOOKUP(D276,'[2]stock-take'!$A:$E,4,FALSE)), "OUT OF STOCK", VLOOKUP(D276,'[2]stock-take'!$A:$E,4,FALSE)))</f>
        <v xml:space="preserve"> </v>
      </c>
      <c r="H276" s="48">
        <f>IF(ISNA(VLOOKUP(D276,'[2]stock-take'!$A:$E,3,FALSE)), 0, VLOOKUP(D276,'[2]stock-take'!$A:$E,3,FALSE))</f>
        <v>0</v>
      </c>
      <c r="I276" s="48" t="str">
        <f>IF(F276="", " ",IF(ISNA(VLOOKUP(D276,'[2]stock-take'!$G:$K,4,FALSE)), "OUT OF STOCK", VLOOKUP(D276,'[2]stock-take'!$G:$K,4,FALSE)))</f>
        <v xml:space="preserve"> </v>
      </c>
      <c r="J276" s="39">
        <f>IF(ISNA(VLOOKUP(D276,'[2]stock-take'!$G:$K,3,FALSE)), 0, VLOOKUP(D276,'[2]stock-take'!$G:$K,3,FALSE))</f>
        <v>0</v>
      </c>
      <c r="K276" s="49" t="str">
        <f>IF(F276="", " ", IF(ISNA(VLOOKUP(D276,'[2]stock-take'!$M:$Q,4,FALSE)), "OUT OF STOCK", VLOOKUP(D276,'[2]stock-take'!$M:$Q,4,FALSE)))</f>
        <v xml:space="preserve"> </v>
      </c>
      <c r="L276" s="47">
        <f>IF(ISNA(VLOOKUP(D276,'[2]stock-take'!$M:$Q,3,FALSE)), 0, VLOOKUP(D276,'[2]stock-take'!$M:$Q,3,FALSE))</f>
        <v>0</v>
      </c>
      <c r="M276" s="48" t="str">
        <f t="shared" si="13"/>
        <v xml:space="preserve"> </v>
      </c>
      <c r="N276" s="39" t="str">
        <f t="shared" si="14"/>
        <v xml:space="preserve"> </v>
      </c>
    </row>
    <row r="277" spans="1:14">
      <c r="A277" s="37">
        <f t="shared" si="12"/>
        <v>266</v>
      </c>
      <c r="G277" s="48" t="str">
        <f>IF(F277=""," ",IF(ISNA(VLOOKUP(D277,'[2]stock-take'!$A:$E,4,FALSE)), "OUT OF STOCK", VLOOKUP(D277,'[2]stock-take'!$A:$E,4,FALSE)))</f>
        <v xml:space="preserve"> </v>
      </c>
      <c r="H277" s="48">
        <f>IF(ISNA(VLOOKUP(D277,'[2]stock-take'!$A:$E,3,FALSE)), 0, VLOOKUP(D277,'[2]stock-take'!$A:$E,3,FALSE))</f>
        <v>0</v>
      </c>
      <c r="I277" s="48" t="str">
        <f>IF(F277="", " ",IF(ISNA(VLOOKUP(D277,'[2]stock-take'!$G:$K,4,FALSE)), "OUT OF STOCK", VLOOKUP(D277,'[2]stock-take'!$G:$K,4,FALSE)))</f>
        <v xml:space="preserve"> </v>
      </c>
      <c r="J277" s="39">
        <f>IF(ISNA(VLOOKUP(D277,'[2]stock-take'!$G:$K,3,FALSE)), 0, VLOOKUP(D277,'[2]stock-take'!$G:$K,3,FALSE))</f>
        <v>0</v>
      </c>
      <c r="K277" s="49" t="str">
        <f>IF(F277="", " ", IF(ISNA(VLOOKUP(D277,'[2]stock-take'!$M:$Q,4,FALSE)), "OUT OF STOCK", VLOOKUP(D277,'[2]stock-take'!$M:$Q,4,FALSE)))</f>
        <v xml:space="preserve"> </v>
      </c>
      <c r="L277" s="47">
        <f>IF(ISNA(VLOOKUP(D277,'[2]stock-take'!$M:$Q,3,FALSE)), 0, VLOOKUP(D277,'[2]stock-take'!$M:$Q,3,FALSE))</f>
        <v>0</v>
      </c>
      <c r="M277" s="48" t="str">
        <f t="shared" si="13"/>
        <v xml:space="preserve"> </v>
      </c>
      <c r="N277" s="39" t="str">
        <f t="shared" si="14"/>
        <v xml:space="preserve"> </v>
      </c>
    </row>
    <row r="278" spans="1:14">
      <c r="A278" s="37">
        <f t="shared" si="12"/>
        <v>267</v>
      </c>
      <c r="G278" s="48" t="str">
        <f>IF(F278=""," ",IF(ISNA(VLOOKUP(D278,'[2]stock-take'!$A:$E,4,FALSE)), "OUT OF STOCK", VLOOKUP(D278,'[2]stock-take'!$A:$E,4,FALSE)))</f>
        <v xml:space="preserve"> </v>
      </c>
      <c r="H278" s="48">
        <f>IF(ISNA(VLOOKUP(D278,'[2]stock-take'!$A:$E,3,FALSE)), 0, VLOOKUP(D278,'[2]stock-take'!$A:$E,3,FALSE))</f>
        <v>0</v>
      </c>
      <c r="I278" s="48" t="str">
        <f>IF(F278="", " ",IF(ISNA(VLOOKUP(D278,'[2]stock-take'!$G:$K,4,FALSE)), "OUT OF STOCK", VLOOKUP(D278,'[2]stock-take'!$G:$K,4,FALSE)))</f>
        <v xml:space="preserve"> </v>
      </c>
      <c r="J278" s="39">
        <f>IF(ISNA(VLOOKUP(D278,'[2]stock-take'!$G:$K,3,FALSE)), 0, VLOOKUP(D278,'[2]stock-take'!$G:$K,3,FALSE))</f>
        <v>0</v>
      </c>
      <c r="K278" s="49" t="str">
        <f>IF(F278="", " ", IF(ISNA(VLOOKUP(D278,'[2]stock-take'!$M:$Q,4,FALSE)), "OUT OF STOCK", VLOOKUP(D278,'[2]stock-take'!$M:$Q,4,FALSE)))</f>
        <v xml:space="preserve"> </v>
      </c>
      <c r="L278" s="47">
        <f>IF(ISNA(VLOOKUP(D278,'[2]stock-take'!$M:$Q,3,FALSE)), 0, VLOOKUP(D278,'[2]stock-take'!$M:$Q,3,FALSE))</f>
        <v>0</v>
      </c>
      <c r="M278" s="48" t="str">
        <f t="shared" si="13"/>
        <v xml:space="preserve"> </v>
      </c>
      <c r="N278" s="39" t="str">
        <f t="shared" si="14"/>
        <v xml:space="preserve"> </v>
      </c>
    </row>
    <row r="279" spans="1:14">
      <c r="A279" s="37">
        <f t="shared" si="12"/>
        <v>268</v>
      </c>
      <c r="G279" s="48" t="str">
        <f>IF(F279=""," ",IF(ISNA(VLOOKUP(D279,'[2]stock-take'!$A:$E,4,FALSE)), "OUT OF STOCK", VLOOKUP(D279,'[2]stock-take'!$A:$E,4,FALSE)))</f>
        <v xml:space="preserve"> </v>
      </c>
      <c r="H279" s="48">
        <f>IF(ISNA(VLOOKUP(D279,'[2]stock-take'!$A:$E,3,FALSE)), 0, VLOOKUP(D279,'[2]stock-take'!$A:$E,3,FALSE))</f>
        <v>0</v>
      </c>
      <c r="I279" s="48" t="str">
        <f>IF(F279="", " ",IF(ISNA(VLOOKUP(D279,'[2]stock-take'!$G:$K,4,FALSE)), "OUT OF STOCK", VLOOKUP(D279,'[2]stock-take'!$G:$K,4,FALSE)))</f>
        <v xml:space="preserve"> </v>
      </c>
      <c r="J279" s="39">
        <f>IF(ISNA(VLOOKUP(D279,'[2]stock-take'!$G:$K,3,FALSE)), 0, VLOOKUP(D279,'[2]stock-take'!$G:$K,3,FALSE))</f>
        <v>0</v>
      </c>
      <c r="K279" s="49" t="str">
        <f>IF(F279="", " ", IF(ISNA(VLOOKUP(D279,'[2]stock-take'!$M:$Q,4,FALSE)), "OUT OF STOCK", VLOOKUP(D279,'[2]stock-take'!$M:$Q,4,FALSE)))</f>
        <v xml:space="preserve"> </v>
      </c>
      <c r="L279" s="47">
        <f>IF(ISNA(VLOOKUP(D279,'[2]stock-take'!$M:$Q,3,FALSE)), 0, VLOOKUP(D279,'[2]stock-take'!$M:$Q,3,FALSE))</f>
        <v>0</v>
      </c>
      <c r="M279" s="48" t="str">
        <f t="shared" si="13"/>
        <v xml:space="preserve"> </v>
      </c>
      <c r="N279" s="39" t="str">
        <f t="shared" si="14"/>
        <v xml:space="preserve"> </v>
      </c>
    </row>
    <row r="280" spans="1:14">
      <c r="A280" s="37">
        <f t="shared" si="12"/>
        <v>269</v>
      </c>
      <c r="G280" s="48" t="str">
        <f>IF(F280=""," ",IF(ISNA(VLOOKUP(D280,'[2]stock-take'!$A:$E,4,FALSE)), "OUT OF STOCK", VLOOKUP(D280,'[2]stock-take'!$A:$E,4,FALSE)))</f>
        <v xml:space="preserve"> </v>
      </c>
      <c r="H280" s="48">
        <f>IF(ISNA(VLOOKUP(D280,'[2]stock-take'!$A:$E,3,FALSE)), 0, VLOOKUP(D280,'[2]stock-take'!$A:$E,3,FALSE))</f>
        <v>0</v>
      </c>
      <c r="I280" s="48" t="str">
        <f>IF(F280="", " ",IF(ISNA(VLOOKUP(D280,'[2]stock-take'!$G:$K,4,FALSE)), "OUT OF STOCK", VLOOKUP(D280,'[2]stock-take'!$G:$K,4,FALSE)))</f>
        <v xml:space="preserve"> </v>
      </c>
      <c r="J280" s="39">
        <f>IF(ISNA(VLOOKUP(D280,'[2]stock-take'!$G:$K,3,FALSE)), 0, VLOOKUP(D280,'[2]stock-take'!$G:$K,3,FALSE))</f>
        <v>0</v>
      </c>
      <c r="K280" s="49" t="str">
        <f>IF(F280="", " ", IF(ISNA(VLOOKUP(D280,'[2]stock-take'!$M:$Q,4,FALSE)), "OUT OF STOCK", VLOOKUP(D280,'[2]stock-take'!$M:$Q,4,FALSE)))</f>
        <v xml:space="preserve"> </v>
      </c>
      <c r="L280" s="47">
        <f>IF(ISNA(VLOOKUP(D280,'[2]stock-take'!$M:$Q,3,FALSE)), 0, VLOOKUP(D280,'[2]stock-take'!$M:$Q,3,FALSE))</f>
        <v>0</v>
      </c>
      <c r="M280" s="48" t="str">
        <f t="shared" si="13"/>
        <v xml:space="preserve"> </v>
      </c>
      <c r="N280" s="39" t="str">
        <f t="shared" si="14"/>
        <v xml:space="preserve"> </v>
      </c>
    </row>
    <row r="281" spans="1:14">
      <c r="A281" s="37">
        <f t="shared" si="12"/>
        <v>270</v>
      </c>
      <c r="G281" s="48" t="str">
        <f>IF(F281=""," ",IF(ISNA(VLOOKUP(D281,'[2]stock-take'!$A:$E,4,FALSE)), "OUT OF STOCK", VLOOKUP(D281,'[2]stock-take'!$A:$E,4,FALSE)))</f>
        <v xml:space="preserve"> </v>
      </c>
      <c r="H281" s="48">
        <f>IF(ISNA(VLOOKUP(D281,'[2]stock-take'!$A:$E,3,FALSE)), 0, VLOOKUP(D281,'[2]stock-take'!$A:$E,3,FALSE))</f>
        <v>0</v>
      </c>
      <c r="I281" s="48" t="str">
        <f>IF(F281="", " ",IF(ISNA(VLOOKUP(D281,'[2]stock-take'!$G:$K,4,FALSE)), "OUT OF STOCK", VLOOKUP(D281,'[2]stock-take'!$G:$K,4,FALSE)))</f>
        <v xml:space="preserve"> </v>
      </c>
      <c r="J281" s="39">
        <f>IF(ISNA(VLOOKUP(D281,'[2]stock-take'!$G:$K,3,FALSE)), 0, VLOOKUP(D281,'[2]stock-take'!$G:$K,3,FALSE))</f>
        <v>0</v>
      </c>
      <c r="K281" s="49" t="str">
        <f>IF(F281="", " ", IF(ISNA(VLOOKUP(D281,'[2]stock-take'!$M:$Q,4,FALSE)), "OUT OF STOCK", VLOOKUP(D281,'[2]stock-take'!$M:$Q,4,FALSE)))</f>
        <v xml:space="preserve"> </v>
      </c>
      <c r="L281" s="47">
        <f>IF(ISNA(VLOOKUP(D281,'[2]stock-take'!$M:$Q,3,FALSE)), 0, VLOOKUP(D281,'[2]stock-take'!$M:$Q,3,FALSE))</f>
        <v>0</v>
      </c>
      <c r="M281" s="48" t="str">
        <f t="shared" si="13"/>
        <v xml:space="preserve"> </v>
      </c>
      <c r="N281" s="39" t="str">
        <f t="shared" si="14"/>
        <v xml:space="preserve"> </v>
      </c>
    </row>
    <row r="282" spans="1:14">
      <c r="A282" s="37">
        <f t="shared" si="12"/>
        <v>271</v>
      </c>
      <c r="G282" s="48" t="str">
        <f>IF(F282=""," ",IF(ISNA(VLOOKUP(D282,'[2]stock-take'!$A:$E,4,FALSE)), "OUT OF STOCK", VLOOKUP(D282,'[2]stock-take'!$A:$E,4,FALSE)))</f>
        <v xml:space="preserve"> </v>
      </c>
      <c r="H282" s="48">
        <f>IF(ISNA(VLOOKUP(D282,'[2]stock-take'!$A:$E,3,FALSE)), 0, VLOOKUP(D282,'[2]stock-take'!$A:$E,3,FALSE))</f>
        <v>0</v>
      </c>
      <c r="I282" s="48" t="str">
        <f>IF(F282="", " ",IF(ISNA(VLOOKUP(D282,'[2]stock-take'!$G:$K,4,FALSE)), "OUT OF STOCK", VLOOKUP(D282,'[2]stock-take'!$G:$K,4,FALSE)))</f>
        <v xml:space="preserve"> </v>
      </c>
      <c r="J282" s="39">
        <f>IF(ISNA(VLOOKUP(D282,'[2]stock-take'!$G:$K,3,FALSE)), 0, VLOOKUP(D282,'[2]stock-take'!$G:$K,3,FALSE))</f>
        <v>0</v>
      </c>
      <c r="K282" s="49" t="str">
        <f>IF(F282="", " ", IF(ISNA(VLOOKUP(D282,'[2]stock-take'!$M:$Q,4,FALSE)), "OUT OF STOCK", VLOOKUP(D282,'[2]stock-take'!$M:$Q,4,FALSE)))</f>
        <v xml:space="preserve"> </v>
      </c>
      <c r="L282" s="47">
        <f>IF(ISNA(VLOOKUP(D282,'[2]stock-take'!$M:$Q,3,FALSE)), 0, VLOOKUP(D282,'[2]stock-take'!$M:$Q,3,FALSE))</f>
        <v>0</v>
      </c>
      <c r="M282" s="48" t="str">
        <f t="shared" si="13"/>
        <v xml:space="preserve"> </v>
      </c>
      <c r="N282" s="39" t="str">
        <f t="shared" si="14"/>
        <v xml:space="preserve"> </v>
      </c>
    </row>
    <row r="283" spans="1:14">
      <c r="A283" s="37">
        <f t="shared" si="12"/>
        <v>272</v>
      </c>
      <c r="G283" s="48" t="str">
        <f>IF(F283=""," ",IF(ISNA(VLOOKUP(D283,'[2]stock-take'!$A:$E,4,FALSE)), "OUT OF STOCK", VLOOKUP(D283,'[2]stock-take'!$A:$E,4,FALSE)))</f>
        <v xml:space="preserve"> </v>
      </c>
      <c r="H283" s="48">
        <f>IF(ISNA(VLOOKUP(D283,'[2]stock-take'!$A:$E,3,FALSE)), 0, VLOOKUP(D283,'[2]stock-take'!$A:$E,3,FALSE))</f>
        <v>0</v>
      </c>
      <c r="I283" s="48" t="str">
        <f>IF(F283="", " ",IF(ISNA(VLOOKUP(D283,'[2]stock-take'!$G:$K,4,FALSE)), "OUT OF STOCK", VLOOKUP(D283,'[2]stock-take'!$G:$K,4,FALSE)))</f>
        <v xml:space="preserve"> </v>
      </c>
      <c r="J283" s="39">
        <f>IF(ISNA(VLOOKUP(D283,'[2]stock-take'!$G:$K,3,FALSE)), 0, VLOOKUP(D283,'[2]stock-take'!$G:$K,3,FALSE))</f>
        <v>0</v>
      </c>
      <c r="K283" s="49" t="str">
        <f>IF(F283="", " ", IF(ISNA(VLOOKUP(D283,'[2]stock-take'!$M:$Q,4,FALSE)), "OUT OF STOCK", VLOOKUP(D283,'[2]stock-take'!$M:$Q,4,FALSE)))</f>
        <v xml:space="preserve"> </v>
      </c>
      <c r="L283" s="47">
        <f>IF(ISNA(VLOOKUP(D283,'[2]stock-take'!$M:$Q,3,FALSE)), 0, VLOOKUP(D283,'[2]stock-take'!$M:$Q,3,FALSE))</f>
        <v>0</v>
      </c>
      <c r="M283" s="48" t="str">
        <f t="shared" si="13"/>
        <v xml:space="preserve"> </v>
      </c>
      <c r="N283" s="39" t="str">
        <f t="shared" si="14"/>
        <v xml:space="preserve"> </v>
      </c>
    </row>
    <row r="284" spans="1:14">
      <c r="A284" s="37">
        <f t="shared" si="12"/>
        <v>273</v>
      </c>
      <c r="G284" s="48" t="str">
        <f>IF(F284=""," ",IF(ISNA(VLOOKUP(D284,'[2]stock-take'!$A:$E,4,FALSE)), "OUT OF STOCK", VLOOKUP(D284,'[2]stock-take'!$A:$E,4,FALSE)))</f>
        <v xml:space="preserve"> </v>
      </c>
      <c r="H284" s="48">
        <f>IF(ISNA(VLOOKUP(D284,'[2]stock-take'!$A:$E,3,FALSE)), 0, VLOOKUP(D284,'[2]stock-take'!$A:$E,3,FALSE))</f>
        <v>0</v>
      </c>
      <c r="I284" s="48" t="str">
        <f>IF(F284="", " ",IF(ISNA(VLOOKUP(D284,'[2]stock-take'!$G:$K,4,FALSE)), "OUT OF STOCK", VLOOKUP(D284,'[2]stock-take'!$G:$K,4,FALSE)))</f>
        <v xml:space="preserve"> </v>
      </c>
      <c r="J284" s="39">
        <f>IF(ISNA(VLOOKUP(D284,'[2]stock-take'!$G:$K,3,FALSE)), 0, VLOOKUP(D284,'[2]stock-take'!$G:$K,3,FALSE))</f>
        <v>0</v>
      </c>
      <c r="K284" s="49" t="str">
        <f>IF(F284="", " ", IF(ISNA(VLOOKUP(D284,'[2]stock-take'!$M:$Q,4,FALSE)), "OUT OF STOCK", VLOOKUP(D284,'[2]stock-take'!$M:$Q,4,FALSE)))</f>
        <v xml:space="preserve"> </v>
      </c>
      <c r="L284" s="47">
        <f>IF(ISNA(VLOOKUP(D284,'[2]stock-take'!$M:$Q,3,FALSE)), 0, VLOOKUP(D284,'[2]stock-take'!$M:$Q,3,FALSE))</f>
        <v>0</v>
      </c>
      <c r="M284" s="48" t="str">
        <f t="shared" si="13"/>
        <v xml:space="preserve"> </v>
      </c>
      <c r="N284" s="39" t="str">
        <f t="shared" si="14"/>
        <v xml:space="preserve"> </v>
      </c>
    </row>
    <row r="285" spans="1:14">
      <c r="A285" s="37">
        <f t="shared" si="12"/>
        <v>274</v>
      </c>
      <c r="G285" s="48" t="str">
        <f>IF(F285=""," ",IF(ISNA(VLOOKUP(D285,'[2]stock-take'!$A:$E,4,FALSE)), "OUT OF STOCK", VLOOKUP(D285,'[2]stock-take'!$A:$E,4,FALSE)))</f>
        <v xml:space="preserve"> </v>
      </c>
      <c r="H285" s="48">
        <f>IF(ISNA(VLOOKUP(D285,'[2]stock-take'!$A:$E,3,FALSE)), 0, VLOOKUP(D285,'[2]stock-take'!$A:$E,3,FALSE))</f>
        <v>0</v>
      </c>
      <c r="I285" s="48" t="str">
        <f>IF(F285="", " ",IF(ISNA(VLOOKUP(D285,'[2]stock-take'!$G:$K,4,FALSE)), "OUT OF STOCK", VLOOKUP(D285,'[2]stock-take'!$G:$K,4,FALSE)))</f>
        <v xml:space="preserve"> </v>
      </c>
      <c r="J285" s="39">
        <f>IF(ISNA(VLOOKUP(D285,'[2]stock-take'!$G:$K,3,FALSE)), 0, VLOOKUP(D285,'[2]stock-take'!$G:$K,3,FALSE))</f>
        <v>0</v>
      </c>
      <c r="K285" s="49" t="str">
        <f>IF(F285="", " ", IF(ISNA(VLOOKUP(D285,'[2]stock-take'!$M:$Q,4,FALSE)), "OUT OF STOCK", VLOOKUP(D285,'[2]stock-take'!$M:$Q,4,FALSE)))</f>
        <v xml:space="preserve"> </v>
      </c>
      <c r="L285" s="47">
        <f>IF(ISNA(VLOOKUP(D285,'[2]stock-take'!$M:$Q,3,FALSE)), 0, VLOOKUP(D285,'[2]stock-take'!$M:$Q,3,FALSE))</f>
        <v>0</v>
      </c>
      <c r="M285" s="48" t="str">
        <f t="shared" si="13"/>
        <v xml:space="preserve"> </v>
      </c>
      <c r="N285" s="39" t="str">
        <f t="shared" si="14"/>
        <v xml:space="preserve"> </v>
      </c>
    </row>
    <row r="286" spans="1:14">
      <c r="A286" s="37">
        <f t="shared" si="12"/>
        <v>275</v>
      </c>
      <c r="G286" s="48" t="str">
        <f>IF(F286=""," ",IF(ISNA(VLOOKUP(D286,'[2]stock-take'!$A:$E,4,FALSE)), "OUT OF STOCK", VLOOKUP(D286,'[2]stock-take'!$A:$E,4,FALSE)))</f>
        <v xml:space="preserve"> </v>
      </c>
      <c r="H286" s="48">
        <f>IF(ISNA(VLOOKUP(D286,'[2]stock-take'!$A:$E,3,FALSE)), 0, VLOOKUP(D286,'[2]stock-take'!$A:$E,3,FALSE))</f>
        <v>0</v>
      </c>
      <c r="I286" s="48" t="str">
        <f>IF(F286="", " ",IF(ISNA(VLOOKUP(D286,'[2]stock-take'!$G:$K,4,FALSE)), "OUT OF STOCK", VLOOKUP(D286,'[2]stock-take'!$G:$K,4,FALSE)))</f>
        <v xml:space="preserve"> </v>
      </c>
      <c r="J286" s="39">
        <f>IF(ISNA(VLOOKUP(D286,'[2]stock-take'!$G:$K,3,FALSE)), 0, VLOOKUP(D286,'[2]stock-take'!$G:$K,3,FALSE))</f>
        <v>0</v>
      </c>
      <c r="K286" s="49" t="str">
        <f>IF(F286="", " ", IF(ISNA(VLOOKUP(D286,'[2]stock-take'!$M:$Q,4,FALSE)), "OUT OF STOCK", VLOOKUP(D286,'[2]stock-take'!$M:$Q,4,FALSE)))</f>
        <v xml:space="preserve"> </v>
      </c>
      <c r="L286" s="47">
        <f>IF(ISNA(VLOOKUP(D286,'[2]stock-take'!$M:$Q,3,FALSE)), 0, VLOOKUP(D286,'[2]stock-take'!$M:$Q,3,FALSE))</f>
        <v>0</v>
      </c>
      <c r="M286" s="48" t="str">
        <f t="shared" si="13"/>
        <v xml:space="preserve"> </v>
      </c>
      <c r="N286" s="39" t="str">
        <f t="shared" si="14"/>
        <v xml:space="preserve"> </v>
      </c>
    </row>
    <row r="287" spans="1:14">
      <c r="A287" s="37">
        <f t="shared" si="12"/>
        <v>276</v>
      </c>
      <c r="G287" s="48" t="str">
        <f>IF(F287=""," ",IF(ISNA(VLOOKUP(D287,'[2]stock-take'!$A:$E,4,FALSE)), "OUT OF STOCK", VLOOKUP(D287,'[2]stock-take'!$A:$E,4,FALSE)))</f>
        <v xml:space="preserve"> </v>
      </c>
      <c r="H287" s="48">
        <f>IF(ISNA(VLOOKUP(D287,'[2]stock-take'!$A:$E,3,FALSE)), 0, VLOOKUP(D287,'[2]stock-take'!$A:$E,3,FALSE))</f>
        <v>0</v>
      </c>
      <c r="I287" s="48" t="str">
        <f>IF(F287="", " ",IF(ISNA(VLOOKUP(D287,'[2]stock-take'!$G:$K,4,FALSE)), "OUT OF STOCK", VLOOKUP(D287,'[2]stock-take'!$G:$K,4,FALSE)))</f>
        <v xml:space="preserve"> </v>
      </c>
      <c r="J287" s="39">
        <f>IF(ISNA(VLOOKUP(D287,'[2]stock-take'!$G:$K,3,FALSE)), 0, VLOOKUP(D287,'[2]stock-take'!$G:$K,3,FALSE))</f>
        <v>0</v>
      </c>
      <c r="K287" s="49" t="str">
        <f>IF(F287="", " ", IF(ISNA(VLOOKUP(D287,'[2]stock-take'!$M:$Q,4,FALSE)), "OUT OF STOCK", VLOOKUP(D287,'[2]stock-take'!$M:$Q,4,FALSE)))</f>
        <v xml:space="preserve"> </v>
      </c>
      <c r="L287" s="47">
        <f>IF(ISNA(VLOOKUP(D287,'[2]stock-take'!$M:$Q,3,FALSE)), 0, VLOOKUP(D287,'[2]stock-take'!$M:$Q,3,FALSE))</f>
        <v>0</v>
      </c>
      <c r="M287" s="48" t="str">
        <f t="shared" si="13"/>
        <v xml:space="preserve"> </v>
      </c>
      <c r="N287" s="39" t="str">
        <f t="shared" si="14"/>
        <v xml:space="preserve"> </v>
      </c>
    </row>
    <row r="288" spans="1:14">
      <c r="A288" s="37">
        <f t="shared" si="12"/>
        <v>277</v>
      </c>
      <c r="G288" s="48" t="str">
        <f>IF(F288=""," ",IF(ISNA(VLOOKUP(D288,'[2]stock-take'!$A:$E,4,FALSE)), "OUT OF STOCK", VLOOKUP(D288,'[2]stock-take'!$A:$E,4,FALSE)))</f>
        <v xml:space="preserve"> </v>
      </c>
      <c r="H288" s="48">
        <f>IF(ISNA(VLOOKUP(D288,'[2]stock-take'!$A:$E,3,FALSE)), 0, VLOOKUP(D288,'[2]stock-take'!$A:$E,3,FALSE))</f>
        <v>0</v>
      </c>
      <c r="I288" s="48" t="str">
        <f>IF(F288="", " ",IF(ISNA(VLOOKUP(D288,'[2]stock-take'!$G:$K,4,FALSE)), "OUT OF STOCK", VLOOKUP(D288,'[2]stock-take'!$G:$K,4,FALSE)))</f>
        <v xml:space="preserve"> </v>
      </c>
      <c r="J288" s="39">
        <f>IF(ISNA(VLOOKUP(D288,'[2]stock-take'!$G:$K,3,FALSE)), 0, VLOOKUP(D288,'[2]stock-take'!$G:$K,3,FALSE))</f>
        <v>0</v>
      </c>
      <c r="K288" s="49" t="str">
        <f>IF(F288="", " ", IF(ISNA(VLOOKUP(D288,'[2]stock-take'!$M:$Q,4,FALSE)), "OUT OF STOCK", VLOOKUP(D288,'[2]stock-take'!$M:$Q,4,FALSE)))</f>
        <v xml:space="preserve"> </v>
      </c>
      <c r="L288" s="47">
        <f>IF(ISNA(VLOOKUP(D288,'[2]stock-take'!$M:$Q,3,FALSE)), 0, VLOOKUP(D288,'[2]stock-take'!$M:$Q,3,FALSE))</f>
        <v>0</v>
      </c>
      <c r="M288" s="48" t="str">
        <f t="shared" si="13"/>
        <v xml:space="preserve"> </v>
      </c>
      <c r="N288" s="39" t="str">
        <f t="shared" si="14"/>
        <v xml:space="preserve"> </v>
      </c>
    </row>
    <row r="289" spans="1:14">
      <c r="A289" s="37">
        <f t="shared" si="12"/>
        <v>278</v>
      </c>
      <c r="G289" s="48" t="str">
        <f>IF(F289=""," ",IF(ISNA(VLOOKUP(D289,'[2]stock-take'!$A:$E,4,FALSE)), "OUT OF STOCK", VLOOKUP(D289,'[2]stock-take'!$A:$E,4,FALSE)))</f>
        <v xml:space="preserve"> </v>
      </c>
      <c r="H289" s="48">
        <f>IF(ISNA(VLOOKUP(D289,'[2]stock-take'!$A:$E,3,FALSE)), 0, VLOOKUP(D289,'[2]stock-take'!$A:$E,3,FALSE))</f>
        <v>0</v>
      </c>
      <c r="I289" s="48" t="str">
        <f>IF(F289="", " ",IF(ISNA(VLOOKUP(D289,'[2]stock-take'!$G:$K,4,FALSE)), "OUT OF STOCK", VLOOKUP(D289,'[2]stock-take'!$G:$K,4,FALSE)))</f>
        <v xml:space="preserve"> </v>
      </c>
      <c r="J289" s="39">
        <f>IF(ISNA(VLOOKUP(D289,'[2]stock-take'!$G:$K,3,FALSE)), 0, VLOOKUP(D289,'[2]stock-take'!$G:$K,3,FALSE))</f>
        <v>0</v>
      </c>
      <c r="K289" s="49" t="str">
        <f>IF(F289="", " ", IF(ISNA(VLOOKUP(D289,'[2]stock-take'!$M:$Q,4,FALSE)), "OUT OF STOCK", VLOOKUP(D289,'[2]stock-take'!$M:$Q,4,FALSE)))</f>
        <v xml:space="preserve"> </v>
      </c>
      <c r="L289" s="47">
        <f>IF(ISNA(VLOOKUP(D289,'[2]stock-take'!$M:$Q,3,FALSE)), 0, VLOOKUP(D289,'[2]stock-take'!$M:$Q,3,FALSE))</f>
        <v>0</v>
      </c>
      <c r="M289" s="48" t="str">
        <f t="shared" si="13"/>
        <v xml:space="preserve"> </v>
      </c>
      <c r="N289" s="39" t="str">
        <f t="shared" si="14"/>
        <v xml:space="preserve"> </v>
      </c>
    </row>
    <row r="290" spans="1:14">
      <c r="A290" s="37">
        <f t="shared" si="12"/>
        <v>279</v>
      </c>
      <c r="G290" s="48" t="str">
        <f>IF(F290=""," ",IF(ISNA(VLOOKUP(D290,'[2]stock-take'!$A:$E,4,FALSE)), "OUT OF STOCK", VLOOKUP(D290,'[2]stock-take'!$A:$E,4,FALSE)))</f>
        <v xml:space="preserve"> </v>
      </c>
      <c r="H290" s="48">
        <f>IF(ISNA(VLOOKUP(D290,'[2]stock-take'!$A:$E,3,FALSE)), 0, VLOOKUP(D290,'[2]stock-take'!$A:$E,3,FALSE))</f>
        <v>0</v>
      </c>
      <c r="I290" s="48" t="str">
        <f>IF(F290="", " ",IF(ISNA(VLOOKUP(D290,'[2]stock-take'!$G:$K,4,FALSE)), "OUT OF STOCK", VLOOKUP(D290,'[2]stock-take'!$G:$K,4,FALSE)))</f>
        <v xml:space="preserve"> </v>
      </c>
      <c r="J290" s="39">
        <f>IF(ISNA(VLOOKUP(D290,'[2]stock-take'!$G:$K,3,FALSE)), 0, VLOOKUP(D290,'[2]stock-take'!$G:$K,3,FALSE))</f>
        <v>0</v>
      </c>
      <c r="K290" s="49" t="str">
        <f>IF(F290="", " ", IF(ISNA(VLOOKUP(D290,'[2]stock-take'!$M:$Q,4,FALSE)), "OUT OF STOCK", VLOOKUP(D290,'[2]stock-take'!$M:$Q,4,FALSE)))</f>
        <v xml:space="preserve"> </v>
      </c>
      <c r="L290" s="47">
        <f>IF(ISNA(VLOOKUP(D290,'[2]stock-take'!$M:$Q,3,FALSE)), 0, VLOOKUP(D290,'[2]stock-take'!$M:$Q,3,FALSE))</f>
        <v>0</v>
      </c>
      <c r="M290" s="48" t="str">
        <f t="shared" si="13"/>
        <v xml:space="preserve"> </v>
      </c>
      <c r="N290" s="39" t="str">
        <f t="shared" si="14"/>
        <v xml:space="preserve"> </v>
      </c>
    </row>
    <row r="291" spans="1:14">
      <c r="A291" s="37">
        <f t="shared" si="12"/>
        <v>280</v>
      </c>
      <c r="G291" s="48" t="str">
        <f>IF(F291=""," ",IF(ISNA(VLOOKUP(D291,'[2]stock-take'!$A:$E,4,FALSE)), "OUT OF STOCK", VLOOKUP(D291,'[2]stock-take'!$A:$E,4,FALSE)))</f>
        <v xml:space="preserve"> </v>
      </c>
      <c r="H291" s="48">
        <f>IF(ISNA(VLOOKUP(D291,'[2]stock-take'!$A:$E,3,FALSE)), 0, VLOOKUP(D291,'[2]stock-take'!$A:$E,3,FALSE))</f>
        <v>0</v>
      </c>
      <c r="I291" s="48" t="str">
        <f>IF(F291="", " ",IF(ISNA(VLOOKUP(D291,'[2]stock-take'!$G:$K,4,FALSE)), "OUT OF STOCK", VLOOKUP(D291,'[2]stock-take'!$G:$K,4,FALSE)))</f>
        <v xml:space="preserve"> </v>
      </c>
      <c r="J291" s="39">
        <f>IF(ISNA(VLOOKUP(D291,'[2]stock-take'!$G:$K,3,FALSE)), 0, VLOOKUP(D291,'[2]stock-take'!$G:$K,3,FALSE))</f>
        <v>0</v>
      </c>
      <c r="K291" s="49" t="str">
        <f>IF(F291="", " ", IF(ISNA(VLOOKUP(D291,'[2]stock-take'!$M:$Q,4,FALSE)), "OUT OF STOCK", VLOOKUP(D291,'[2]stock-take'!$M:$Q,4,FALSE)))</f>
        <v xml:space="preserve"> </v>
      </c>
      <c r="L291" s="47">
        <f>IF(ISNA(VLOOKUP(D291,'[2]stock-take'!$M:$Q,3,FALSE)), 0, VLOOKUP(D291,'[2]stock-take'!$M:$Q,3,FALSE))</f>
        <v>0</v>
      </c>
      <c r="M291" s="48" t="str">
        <f t="shared" si="13"/>
        <v xml:space="preserve"> </v>
      </c>
      <c r="N291" s="39" t="str">
        <f t="shared" si="14"/>
        <v xml:space="preserve"> </v>
      </c>
    </row>
    <row r="292" spans="1:14">
      <c r="A292" s="37">
        <f t="shared" si="12"/>
        <v>281</v>
      </c>
      <c r="G292" s="48" t="str">
        <f>IF(F292=""," ",IF(ISNA(VLOOKUP(D292,'[2]stock-take'!$A:$E,4,FALSE)), "OUT OF STOCK", VLOOKUP(D292,'[2]stock-take'!$A:$E,4,FALSE)))</f>
        <v xml:space="preserve"> </v>
      </c>
      <c r="H292" s="48">
        <f>IF(ISNA(VLOOKUP(D292,'[2]stock-take'!$A:$E,3,FALSE)), 0, VLOOKUP(D292,'[2]stock-take'!$A:$E,3,FALSE))</f>
        <v>0</v>
      </c>
      <c r="I292" s="48" t="str">
        <f>IF(F292="", " ",IF(ISNA(VLOOKUP(D292,'[2]stock-take'!$G:$K,4,FALSE)), "OUT OF STOCK", VLOOKUP(D292,'[2]stock-take'!$G:$K,4,FALSE)))</f>
        <v xml:space="preserve"> </v>
      </c>
      <c r="J292" s="39">
        <f>IF(ISNA(VLOOKUP(D292,'[2]stock-take'!$G:$K,3,FALSE)), 0, VLOOKUP(D292,'[2]stock-take'!$G:$K,3,FALSE))</f>
        <v>0</v>
      </c>
      <c r="K292" s="49" t="str">
        <f>IF(F292="", " ", IF(ISNA(VLOOKUP(D292,'[2]stock-take'!$M:$Q,4,FALSE)), "OUT OF STOCK", VLOOKUP(D292,'[2]stock-take'!$M:$Q,4,FALSE)))</f>
        <v xml:space="preserve"> </v>
      </c>
      <c r="L292" s="47">
        <f>IF(ISNA(VLOOKUP(D292,'[2]stock-take'!$M:$Q,3,FALSE)), 0, VLOOKUP(D292,'[2]stock-take'!$M:$Q,3,FALSE))</f>
        <v>0</v>
      </c>
      <c r="M292" s="48" t="str">
        <f t="shared" si="13"/>
        <v xml:space="preserve"> </v>
      </c>
      <c r="N292" s="39" t="str">
        <f t="shared" si="14"/>
        <v xml:space="preserve"> </v>
      </c>
    </row>
    <row r="293" spans="1:14">
      <c r="A293" s="37">
        <f t="shared" si="12"/>
        <v>282</v>
      </c>
      <c r="G293" s="48" t="str">
        <f>IF(F293=""," ",IF(ISNA(VLOOKUP(D293,'[2]stock-take'!$A:$E,4,FALSE)), "OUT OF STOCK", VLOOKUP(D293,'[2]stock-take'!$A:$E,4,FALSE)))</f>
        <v xml:space="preserve"> </v>
      </c>
      <c r="H293" s="48">
        <f>IF(ISNA(VLOOKUP(D293,'[2]stock-take'!$A:$E,3,FALSE)), 0, VLOOKUP(D293,'[2]stock-take'!$A:$E,3,FALSE))</f>
        <v>0</v>
      </c>
      <c r="I293" s="48" t="str">
        <f>IF(F293="", " ",IF(ISNA(VLOOKUP(D293,'[2]stock-take'!$G:$K,4,FALSE)), "OUT OF STOCK", VLOOKUP(D293,'[2]stock-take'!$G:$K,4,FALSE)))</f>
        <v xml:space="preserve"> </v>
      </c>
      <c r="J293" s="39">
        <f>IF(ISNA(VLOOKUP(D293,'[2]stock-take'!$G:$K,3,FALSE)), 0, VLOOKUP(D293,'[2]stock-take'!$G:$K,3,FALSE))</f>
        <v>0</v>
      </c>
      <c r="K293" s="49" t="str">
        <f>IF(F293="", " ", IF(ISNA(VLOOKUP(D293,'[2]stock-take'!$M:$Q,4,FALSE)), "OUT OF STOCK", VLOOKUP(D293,'[2]stock-take'!$M:$Q,4,FALSE)))</f>
        <v xml:space="preserve"> </v>
      </c>
      <c r="L293" s="47">
        <f>IF(ISNA(VLOOKUP(D293,'[2]stock-take'!$M:$Q,3,FALSE)), 0, VLOOKUP(D293,'[2]stock-take'!$M:$Q,3,FALSE))</f>
        <v>0</v>
      </c>
      <c r="M293" s="48" t="str">
        <f t="shared" si="13"/>
        <v xml:space="preserve"> </v>
      </c>
      <c r="N293" s="39" t="str">
        <f t="shared" si="14"/>
        <v xml:space="preserve"> </v>
      </c>
    </row>
    <row r="294" spans="1:14">
      <c r="A294" s="37">
        <f t="shared" si="12"/>
        <v>283</v>
      </c>
      <c r="G294" s="48" t="str">
        <f>IF(F294=""," ",IF(ISNA(VLOOKUP(D294,'[2]stock-take'!$A:$E,4,FALSE)), "OUT OF STOCK", VLOOKUP(D294,'[2]stock-take'!$A:$E,4,FALSE)))</f>
        <v xml:space="preserve"> </v>
      </c>
      <c r="H294" s="48">
        <f>IF(ISNA(VLOOKUP(D294,'[2]stock-take'!$A:$E,3,FALSE)), 0, VLOOKUP(D294,'[2]stock-take'!$A:$E,3,FALSE))</f>
        <v>0</v>
      </c>
      <c r="I294" s="48" t="str">
        <f>IF(F294="", " ",IF(ISNA(VLOOKUP(D294,'[2]stock-take'!$G:$K,4,FALSE)), "OUT OF STOCK", VLOOKUP(D294,'[2]stock-take'!$G:$K,4,FALSE)))</f>
        <v xml:space="preserve"> </v>
      </c>
      <c r="J294" s="39">
        <f>IF(ISNA(VLOOKUP(D294,'[2]stock-take'!$G:$K,3,FALSE)), 0, VLOOKUP(D294,'[2]stock-take'!$G:$K,3,FALSE))</f>
        <v>0</v>
      </c>
      <c r="K294" s="49" t="str">
        <f>IF(F294="", " ", IF(ISNA(VLOOKUP(D294,'[2]stock-take'!$M:$Q,4,FALSE)), "OUT OF STOCK", VLOOKUP(D294,'[2]stock-take'!$M:$Q,4,FALSE)))</f>
        <v xml:space="preserve"> </v>
      </c>
      <c r="L294" s="47">
        <f>IF(ISNA(VLOOKUP(D294,'[2]stock-take'!$M:$Q,3,FALSE)), 0, VLOOKUP(D294,'[2]stock-take'!$M:$Q,3,FALSE))</f>
        <v>0</v>
      </c>
      <c r="M294" s="48" t="str">
        <f t="shared" si="13"/>
        <v xml:space="preserve"> </v>
      </c>
      <c r="N294" s="39" t="str">
        <f t="shared" si="14"/>
        <v xml:space="preserve"> </v>
      </c>
    </row>
    <row r="295" spans="1:14">
      <c r="A295" s="37">
        <f t="shared" si="12"/>
        <v>284</v>
      </c>
      <c r="G295" s="48" t="str">
        <f>IF(F295=""," ",IF(ISNA(VLOOKUP(D295,'[2]stock-take'!$A:$E,4,FALSE)), "OUT OF STOCK", VLOOKUP(D295,'[2]stock-take'!$A:$E,4,FALSE)))</f>
        <v xml:space="preserve"> </v>
      </c>
      <c r="H295" s="48">
        <f>IF(ISNA(VLOOKUP(D295,'[2]stock-take'!$A:$E,3,FALSE)), 0, VLOOKUP(D295,'[2]stock-take'!$A:$E,3,FALSE))</f>
        <v>0</v>
      </c>
      <c r="I295" s="48" t="str">
        <f>IF(F295="", " ",IF(ISNA(VLOOKUP(D295,'[2]stock-take'!$G:$K,4,FALSE)), "OUT OF STOCK", VLOOKUP(D295,'[2]stock-take'!$G:$K,4,FALSE)))</f>
        <v xml:space="preserve"> </v>
      </c>
      <c r="J295" s="39">
        <f>IF(ISNA(VLOOKUP(D295,'[2]stock-take'!$G:$K,3,FALSE)), 0, VLOOKUP(D295,'[2]stock-take'!$G:$K,3,FALSE))</f>
        <v>0</v>
      </c>
      <c r="K295" s="49" t="str">
        <f>IF(F295="", " ", IF(ISNA(VLOOKUP(D295,'[2]stock-take'!$M:$Q,4,FALSE)), "OUT OF STOCK", VLOOKUP(D295,'[2]stock-take'!$M:$Q,4,FALSE)))</f>
        <v xml:space="preserve"> </v>
      </c>
      <c r="L295" s="47">
        <f>IF(ISNA(VLOOKUP(D295,'[2]stock-take'!$M:$Q,3,FALSE)), 0, VLOOKUP(D295,'[2]stock-take'!$M:$Q,3,FALSE))</f>
        <v>0</v>
      </c>
      <c r="M295" s="48" t="str">
        <f t="shared" si="13"/>
        <v xml:space="preserve"> </v>
      </c>
      <c r="N295" s="39" t="str">
        <f t="shared" si="14"/>
        <v xml:space="preserve"> </v>
      </c>
    </row>
    <row r="296" spans="1:14">
      <c r="A296" s="37">
        <f t="shared" si="12"/>
        <v>285</v>
      </c>
      <c r="G296" s="48" t="str">
        <f>IF(F296=""," ",IF(ISNA(VLOOKUP(D296,'[2]stock-take'!$A:$E,4,FALSE)), "OUT OF STOCK", VLOOKUP(D296,'[2]stock-take'!$A:$E,4,FALSE)))</f>
        <v xml:space="preserve"> </v>
      </c>
      <c r="H296" s="48">
        <f>IF(ISNA(VLOOKUP(D296,'[2]stock-take'!$A:$E,3,FALSE)), 0, VLOOKUP(D296,'[2]stock-take'!$A:$E,3,FALSE))</f>
        <v>0</v>
      </c>
      <c r="I296" s="48" t="str">
        <f>IF(F296="", " ",IF(ISNA(VLOOKUP(D296,'[2]stock-take'!$G:$K,4,FALSE)), "OUT OF STOCK", VLOOKUP(D296,'[2]stock-take'!$G:$K,4,FALSE)))</f>
        <v xml:space="preserve"> </v>
      </c>
      <c r="J296" s="39">
        <f>IF(ISNA(VLOOKUP(D296,'[2]stock-take'!$G:$K,3,FALSE)), 0, VLOOKUP(D296,'[2]stock-take'!$G:$K,3,FALSE))</f>
        <v>0</v>
      </c>
      <c r="K296" s="49" t="str">
        <f>IF(F296="", " ", IF(ISNA(VLOOKUP(D296,'[2]stock-take'!$M:$Q,4,FALSE)), "OUT OF STOCK", VLOOKUP(D296,'[2]stock-take'!$M:$Q,4,FALSE)))</f>
        <v xml:space="preserve"> </v>
      </c>
      <c r="L296" s="47">
        <f>IF(ISNA(VLOOKUP(D296,'[2]stock-take'!$M:$Q,3,FALSE)), 0, VLOOKUP(D296,'[2]stock-take'!$M:$Q,3,FALSE))</f>
        <v>0</v>
      </c>
      <c r="M296" s="48" t="str">
        <f t="shared" si="13"/>
        <v xml:space="preserve"> </v>
      </c>
      <c r="N296" s="39" t="str">
        <f t="shared" si="14"/>
        <v xml:space="preserve"> </v>
      </c>
    </row>
    <row r="297" spans="1:14">
      <c r="A297" s="37">
        <f t="shared" si="12"/>
        <v>286</v>
      </c>
      <c r="G297" s="48" t="str">
        <f>IF(F297=""," ",IF(ISNA(VLOOKUP(D297,'[2]stock-take'!$A:$E,4,FALSE)), "OUT OF STOCK", VLOOKUP(D297,'[2]stock-take'!$A:$E,4,FALSE)))</f>
        <v xml:space="preserve"> </v>
      </c>
      <c r="H297" s="48">
        <f>IF(ISNA(VLOOKUP(D297,'[2]stock-take'!$A:$E,3,FALSE)), 0, VLOOKUP(D297,'[2]stock-take'!$A:$E,3,FALSE))</f>
        <v>0</v>
      </c>
      <c r="I297" s="48" t="str">
        <f>IF(F297="", " ",IF(ISNA(VLOOKUP(D297,'[2]stock-take'!$G:$K,4,FALSE)), "OUT OF STOCK", VLOOKUP(D297,'[2]stock-take'!$G:$K,4,FALSE)))</f>
        <v xml:space="preserve"> </v>
      </c>
      <c r="J297" s="39">
        <f>IF(ISNA(VLOOKUP(D297,'[2]stock-take'!$G:$K,3,FALSE)), 0, VLOOKUP(D297,'[2]stock-take'!$G:$K,3,FALSE))</f>
        <v>0</v>
      </c>
      <c r="K297" s="49" t="str">
        <f>IF(F297="", " ", IF(ISNA(VLOOKUP(D297,'[2]stock-take'!$M:$Q,4,FALSE)), "OUT OF STOCK", VLOOKUP(D297,'[2]stock-take'!$M:$Q,4,FALSE)))</f>
        <v xml:space="preserve"> </v>
      </c>
      <c r="L297" s="47">
        <f>IF(ISNA(VLOOKUP(D297,'[2]stock-take'!$M:$Q,3,FALSE)), 0, VLOOKUP(D297,'[2]stock-take'!$M:$Q,3,FALSE))</f>
        <v>0</v>
      </c>
      <c r="M297" s="48" t="str">
        <f t="shared" si="13"/>
        <v xml:space="preserve"> </v>
      </c>
      <c r="N297" s="39" t="str">
        <f t="shared" si="14"/>
        <v xml:space="preserve"> </v>
      </c>
    </row>
    <row r="298" spans="1:14">
      <c r="A298" s="37">
        <f t="shared" si="12"/>
        <v>287</v>
      </c>
      <c r="G298" s="48" t="str">
        <f>IF(F298=""," ",IF(ISNA(VLOOKUP(D298,'[2]stock-take'!$A:$E,4,FALSE)), "OUT OF STOCK", VLOOKUP(D298,'[2]stock-take'!$A:$E,4,FALSE)))</f>
        <v xml:space="preserve"> </v>
      </c>
      <c r="H298" s="48">
        <f>IF(ISNA(VLOOKUP(D298,'[2]stock-take'!$A:$E,3,FALSE)), 0, VLOOKUP(D298,'[2]stock-take'!$A:$E,3,FALSE))</f>
        <v>0</v>
      </c>
      <c r="I298" s="48" t="str">
        <f>IF(F298="", " ",IF(ISNA(VLOOKUP(D298,'[2]stock-take'!$G:$K,4,FALSE)), "OUT OF STOCK", VLOOKUP(D298,'[2]stock-take'!$G:$K,4,FALSE)))</f>
        <v xml:space="preserve"> </v>
      </c>
      <c r="J298" s="39">
        <f>IF(ISNA(VLOOKUP(D298,'[2]stock-take'!$G:$K,3,FALSE)), 0, VLOOKUP(D298,'[2]stock-take'!$G:$K,3,FALSE))</f>
        <v>0</v>
      </c>
      <c r="K298" s="49" t="str">
        <f>IF(F298="", " ", IF(ISNA(VLOOKUP(D298,'[2]stock-take'!$M:$Q,4,FALSE)), "OUT OF STOCK", VLOOKUP(D298,'[2]stock-take'!$M:$Q,4,FALSE)))</f>
        <v xml:space="preserve"> </v>
      </c>
      <c r="L298" s="47">
        <f>IF(ISNA(VLOOKUP(D298,'[2]stock-take'!$M:$Q,3,FALSE)), 0, VLOOKUP(D298,'[2]stock-take'!$M:$Q,3,FALSE))</f>
        <v>0</v>
      </c>
      <c r="M298" s="48" t="str">
        <f t="shared" si="13"/>
        <v xml:space="preserve"> </v>
      </c>
      <c r="N298" s="39" t="str">
        <f t="shared" si="14"/>
        <v xml:space="preserve"> </v>
      </c>
    </row>
    <row r="299" spans="1:14">
      <c r="A299" s="37">
        <f t="shared" si="12"/>
        <v>288</v>
      </c>
      <c r="G299" s="48" t="str">
        <f>IF(F299=""," ",IF(ISNA(VLOOKUP(D299,'[2]stock-take'!$A:$E,4,FALSE)), "OUT OF STOCK", VLOOKUP(D299,'[2]stock-take'!$A:$E,4,FALSE)))</f>
        <v xml:space="preserve"> </v>
      </c>
      <c r="H299" s="48">
        <f>IF(ISNA(VLOOKUP(D299,'[2]stock-take'!$A:$E,3,FALSE)), 0, VLOOKUP(D299,'[2]stock-take'!$A:$E,3,FALSE))</f>
        <v>0</v>
      </c>
      <c r="I299" s="48" t="str">
        <f>IF(F299="", " ",IF(ISNA(VLOOKUP(D299,'[2]stock-take'!$G:$K,4,FALSE)), "OUT OF STOCK", VLOOKUP(D299,'[2]stock-take'!$G:$K,4,FALSE)))</f>
        <v xml:space="preserve"> </v>
      </c>
      <c r="J299" s="39">
        <f>IF(ISNA(VLOOKUP(D299,'[2]stock-take'!$G:$K,3,FALSE)), 0, VLOOKUP(D299,'[2]stock-take'!$G:$K,3,FALSE))</f>
        <v>0</v>
      </c>
      <c r="K299" s="49" t="str">
        <f>IF(F299="", " ", IF(ISNA(VLOOKUP(D299,'[2]stock-take'!$M:$Q,4,FALSE)), "OUT OF STOCK", VLOOKUP(D299,'[2]stock-take'!$M:$Q,4,FALSE)))</f>
        <v xml:space="preserve"> </v>
      </c>
      <c r="L299" s="47">
        <f>IF(ISNA(VLOOKUP(D299,'[2]stock-take'!$M:$Q,3,FALSE)), 0, VLOOKUP(D299,'[2]stock-take'!$M:$Q,3,FALSE))</f>
        <v>0</v>
      </c>
      <c r="M299" s="48" t="str">
        <f t="shared" si="13"/>
        <v xml:space="preserve"> </v>
      </c>
      <c r="N299" s="39" t="str">
        <f t="shared" si="14"/>
        <v xml:space="preserve"> </v>
      </c>
    </row>
    <row r="300" spans="1:14">
      <c r="A300" s="37">
        <f t="shared" si="12"/>
        <v>289</v>
      </c>
      <c r="G300" s="48" t="str">
        <f>IF(F300=""," ",IF(ISNA(VLOOKUP(D300,'[2]stock-take'!$A:$E,4,FALSE)), "OUT OF STOCK", VLOOKUP(D300,'[2]stock-take'!$A:$E,4,FALSE)))</f>
        <v xml:space="preserve"> </v>
      </c>
      <c r="H300" s="48">
        <f>IF(ISNA(VLOOKUP(D300,'[2]stock-take'!$A:$E,3,FALSE)), 0, VLOOKUP(D300,'[2]stock-take'!$A:$E,3,FALSE))</f>
        <v>0</v>
      </c>
      <c r="I300" s="48" t="str">
        <f>IF(F300="", " ",IF(ISNA(VLOOKUP(D300,'[2]stock-take'!$G:$K,4,FALSE)), "OUT OF STOCK", VLOOKUP(D300,'[2]stock-take'!$G:$K,4,FALSE)))</f>
        <v xml:space="preserve"> </v>
      </c>
      <c r="J300" s="39">
        <f>IF(ISNA(VLOOKUP(D300,'[2]stock-take'!$G:$K,3,FALSE)), 0, VLOOKUP(D300,'[2]stock-take'!$G:$K,3,FALSE))</f>
        <v>0</v>
      </c>
      <c r="K300" s="49" t="str">
        <f>IF(F300="", " ", IF(ISNA(VLOOKUP(D300,'[2]stock-take'!$M:$Q,4,FALSE)), "OUT OF STOCK", VLOOKUP(D300,'[2]stock-take'!$M:$Q,4,FALSE)))</f>
        <v xml:space="preserve"> </v>
      </c>
      <c r="L300" s="47">
        <f>IF(ISNA(VLOOKUP(D300,'[2]stock-take'!$M:$Q,3,FALSE)), 0, VLOOKUP(D300,'[2]stock-take'!$M:$Q,3,FALSE))</f>
        <v>0</v>
      </c>
      <c r="M300" s="48" t="str">
        <f t="shared" si="13"/>
        <v xml:space="preserve"> </v>
      </c>
      <c r="N300" s="39" t="str">
        <f t="shared" si="14"/>
        <v xml:space="preserve"> </v>
      </c>
    </row>
    <row r="301" spans="1:14">
      <c r="A301" s="37">
        <f t="shared" si="12"/>
        <v>290</v>
      </c>
      <c r="G301" s="48" t="str">
        <f>IF(F301=""," ",IF(ISNA(VLOOKUP(D301,'[2]stock-take'!$A:$E,4,FALSE)), "OUT OF STOCK", VLOOKUP(D301,'[2]stock-take'!$A:$E,4,FALSE)))</f>
        <v xml:space="preserve"> </v>
      </c>
      <c r="H301" s="48">
        <f>IF(ISNA(VLOOKUP(D301,'[2]stock-take'!$A:$E,3,FALSE)), 0, VLOOKUP(D301,'[2]stock-take'!$A:$E,3,FALSE))</f>
        <v>0</v>
      </c>
      <c r="I301" s="48" t="str">
        <f>IF(F301="", " ",IF(ISNA(VLOOKUP(D301,'[2]stock-take'!$G:$K,4,FALSE)), "OUT OF STOCK", VLOOKUP(D301,'[2]stock-take'!$G:$K,4,FALSE)))</f>
        <v xml:space="preserve"> </v>
      </c>
      <c r="J301" s="39">
        <f>IF(ISNA(VLOOKUP(D301,'[2]stock-take'!$G:$K,3,FALSE)), 0, VLOOKUP(D301,'[2]stock-take'!$G:$K,3,FALSE))</f>
        <v>0</v>
      </c>
      <c r="K301" s="49" t="str">
        <f>IF(F301="", " ", IF(ISNA(VLOOKUP(D301,'[2]stock-take'!$M:$Q,4,FALSE)), "OUT OF STOCK", VLOOKUP(D301,'[2]stock-take'!$M:$Q,4,FALSE)))</f>
        <v xml:space="preserve"> </v>
      </c>
      <c r="L301" s="47">
        <f>IF(ISNA(VLOOKUP(D301,'[2]stock-take'!$M:$Q,3,FALSE)), 0, VLOOKUP(D301,'[2]stock-take'!$M:$Q,3,FALSE))</f>
        <v>0</v>
      </c>
      <c r="M301" s="48" t="str">
        <f t="shared" si="13"/>
        <v xml:space="preserve"> </v>
      </c>
      <c r="N301" s="39" t="str">
        <f t="shared" si="14"/>
        <v xml:space="preserve"> </v>
      </c>
    </row>
    <row r="302" spans="1:14">
      <c r="A302" s="37">
        <f t="shared" si="12"/>
        <v>291</v>
      </c>
      <c r="G302" s="48" t="str">
        <f>IF(F302=""," ",IF(ISNA(VLOOKUP(D302,'[2]stock-take'!$A:$E,4,FALSE)), "OUT OF STOCK", VLOOKUP(D302,'[2]stock-take'!$A:$E,4,FALSE)))</f>
        <v xml:space="preserve"> </v>
      </c>
      <c r="H302" s="48">
        <f>IF(ISNA(VLOOKUP(D302,'[2]stock-take'!$A:$E,3,FALSE)), 0, VLOOKUP(D302,'[2]stock-take'!$A:$E,3,FALSE))</f>
        <v>0</v>
      </c>
      <c r="I302" s="48" t="str">
        <f>IF(F302="", " ",IF(ISNA(VLOOKUP(D302,'[2]stock-take'!$G:$K,4,FALSE)), "OUT OF STOCK", VLOOKUP(D302,'[2]stock-take'!$G:$K,4,FALSE)))</f>
        <v xml:space="preserve"> </v>
      </c>
      <c r="J302" s="39">
        <f>IF(ISNA(VLOOKUP(D302,'[2]stock-take'!$G:$K,3,FALSE)), 0, VLOOKUP(D302,'[2]stock-take'!$G:$K,3,FALSE))</f>
        <v>0</v>
      </c>
      <c r="K302" s="49" t="str">
        <f>IF(F302="", " ", IF(ISNA(VLOOKUP(D302,'[2]stock-take'!$M:$Q,4,FALSE)), "OUT OF STOCK", VLOOKUP(D302,'[2]stock-take'!$M:$Q,4,FALSE)))</f>
        <v xml:space="preserve"> </v>
      </c>
      <c r="L302" s="47">
        <f>IF(ISNA(VLOOKUP(D302,'[2]stock-take'!$M:$Q,3,FALSE)), 0, VLOOKUP(D302,'[2]stock-take'!$M:$Q,3,FALSE))</f>
        <v>0</v>
      </c>
      <c r="M302" s="48" t="str">
        <f t="shared" si="13"/>
        <v xml:space="preserve"> </v>
      </c>
      <c r="N302" s="39" t="str">
        <f t="shared" si="14"/>
        <v xml:space="preserve"> </v>
      </c>
    </row>
    <row r="303" spans="1:14">
      <c r="A303" s="37">
        <f t="shared" si="12"/>
        <v>292</v>
      </c>
      <c r="G303" s="48" t="str">
        <f>IF(F303=""," ",IF(ISNA(VLOOKUP(D303,'[2]stock-take'!$A:$E,4,FALSE)), "OUT OF STOCK", VLOOKUP(D303,'[2]stock-take'!$A:$E,4,FALSE)))</f>
        <v xml:space="preserve"> </v>
      </c>
      <c r="H303" s="48">
        <f>IF(ISNA(VLOOKUP(D303,'[2]stock-take'!$A:$E,3,FALSE)), 0, VLOOKUP(D303,'[2]stock-take'!$A:$E,3,FALSE))</f>
        <v>0</v>
      </c>
      <c r="I303" s="48" t="str">
        <f>IF(F303="", " ",IF(ISNA(VLOOKUP(D303,'[2]stock-take'!$G:$K,4,FALSE)), "OUT OF STOCK", VLOOKUP(D303,'[2]stock-take'!$G:$K,4,FALSE)))</f>
        <v xml:space="preserve"> </v>
      </c>
      <c r="J303" s="39">
        <f>IF(ISNA(VLOOKUP(D303,'[2]stock-take'!$G:$K,3,FALSE)), 0, VLOOKUP(D303,'[2]stock-take'!$G:$K,3,FALSE))</f>
        <v>0</v>
      </c>
      <c r="K303" s="49" t="str">
        <f>IF(F303="", " ", IF(ISNA(VLOOKUP(D303,'[2]stock-take'!$M:$Q,4,FALSE)), "OUT OF STOCK", VLOOKUP(D303,'[2]stock-take'!$M:$Q,4,FALSE)))</f>
        <v xml:space="preserve"> </v>
      </c>
      <c r="L303" s="47">
        <f>IF(ISNA(VLOOKUP(D303,'[2]stock-take'!$M:$Q,3,FALSE)), 0, VLOOKUP(D303,'[2]stock-take'!$M:$Q,3,FALSE))</f>
        <v>0</v>
      </c>
      <c r="M303" s="48" t="str">
        <f t="shared" si="13"/>
        <v xml:space="preserve"> </v>
      </c>
      <c r="N303" s="39" t="str">
        <f t="shared" si="14"/>
        <v xml:space="preserve"> </v>
      </c>
    </row>
    <row r="304" spans="1:14">
      <c r="A304" s="37">
        <f t="shared" si="12"/>
        <v>293</v>
      </c>
      <c r="G304" s="48" t="str">
        <f>IF(F304=""," ",IF(ISNA(VLOOKUP(D304,'[2]stock-take'!$A:$E,4,FALSE)), "OUT OF STOCK", VLOOKUP(D304,'[2]stock-take'!$A:$E,4,FALSE)))</f>
        <v xml:space="preserve"> </v>
      </c>
      <c r="H304" s="48">
        <f>IF(ISNA(VLOOKUP(D304,'[2]stock-take'!$A:$E,3,FALSE)), 0, VLOOKUP(D304,'[2]stock-take'!$A:$E,3,FALSE))</f>
        <v>0</v>
      </c>
      <c r="I304" s="48" t="str">
        <f>IF(F304="", " ",IF(ISNA(VLOOKUP(D304,'[2]stock-take'!$G:$K,4,FALSE)), "OUT OF STOCK", VLOOKUP(D304,'[2]stock-take'!$G:$K,4,FALSE)))</f>
        <v xml:space="preserve"> </v>
      </c>
      <c r="J304" s="39">
        <f>IF(ISNA(VLOOKUP(D304,'[2]stock-take'!$G:$K,3,FALSE)), 0, VLOOKUP(D304,'[2]stock-take'!$G:$K,3,FALSE))</f>
        <v>0</v>
      </c>
      <c r="K304" s="49" t="str">
        <f>IF(F304="", " ", IF(ISNA(VLOOKUP(D304,'[2]stock-take'!$M:$Q,4,FALSE)), "OUT OF STOCK", VLOOKUP(D304,'[2]stock-take'!$M:$Q,4,FALSE)))</f>
        <v xml:space="preserve"> </v>
      </c>
      <c r="L304" s="47">
        <f>IF(ISNA(VLOOKUP(D304,'[2]stock-take'!$M:$Q,3,FALSE)), 0, VLOOKUP(D304,'[2]stock-take'!$M:$Q,3,FALSE))</f>
        <v>0</v>
      </c>
      <c r="M304" s="48" t="str">
        <f t="shared" si="13"/>
        <v xml:space="preserve"> </v>
      </c>
      <c r="N304" s="39" t="str">
        <f t="shared" si="14"/>
        <v xml:space="preserve"> </v>
      </c>
    </row>
    <row r="305" spans="1:14">
      <c r="A305" s="37">
        <f t="shared" si="12"/>
        <v>294</v>
      </c>
      <c r="G305" s="48" t="str">
        <f>IF(F305=""," ",IF(ISNA(VLOOKUP(D305,'[2]stock-take'!$A:$E,4,FALSE)), "OUT OF STOCK", VLOOKUP(D305,'[2]stock-take'!$A:$E,4,FALSE)))</f>
        <v xml:space="preserve"> </v>
      </c>
      <c r="H305" s="48">
        <f>IF(ISNA(VLOOKUP(D305,'[2]stock-take'!$A:$E,3,FALSE)), 0, VLOOKUP(D305,'[2]stock-take'!$A:$E,3,FALSE))</f>
        <v>0</v>
      </c>
      <c r="I305" s="48" t="str">
        <f>IF(F305="", " ",IF(ISNA(VLOOKUP(D305,'[2]stock-take'!$G:$K,4,FALSE)), "OUT OF STOCK", VLOOKUP(D305,'[2]stock-take'!$G:$K,4,FALSE)))</f>
        <v xml:space="preserve"> </v>
      </c>
      <c r="J305" s="39">
        <f>IF(ISNA(VLOOKUP(D305,'[2]stock-take'!$G:$K,3,FALSE)), 0, VLOOKUP(D305,'[2]stock-take'!$G:$K,3,FALSE))</f>
        <v>0</v>
      </c>
      <c r="K305" s="49" t="str">
        <f>IF(F305="", " ", IF(ISNA(VLOOKUP(D305,'[2]stock-take'!$M:$Q,4,FALSE)), "OUT OF STOCK", VLOOKUP(D305,'[2]stock-take'!$M:$Q,4,FALSE)))</f>
        <v xml:space="preserve"> </v>
      </c>
      <c r="L305" s="47">
        <f>IF(ISNA(VLOOKUP(D305,'[2]stock-take'!$M:$Q,3,FALSE)), 0, VLOOKUP(D305,'[2]stock-take'!$M:$Q,3,FALSE))</f>
        <v>0</v>
      </c>
      <c r="M305" s="48" t="str">
        <f t="shared" si="13"/>
        <v xml:space="preserve"> </v>
      </c>
      <c r="N305" s="39" t="str">
        <f t="shared" si="14"/>
        <v xml:space="preserve"> </v>
      </c>
    </row>
    <row r="306" spans="1:14">
      <c r="A306" s="37">
        <f t="shared" si="12"/>
        <v>295</v>
      </c>
      <c r="G306" s="48" t="str">
        <f>IF(F306=""," ",IF(ISNA(VLOOKUP(D306,'[2]stock-take'!$A:$E,4,FALSE)), "OUT OF STOCK", VLOOKUP(D306,'[2]stock-take'!$A:$E,4,FALSE)))</f>
        <v xml:space="preserve"> </v>
      </c>
      <c r="H306" s="48">
        <f>IF(ISNA(VLOOKUP(D306,'[2]stock-take'!$A:$E,3,FALSE)), 0, VLOOKUP(D306,'[2]stock-take'!$A:$E,3,FALSE))</f>
        <v>0</v>
      </c>
      <c r="I306" s="48" t="str">
        <f>IF(F306="", " ",IF(ISNA(VLOOKUP(D306,'[2]stock-take'!$G:$K,4,FALSE)), "OUT OF STOCK", VLOOKUP(D306,'[2]stock-take'!$G:$K,4,FALSE)))</f>
        <v xml:space="preserve"> </v>
      </c>
      <c r="J306" s="39">
        <f>IF(ISNA(VLOOKUP(D306,'[2]stock-take'!$G:$K,3,FALSE)), 0, VLOOKUP(D306,'[2]stock-take'!$G:$K,3,FALSE))</f>
        <v>0</v>
      </c>
      <c r="K306" s="49" t="str">
        <f>IF(F306="", " ", IF(ISNA(VLOOKUP(D306,'[2]stock-take'!$M:$Q,4,FALSE)), "OUT OF STOCK", VLOOKUP(D306,'[2]stock-take'!$M:$Q,4,FALSE)))</f>
        <v xml:space="preserve"> </v>
      </c>
      <c r="L306" s="47">
        <f>IF(ISNA(VLOOKUP(D306,'[2]stock-take'!$M:$Q,3,FALSE)), 0, VLOOKUP(D306,'[2]stock-take'!$M:$Q,3,FALSE))</f>
        <v>0</v>
      </c>
      <c r="M306" s="48" t="str">
        <f t="shared" si="13"/>
        <v xml:space="preserve"> </v>
      </c>
      <c r="N306" s="39" t="str">
        <f t="shared" si="14"/>
        <v xml:space="preserve"> </v>
      </c>
    </row>
    <row r="307" spans="1:14">
      <c r="A307" s="37">
        <f t="shared" si="12"/>
        <v>296</v>
      </c>
      <c r="G307" s="48" t="str">
        <f>IF(F307=""," ",IF(ISNA(VLOOKUP(D307,'[2]stock-take'!$A:$E,4,FALSE)), "OUT OF STOCK", VLOOKUP(D307,'[2]stock-take'!$A:$E,4,FALSE)))</f>
        <v xml:space="preserve"> </v>
      </c>
      <c r="H307" s="48">
        <f>IF(ISNA(VLOOKUP(D307,'[2]stock-take'!$A:$E,3,FALSE)), 0, VLOOKUP(D307,'[2]stock-take'!$A:$E,3,FALSE))</f>
        <v>0</v>
      </c>
      <c r="I307" s="48" t="str">
        <f>IF(F307="", " ",IF(ISNA(VLOOKUP(D307,'[2]stock-take'!$G:$K,4,FALSE)), "OUT OF STOCK", VLOOKUP(D307,'[2]stock-take'!$G:$K,4,FALSE)))</f>
        <v xml:space="preserve"> </v>
      </c>
      <c r="J307" s="39">
        <f>IF(ISNA(VLOOKUP(D307,'[2]stock-take'!$G:$K,3,FALSE)), 0, VLOOKUP(D307,'[2]stock-take'!$G:$K,3,FALSE))</f>
        <v>0</v>
      </c>
      <c r="K307" s="49" t="str">
        <f>IF(F307="", " ", IF(ISNA(VLOOKUP(D307,'[2]stock-take'!$M:$Q,4,FALSE)), "OUT OF STOCK", VLOOKUP(D307,'[2]stock-take'!$M:$Q,4,FALSE)))</f>
        <v xml:space="preserve"> </v>
      </c>
      <c r="L307" s="47">
        <f>IF(ISNA(VLOOKUP(D307,'[2]stock-take'!$M:$Q,3,FALSE)), 0, VLOOKUP(D307,'[2]stock-take'!$M:$Q,3,FALSE))</f>
        <v>0</v>
      </c>
      <c r="M307" s="48" t="str">
        <f t="shared" si="13"/>
        <v xml:space="preserve"> </v>
      </c>
      <c r="N307" s="39" t="str">
        <f t="shared" si="14"/>
        <v xml:space="preserve"> </v>
      </c>
    </row>
    <row r="308" spans="1:14">
      <c r="A308" s="37">
        <f t="shared" si="12"/>
        <v>297</v>
      </c>
      <c r="G308" s="48" t="str">
        <f>IF(F308=""," ",IF(ISNA(VLOOKUP(D308,'[2]stock-take'!$A:$E,4,FALSE)), "OUT OF STOCK", VLOOKUP(D308,'[2]stock-take'!$A:$E,4,FALSE)))</f>
        <v xml:space="preserve"> </v>
      </c>
      <c r="H308" s="48">
        <f>IF(ISNA(VLOOKUP(D308,'[2]stock-take'!$A:$E,3,FALSE)), 0, VLOOKUP(D308,'[2]stock-take'!$A:$E,3,FALSE))</f>
        <v>0</v>
      </c>
      <c r="I308" s="48" t="str">
        <f>IF(F308="", " ",IF(ISNA(VLOOKUP(D308,'[2]stock-take'!$G:$K,4,FALSE)), "OUT OF STOCK", VLOOKUP(D308,'[2]stock-take'!$G:$K,4,FALSE)))</f>
        <v xml:space="preserve"> </v>
      </c>
      <c r="J308" s="39">
        <f>IF(ISNA(VLOOKUP(D308,'[2]stock-take'!$G:$K,3,FALSE)), 0, VLOOKUP(D308,'[2]stock-take'!$G:$K,3,FALSE))</f>
        <v>0</v>
      </c>
      <c r="K308" s="49" t="str">
        <f>IF(F308="", " ", IF(ISNA(VLOOKUP(D308,'[2]stock-take'!$M:$Q,4,FALSE)), "OUT OF STOCK", VLOOKUP(D308,'[2]stock-take'!$M:$Q,4,FALSE)))</f>
        <v xml:space="preserve"> </v>
      </c>
      <c r="L308" s="47">
        <f>IF(ISNA(VLOOKUP(D308,'[2]stock-take'!$M:$Q,3,FALSE)), 0, VLOOKUP(D308,'[2]stock-take'!$M:$Q,3,FALSE))</f>
        <v>0</v>
      </c>
      <c r="M308" s="48" t="str">
        <f t="shared" si="13"/>
        <v xml:space="preserve"> </v>
      </c>
      <c r="N308" s="39" t="str">
        <f t="shared" si="14"/>
        <v xml:space="preserve"> </v>
      </c>
    </row>
    <row r="309" spans="1:14">
      <c r="A309" s="37">
        <f t="shared" si="12"/>
        <v>298</v>
      </c>
      <c r="G309" s="48" t="str">
        <f>IF(F309=""," ",IF(ISNA(VLOOKUP(D309,'[2]stock-take'!$A:$E,4,FALSE)), "OUT OF STOCK", VLOOKUP(D309,'[2]stock-take'!$A:$E,4,FALSE)))</f>
        <v xml:space="preserve"> </v>
      </c>
      <c r="H309" s="48">
        <f>IF(ISNA(VLOOKUP(D309,'[2]stock-take'!$A:$E,3,FALSE)), 0, VLOOKUP(D309,'[2]stock-take'!$A:$E,3,FALSE))</f>
        <v>0</v>
      </c>
      <c r="I309" s="48" t="str">
        <f>IF(F309="", " ",IF(ISNA(VLOOKUP(D309,'[2]stock-take'!$G:$K,4,FALSE)), "OUT OF STOCK", VLOOKUP(D309,'[2]stock-take'!$G:$K,4,FALSE)))</f>
        <v xml:space="preserve"> </v>
      </c>
      <c r="J309" s="39">
        <f>IF(ISNA(VLOOKUP(D309,'[2]stock-take'!$G:$K,3,FALSE)), 0, VLOOKUP(D309,'[2]stock-take'!$G:$K,3,FALSE))</f>
        <v>0</v>
      </c>
      <c r="K309" s="49" t="str">
        <f>IF(F309="", " ", IF(ISNA(VLOOKUP(D309,'[2]stock-take'!$M:$Q,4,FALSE)), "OUT OF STOCK", VLOOKUP(D309,'[2]stock-take'!$M:$Q,4,FALSE)))</f>
        <v xml:space="preserve"> </v>
      </c>
      <c r="L309" s="47">
        <f>IF(ISNA(VLOOKUP(D309,'[2]stock-take'!$M:$Q,3,FALSE)), 0, VLOOKUP(D309,'[2]stock-take'!$M:$Q,3,FALSE))</f>
        <v>0</v>
      </c>
      <c r="M309" s="48" t="str">
        <f t="shared" si="13"/>
        <v xml:space="preserve"> </v>
      </c>
      <c r="N309" s="39" t="str">
        <f t="shared" si="14"/>
        <v xml:space="preserve"> </v>
      </c>
    </row>
    <row r="310" spans="1:14">
      <c r="A310" s="37">
        <f t="shared" si="12"/>
        <v>299</v>
      </c>
      <c r="G310" s="48" t="str">
        <f>IF(F310=""," ",IF(ISNA(VLOOKUP(D310,'[2]stock-take'!$A:$E,4,FALSE)), "OUT OF STOCK", VLOOKUP(D310,'[2]stock-take'!$A:$E,4,FALSE)))</f>
        <v xml:space="preserve"> </v>
      </c>
      <c r="H310" s="48">
        <f>IF(ISNA(VLOOKUP(D310,'[2]stock-take'!$A:$E,3,FALSE)), 0, VLOOKUP(D310,'[2]stock-take'!$A:$E,3,FALSE))</f>
        <v>0</v>
      </c>
      <c r="I310" s="48" t="str">
        <f>IF(F310="", " ",IF(ISNA(VLOOKUP(D310,'[2]stock-take'!$G:$K,4,FALSE)), "OUT OF STOCK", VLOOKUP(D310,'[2]stock-take'!$G:$K,4,FALSE)))</f>
        <v xml:space="preserve"> </v>
      </c>
      <c r="J310" s="39">
        <f>IF(ISNA(VLOOKUP(D310,'[2]stock-take'!$G:$K,3,FALSE)), 0, VLOOKUP(D310,'[2]stock-take'!$G:$K,3,FALSE))</f>
        <v>0</v>
      </c>
      <c r="K310" s="49" t="str">
        <f>IF(F310="", " ", IF(ISNA(VLOOKUP(D310,'[2]stock-take'!$M:$Q,4,FALSE)), "OUT OF STOCK", VLOOKUP(D310,'[2]stock-take'!$M:$Q,4,FALSE)))</f>
        <v xml:space="preserve"> </v>
      </c>
      <c r="L310" s="47">
        <f>IF(ISNA(VLOOKUP(D310,'[2]stock-take'!$M:$Q,3,FALSE)), 0, VLOOKUP(D310,'[2]stock-take'!$M:$Q,3,FALSE))</f>
        <v>0</v>
      </c>
      <c r="M310" s="48" t="str">
        <f t="shared" si="13"/>
        <v xml:space="preserve"> </v>
      </c>
      <c r="N310" s="39" t="str">
        <f t="shared" si="14"/>
        <v xml:space="preserve"> </v>
      </c>
    </row>
    <row r="311" spans="1:14">
      <c r="A311" s="37">
        <f t="shared" si="12"/>
        <v>300</v>
      </c>
      <c r="G311" s="48" t="str">
        <f>IF(F311=""," ",IF(ISNA(VLOOKUP(D311,'[2]stock-take'!$A:$E,4,FALSE)), "OUT OF STOCK", VLOOKUP(D311,'[2]stock-take'!$A:$E,4,FALSE)))</f>
        <v xml:space="preserve"> </v>
      </c>
      <c r="H311" s="48">
        <f>IF(ISNA(VLOOKUP(D311,'[2]stock-take'!$A:$E,3,FALSE)), 0, VLOOKUP(D311,'[2]stock-take'!$A:$E,3,FALSE))</f>
        <v>0</v>
      </c>
      <c r="I311" s="48" t="str">
        <f>IF(F311="", " ",IF(ISNA(VLOOKUP(D311,'[2]stock-take'!$G:$K,4,FALSE)), "OUT OF STOCK", VLOOKUP(D311,'[2]stock-take'!$G:$K,4,FALSE)))</f>
        <v xml:space="preserve"> </v>
      </c>
      <c r="J311" s="39">
        <f>IF(ISNA(VLOOKUP(D311,'[2]stock-take'!$G:$K,3,FALSE)), 0, VLOOKUP(D311,'[2]stock-take'!$G:$K,3,FALSE))</f>
        <v>0</v>
      </c>
      <c r="K311" s="49" t="str">
        <f>IF(F311="", " ", IF(ISNA(VLOOKUP(D311,'[2]stock-take'!$M:$Q,4,FALSE)), "OUT OF STOCK", VLOOKUP(D311,'[2]stock-take'!$M:$Q,4,FALSE)))</f>
        <v xml:space="preserve"> </v>
      </c>
      <c r="L311" s="47">
        <f>IF(ISNA(VLOOKUP(D311,'[2]stock-take'!$M:$Q,3,FALSE)), 0, VLOOKUP(D311,'[2]stock-take'!$M:$Q,3,FALSE))</f>
        <v>0</v>
      </c>
      <c r="M311" s="48" t="str">
        <f t="shared" si="13"/>
        <v xml:space="preserve"> </v>
      </c>
      <c r="N311" s="39" t="str">
        <f t="shared" si="14"/>
        <v xml:space="preserve"> </v>
      </c>
    </row>
    <row r="312" spans="1:14">
      <c r="A312" s="37">
        <f t="shared" si="12"/>
        <v>301</v>
      </c>
      <c r="G312" s="48" t="str">
        <f>IF(F312=""," ",IF(ISNA(VLOOKUP(D312,'[2]stock-take'!$A:$E,4,FALSE)), "OUT OF STOCK", VLOOKUP(D312,'[2]stock-take'!$A:$E,4,FALSE)))</f>
        <v xml:space="preserve"> </v>
      </c>
      <c r="H312" s="48">
        <f>IF(ISNA(VLOOKUP(D312,'[2]stock-take'!$A:$E,3,FALSE)), 0, VLOOKUP(D312,'[2]stock-take'!$A:$E,3,FALSE))</f>
        <v>0</v>
      </c>
      <c r="I312" s="48" t="str">
        <f>IF(F312="", " ",IF(ISNA(VLOOKUP(D312,'[2]stock-take'!$G:$K,4,FALSE)), "OUT OF STOCK", VLOOKUP(D312,'[2]stock-take'!$G:$K,4,FALSE)))</f>
        <v xml:space="preserve"> </v>
      </c>
      <c r="J312" s="39">
        <f>IF(ISNA(VLOOKUP(D312,'[2]stock-take'!$G:$K,3,FALSE)), 0, VLOOKUP(D312,'[2]stock-take'!$G:$K,3,FALSE))</f>
        <v>0</v>
      </c>
      <c r="K312" s="49" t="str">
        <f>IF(F312="", " ", IF(ISNA(VLOOKUP(D312,'[2]stock-take'!$M:$Q,4,FALSE)), "OUT OF STOCK", VLOOKUP(D312,'[2]stock-take'!$M:$Q,4,FALSE)))</f>
        <v xml:space="preserve"> </v>
      </c>
      <c r="L312" s="47">
        <f>IF(ISNA(VLOOKUP(D312,'[2]stock-take'!$M:$Q,3,FALSE)), 0, VLOOKUP(D312,'[2]stock-take'!$M:$Q,3,FALSE))</f>
        <v>0</v>
      </c>
      <c r="M312" s="48" t="str">
        <f t="shared" si="13"/>
        <v xml:space="preserve"> </v>
      </c>
      <c r="N312" s="39" t="str">
        <f t="shared" si="14"/>
        <v xml:space="preserve"> </v>
      </c>
    </row>
    <row r="313" spans="1:14">
      <c r="A313" s="37">
        <f t="shared" si="12"/>
        <v>302</v>
      </c>
      <c r="G313" s="48" t="str">
        <f>IF(F313=""," ",IF(ISNA(VLOOKUP(D313,'[2]stock-take'!$A:$E,4,FALSE)), "OUT OF STOCK", VLOOKUP(D313,'[2]stock-take'!$A:$E,4,FALSE)))</f>
        <v xml:space="preserve"> </v>
      </c>
      <c r="H313" s="48">
        <f>IF(ISNA(VLOOKUP(D313,'[2]stock-take'!$A:$E,3,FALSE)), 0, VLOOKUP(D313,'[2]stock-take'!$A:$E,3,FALSE))</f>
        <v>0</v>
      </c>
      <c r="I313" s="48" t="str">
        <f>IF(F313="", " ",IF(ISNA(VLOOKUP(D313,'[2]stock-take'!$G:$K,4,FALSE)), "OUT OF STOCK", VLOOKUP(D313,'[2]stock-take'!$G:$K,4,FALSE)))</f>
        <v xml:space="preserve"> </v>
      </c>
      <c r="J313" s="39">
        <f>IF(ISNA(VLOOKUP(D313,'[2]stock-take'!$G:$K,3,FALSE)), 0, VLOOKUP(D313,'[2]stock-take'!$G:$K,3,FALSE))</f>
        <v>0</v>
      </c>
      <c r="K313" s="49" t="str">
        <f>IF(F313="", " ", IF(ISNA(VLOOKUP(D313,'[2]stock-take'!$M:$Q,4,FALSE)), "OUT OF STOCK", VLOOKUP(D313,'[2]stock-take'!$M:$Q,4,FALSE)))</f>
        <v xml:space="preserve"> </v>
      </c>
      <c r="L313" s="47">
        <f>IF(ISNA(VLOOKUP(D313,'[2]stock-take'!$M:$Q,3,FALSE)), 0, VLOOKUP(D313,'[2]stock-take'!$M:$Q,3,FALSE))</f>
        <v>0</v>
      </c>
      <c r="M313" s="48" t="str">
        <f t="shared" si="13"/>
        <v xml:space="preserve"> </v>
      </c>
      <c r="N313" s="39" t="str">
        <f t="shared" si="14"/>
        <v xml:space="preserve"> </v>
      </c>
    </row>
    <row r="314" spans="1:14">
      <c r="A314" s="37">
        <f t="shared" si="12"/>
        <v>303</v>
      </c>
      <c r="G314" s="48" t="str">
        <f>IF(F314=""," ",IF(ISNA(VLOOKUP(D314,'[2]stock-take'!$A:$E,4,FALSE)), "OUT OF STOCK", VLOOKUP(D314,'[2]stock-take'!$A:$E,4,FALSE)))</f>
        <v xml:space="preserve"> </v>
      </c>
      <c r="H314" s="48">
        <f>IF(ISNA(VLOOKUP(D314,'[2]stock-take'!$A:$E,3,FALSE)), 0, VLOOKUP(D314,'[2]stock-take'!$A:$E,3,FALSE))</f>
        <v>0</v>
      </c>
      <c r="I314" s="48" t="str">
        <f>IF(F314="", " ",IF(ISNA(VLOOKUP(D314,'[2]stock-take'!$G:$K,4,FALSE)), "OUT OF STOCK", VLOOKUP(D314,'[2]stock-take'!$G:$K,4,FALSE)))</f>
        <v xml:space="preserve"> </v>
      </c>
      <c r="J314" s="39">
        <f>IF(ISNA(VLOOKUP(D314,'[2]stock-take'!$G:$K,3,FALSE)), 0, VLOOKUP(D314,'[2]stock-take'!$G:$K,3,FALSE))</f>
        <v>0</v>
      </c>
      <c r="K314" s="49" t="str">
        <f>IF(F314="", " ", IF(ISNA(VLOOKUP(D314,'[2]stock-take'!$M:$Q,4,FALSE)), "OUT OF STOCK", VLOOKUP(D314,'[2]stock-take'!$M:$Q,4,FALSE)))</f>
        <v xml:space="preserve"> </v>
      </c>
      <c r="L314" s="47">
        <f>IF(ISNA(VLOOKUP(D314,'[2]stock-take'!$M:$Q,3,FALSE)), 0, VLOOKUP(D314,'[2]stock-take'!$M:$Q,3,FALSE))</f>
        <v>0</v>
      </c>
      <c r="M314" s="48" t="str">
        <f t="shared" si="13"/>
        <v xml:space="preserve"> </v>
      </c>
      <c r="N314" s="39" t="str">
        <f t="shared" si="14"/>
        <v xml:space="preserve"> </v>
      </c>
    </row>
    <row r="315" spans="1:14">
      <c r="A315" s="37">
        <f t="shared" si="12"/>
        <v>304</v>
      </c>
      <c r="G315" s="48" t="str">
        <f>IF(F315=""," ",IF(ISNA(VLOOKUP(D315,'[2]stock-take'!$A:$E,4,FALSE)), "OUT OF STOCK", VLOOKUP(D315,'[2]stock-take'!$A:$E,4,FALSE)))</f>
        <v xml:space="preserve"> </v>
      </c>
      <c r="H315" s="48">
        <f>IF(ISNA(VLOOKUP(D315,'[2]stock-take'!$A:$E,3,FALSE)), 0, VLOOKUP(D315,'[2]stock-take'!$A:$E,3,FALSE))</f>
        <v>0</v>
      </c>
      <c r="I315" s="48" t="str">
        <f>IF(F315="", " ",IF(ISNA(VLOOKUP(D315,'[2]stock-take'!$G:$K,4,FALSE)), "OUT OF STOCK", VLOOKUP(D315,'[2]stock-take'!$G:$K,4,FALSE)))</f>
        <v xml:space="preserve"> </v>
      </c>
      <c r="J315" s="39">
        <f>IF(ISNA(VLOOKUP(D315,'[2]stock-take'!$G:$K,3,FALSE)), 0, VLOOKUP(D315,'[2]stock-take'!$G:$K,3,FALSE))</f>
        <v>0</v>
      </c>
      <c r="K315" s="49" t="str">
        <f>IF(F315="", " ", IF(ISNA(VLOOKUP(D315,'[2]stock-take'!$M:$Q,4,FALSE)), "OUT OF STOCK", VLOOKUP(D315,'[2]stock-take'!$M:$Q,4,FALSE)))</f>
        <v xml:space="preserve"> </v>
      </c>
      <c r="L315" s="47">
        <f>IF(ISNA(VLOOKUP(D315,'[2]stock-take'!$M:$Q,3,FALSE)), 0, VLOOKUP(D315,'[2]stock-take'!$M:$Q,3,FALSE))</f>
        <v>0</v>
      </c>
      <c r="M315" s="48" t="str">
        <f t="shared" si="13"/>
        <v xml:space="preserve"> </v>
      </c>
      <c r="N315" s="39" t="str">
        <f t="shared" si="14"/>
        <v xml:space="preserve"> </v>
      </c>
    </row>
    <row r="316" spans="1:14">
      <c r="A316" s="37">
        <f t="shared" si="12"/>
        <v>305</v>
      </c>
      <c r="G316" s="48" t="str">
        <f>IF(F316=""," ",IF(ISNA(VLOOKUP(D316,'[2]stock-take'!$A:$E,4,FALSE)), "OUT OF STOCK", VLOOKUP(D316,'[2]stock-take'!$A:$E,4,FALSE)))</f>
        <v xml:space="preserve"> </v>
      </c>
      <c r="H316" s="48">
        <f>IF(ISNA(VLOOKUP(D316,'[2]stock-take'!$A:$E,3,FALSE)), 0, VLOOKUP(D316,'[2]stock-take'!$A:$E,3,FALSE))</f>
        <v>0</v>
      </c>
      <c r="I316" s="48" t="str">
        <f>IF(F316="", " ",IF(ISNA(VLOOKUP(D316,'[2]stock-take'!$G:$K,4,FALSE)), "OUT OF STOCK", VLOOKUP(D316,'[2]stock-take'!$G:$K,4,FALSE)))</f>
        <v xml:space="preserve"> </v>
      </c>
      <c r="J316" s="39">
        <f>IF(ISNA(VLOOKUP(D316,'[2]stock-take'!$G:$K,3,FALSE)), 0, VLOOKUP(D316,'[2]stock-take'!$G:$K,3,FALSE))</f>
        <v>0</v>
      </c>
      <c r="K316" s="49" t="str">
        <f>IF(F316="", " ", IF(ISNA(VLOOKUP(D316,'[2]stock-take'!$M:$Q,4,FALSE)), "OUT OF STOCK", VLOOKUP(D316,'[2]stock-take'!$M:$Q,4,FALSE)))</f>
        <v xml:space="preserve"> </v>
      </c>
      <c r="L316" s="47">
        <f>IF(ISNA(VLOOKUP(D316,'[2]stock-take'!$M:$Q,3,FALSE)), 0, VLOOKUP(D316,'[2]stock-take'!$M:$Q,3,FALSE))</f>
        <v>0</v>
      </c>
      <c r="M316" s="48" t="str">
        <f t="shared" si="13"/>
        <v xml:space="preserve"> </v>
      </c>
      <c r="N316" s="39" t="str">
        <f t="shared" si="14"/>
        <v xml:space="preserve"> </v>
      </c>
    </row>
    <row r="317" spans="1:14">
      <c r="A317" s="37">
        <f t="shared" si="12"/>
        <v>306</v>
      </c>
      <c r="G317" s="48" t="str">
        <f>IF(F317=""," ",IF(ISNA(VLOOKUP(D317,'[2]stock-take'!$A:$E,4,FALSE)), "OUT OF STOCK", VLOOKUP(D317,'[2]stock-take'!$A:$E,4,FALSE)))</f>
        <v xml:space="preserve"> </v>
      </c>
      <c r="H317" s="48">
        <f>IF(ISNA(VLOOKUP(D317,'[2]stock-take'!$A:$E,3,FALSE)), 0, VLOOKUP(D317,'[2]stock-take'!$A:$E,3,FALSE))</f>
        <v>0</v>
      </c>
      <c r="I317" s="48" t="str">
        <f>IF(F317="", " ",IF(ISNA(VLOOKUP(D317,'[2]stock-take'!$G:$K,4,FALSE)), "OUT OF STOCK", VLOOKUP(D317,'[2]stock-take'!$G:$K,4,FALSE)))</f>
        <v xml:space="preserve"> </v>
      </c>
      <c r="J317" s="39">
        <f>IF(ISNA(VLOOKUP(D317,'[2]stock-take'!$G:$K,3,FALSE)), 0, VLOOKUP(D317,'[2]stock-take'!$G:$K,3,FALSE))</f>
        <v>0</v>
      </c>
      <c r="K317" s="49" t="str">
        <f>IF(F317="", " ", IF(ISNA(VLOOKUP(D317,'[2]stock-take'!$M:$Q,4,FALSE)), "OUT OF STOCK", VLOOKUP(D317,'[2]stock-take'!$M:$Q,4,FALSE)))</f>
        <v xml:space="preserve"> </v>
      </c>
      <c r="L317" s="47">
        <f>IF(ISNA(VLOOKUP(D317,'[2]stock-take'!$M:$Q,3,FALSE)), 0, VLOOKUP(D317,'[2]stock-take'!$M:$Q,3,FALSE))</f>
        <v>0</v>
      </c>
      <c r="M317" s="48" t="str">
        <f t="shared" si="13"/>
        <v xml:space="preserve"> </v>
      </c>
      <c r="N317" s="39" t="str">
        <f t="shared" si="14"/>
        <v xml:space="preserve"> </v>
      </c>
    </row>
    <row r="318" spans="1:14">
      <c r="A318" s="37">
        <f t="shared" si="12"/>
        <v>307</v>
      </c>
      <c r="G318" s="48" t="str">
        <f>IF(F318=""," ",IF(ISNA(VLOOKUP(D318,'[2]stock-take'!$A:$E,4,FALSE)), "OUT OF STOCK", VLOOKUP(D318,'[2]stock-take'!$A:$E,4,FALSE)))</f>
        <v xml:space="preserve"> </v>
      </c>
      <c r="H318" s="48">
        <f>IF(ISNA(VLOOKUP(D318,'[2]stock-take'!$A:$E,3,FALSE)), 0, VLOOKUP(D318,'[2]stock-take'!$A:$E,3,FALSE))</f>
        <v>0</v>
      </c>
      <c r="I318" s="48" t="str">
        <f>IF(F318="", " ",IF(ISNA(VLOOKUP(D318,'[2]stock-take'!$G:$K,4,FALSE)), "OUT OF STOCK", VLOOKUP(D318,'[2]stock-take'!$G:$K,4,FALSE)))</f>
        <v xml:space="preserve"> </v>
      </c>
      <c r="J318" s="39">
        <f>IF(ISNA(VLOOKUP(D318,'[2]stock-take'!$G:$K,3,FALSE)), 0, VLOOKUP(D318,'[2]stock-take'!$G:$K,3,FALSE))</f>
        <v>0</v>
      </c>
      <c r="K318" s="49" t="str">
        <f>IF(F318="", " ", IF(ISNA(VLOOKUP(D318,'[2]stock-take'!$M:$Q,4,FALSE)), "OUT OF STOCK", VLOOKUP(D318,'[2]stock-take'!$M:$Q,4,FALSE)))</f>
        <v xml:space="preserve"> </v>
      </c>
      <c r="L318" s="47">
        <f>IF(ISNA(VLOOKUP(D318,'[2]stock-take'!$M:$Q,3,FALSE)), 0, VLOOKUP(D318,'[2]stock-take'!$M:$Q,3,FALSE))</f>
        <v>0</v>
      </c>
      <c r="M318" s="48" t="str">
        <f t="shared" si="13"/>
        <v xml:space="preserve"> </v>
      </c>
      <c r="N318" s="39" t="str">
        <f t="shared" si="14"/>
        <v xml:space="preserve"> </v>
      </c>
    </row>
    <row r="319" spans="1:14">
      <c r="A319" s="37">
        <f t="shared" si="12"/>
        <v>308</v>
      </c>
      <c r="G319" s="48" t="str">
        <f>IF(F319=""," ",IF(ISNA(VLOOKUP(D319,'[2]stock-take'!$A:$E,4,FALSE)), "OUT OF STOCK", VLOOKUP(D319,'[2]stock-take'!$A:$E,4,FALSE)))</f>
        <v xml:space="preserve"> </v>
      </c>
      <c r="H319" s="48">
        <f>IF(ISNA(VLOOKUP(D319,'[2]stock-take'!$A:$E,3,FALSE)), 0, VLOOKUP(D319,'[2]stock-take'!$A:$E,3,FALSE))</f>
        <v>0</v>
      </c>
      <c r="I319" s="48" t="str">
        <f>IF(F319="", " ",IF(ISNA(VLOOKUP(D319,'[2]stock-take'!$G:$K,4,FALSE)), "OUT OF STOCK", VLOOKUP(D319,'[2]stock-take'!$G:$K,4,FALSE)))</f>
        <v xml:space="preserve"> </v>
      </c>
      <c r="J319" s="39">
        <f>IF(ISNA(VLOOKUP(D319,'[2]stock-take'!$G:$K,3,FALSE)), 0, VLOOKUP(D319,'[2]stock-take'!$G:$K,3,FALSE))</f>
        <v>0</v>
      </c>
      <c r="K319" s="49" t="str">
        <f>IF(F319="", " ", IF(ISNA(VLOOKUP(D319,'[2]stock-take'!$M:$Q,4,FALSE)), "OUT OF STOCK", VLOOKUP(D319,'[2]stock-take'!$M:$Q,4,FALSE)))</f>
        <v xml:space="preserve"> </v>
      </c>
      <c r="L319" s="47">
        <f>IF(ISNA(VLOOKUP(D319,'[2]stock-take'!$M:$Q,3,FALSE)), 0, VLOOKUP(D319,'[2]stock-take'!$M:$Q,3,FALSE))</f>
        <v>0</v>
      </c>
      <c r="M319" s="48" t="str">
        <f t="shared" si="13"/>
        <v xml:space="preserve"> </v>
      </c>
      <c r="N319" s="39" t="str">
        <f t="shared" si="14"/>
        <v xml:space="preserve"> </v>
      </c>
    </row>
    <row r="320" spans="1:14">
      <c r="A320" s="37">
        <f t="shared" si="12"/>
        <v>309</v>
      </c>
      <c r="G320" s="48" t="str">
        <f>IF(F320=""," ",IF(ISNA(VLOOKUP(D320,'[2]stock-take'!$A:$E,4,FALSE)), "OUT OF STOCK", VLOOKUP(D320,'[2]stock-take'!$A:$E,4,FALSE)))</f>
        <v xml:space="preserve"> </v>
      </c>
      <c r="H320" s="48">
        <f>IF(ISNA(VLOOKUP(D320,'[2]stock-take'!$A:$E,3,FALSE)), 0, VLOOKUP(D320,'[2]stock-take'!$A:$E,3,FALSE))</f>
        <v>0</v>
      </c>
      <c r="I320" s="48" t="str">
        <f>IF(F320="", " ",IF(ISNA(VLOOKUP(D320,'[2]stock-take'!$G:$K,4,FALSE)), "OUT OF STOCK", VLOOKUP(D320,'[2]stock-take'!$G:$K,4,FALSE)))</f>
        <v xml:space="preserve"> </v>
      </c>
      <c r="J320" s="39">
        <f>IF(ISNA(VLOOKUP(D320,'[2]stock-take'!$G:$K,3,FALSE)), 0, VLOOKUP(D320,'[2]stock-take'!$G:$K,3,FALSE))</f>
        <v>0</v>
      </c>
      <c r="K320" s="49" t="str">
        <f>IF(F320="", " ", IF(ISNA(VLOOKUP(D320,'[2]stock-take'!$M:$Q,4,FALSE)), "OUT OF STOCK", VLOOKUP(D320,'[2]stock-take'!$M:$Q,4,FALSE)))</f>
        <v xml:space="preserve"> </v>
      </c>
      <c r="L320" s="47">
        <f>IF(ISNA(VLOOKUP(D320,'[2]stock-take'!$M:$Q,3,FALSE)), 0, VLOOKUP(D320,'[2]stock-take'!$M:$Q,3,FALSE))</f>
        <v>0</v>
      </c>
      <c r="M320" s="48" t="str">
        <f t="shared" si="13"/>
        <v xml:space="preserve"> </v>
      </c>
      <c r="N320" s="39" t="str">
        <f t="shared" si="14"/>
        <v xml:space="preserve"> </v>
      </c>
    </row>
    <row r="321" spans="1:14">
      <c r="A321" s="37">
        <f t="shared" si="12"/>
        <v>310</v>
      </c>
      <c r="G321" s="48" t="str">
        <f>IF(F321=""," ",IF(ISNA(VLOOKUP(D321,'[2]stock-take'!$A:$E,4,FALSE)), "OUT OF STOCK", VLOOKUP(D321,'[2]stock-take'!$A:$E,4,FALSE)))</f>
        <v xml:space="preserve"> </v>
      </c>
      <c r="H321" s="48">
        <f>IF(ISNA(VLOOKUP(D321,'[2]stock-take'!$A:$E,3,FALSE)), 0, VLOOKUP(D321,'[2]stock-take'!$A:$E,3,FALSE))</f>
        <v>0</v>
      </c>
      <c r="I321" s="48" t="str">
        <f>IF(F321="", " ",IF(ISNA(VLOOKUP(D321,'[2]stock-take'!$G:$K,4,FALSE)), "OUT OF STOCK", VLOOKUP(D321,'[2]stock-take'!$G:$K,4,FALSE)))</f>
        <v xml:space="preserve"> </v>
      </c>
      <c r="J321" s="39">
        <f>IF(ISNA(VLOOKUP(D321,'[2]stock-take'!$G:$K,3,FALSE)), 0, VLOOKUP(D321,'[2]stock-take'!$G:$K,3,FALSE))</f>
        <v>0</v>
      </c>
      <c r="K321" s="49" t="str">
        <f>IF(F321="", " ", IF(ISNA(VLOOKUP(D321,'[2]stock-take'!$M:$Q,4,FALSE)), "OUT OF STOCK", VLOOKUP(D321,'[2]stock-take'!$M:$Q,4,FALSE)))</f>
        <v xml:space="preserve"> </v>
      </c>
      <c r="L321" s="47">
        <f>IF(ISNA(VLOOKUP(D321,'[2]stock-take'!$M:$Q,3,FALSE)), 0, VLOOKUP(D321,'[2]stock-take'!$M:$Q,3,FALSE))</f>
        <v>0</v>
      </c>
      <c r="M321" s="48" t="str">
        <f t="shared" si="13"/>
        <v xml:space="preserve"> </v>
      </c>
      <c r="N321" s="39" t="str">
        <f t="shared" si="14"/>
        <v xml:space="preserve"> </v>
      </c>
    </row>
    <row r="322" spans="1:14">
      <c r="A322" s="37">
        <f t="shared" si="12"/>
        <v>311</v>
      </c>
      <c r="G322" s="48" t="str">
        <f>IF(F322=""," ",IF(ISNA(VLOOKUP(D322,'[2]stock-take'!$A:$E,4,FALSE)), "OUT OF STOCK", VLOOKUP(D322,'[2]stock-take'!$A:$E,4,FALSE)))</f>
        <v xml:space="preserve"> </v>
      </c>
      <c r="H322" s="48">
        <f>IF(ISNA(VLOOKUP(D322,'[2]stock-take'!$A:$E,3,FALSE)), 0, VLOOKUP(D322,'[2]stock-take'!$A:$E,3,FALSE))</f>
        <v>0</v>
      </c>
      <c r="I322" s="48" t="str">
        <f>IF(F322="", " ",IF(ISNA(VLOOKUP(D322,'[2]stock-take'!$G:$K,4,FALSE)), "OUT OF STOCK", VLOOKUP(D322,'[2]stock-take'!$G:$K,4,FALSE)))</f>
        <v xml:space="preserve"> </v>
      </c>
      <c r="J322" s="39">
        <f>IF(ISNA(VLOOKUP(D322,'[2]stock-take'!$G:$K,3,FALSE)), 0, VLOOKUP(D322,'[2]stock-take'!$G:$K,3,FALSE))</f>
        <v>0</v>
      </c>
      <c r="K322" s="49" t="str">
        <f>IF(F322="", " ", IF(ISNA(VLOOKUP(D322,'[2]stock-take'!$M:$Q,4,FALSE)), "OUT OF STOCK", VLOOKUP(D322,'[2]stock-take'!$M:$Q,4,FALSE)))</f>
        <v xml:space="preserve"> </v>
      </c>
      <c r="L322" s="47">
        <f>IF(ISNA(VLOOKUP(D322,'[2]stock-take'!$M:$Q,3,FALSE)), 0, VLOOKUP(D322,'[2]stock-take'!$M:$Q,3,FALSE))</f>
        <v>0</v>
      </c>
      <c r="M322" s="48" t="str">
        <f t="shared" si="13"/>
        <v xml:space="preserve"> </v>
      </c>
      <c r="N322" s="39" t="str">
        <f t="shared" si="14"/>
        <v xml:space="preserve"> </v>
      </c>
    </row>
    <row r="323" spans="1:14">
      <c r="A323" s="37">
        <f t="shared" si="12"/>
        <v>312</v>
      </c>
      <c r="G323" s="48" t="str">
        <f>IF(F323=""," ",IF(ISNA(VLOOKUP(D323,'[2]stock-take'!$A:$E,4,FALSE)), "OUT OF STOCK", VLOOKUP(D323,'[2]stock-take'!$A:$E,4,FALSE)))</f>
        <v xml:space="preserve"> </v>
      </c>
      <c r="H323" s="48">
        <f>IF(ISNA(VLOOKUP(D323,'[2]stock-take'!$A:$E,3,FALSE)), 0, VLOOKUP(D323,'[2]stock-take'!$A:$E,3,FALSE))</f>
        <v>0</v>
      </c>
      <c r="I323" s="48" t="str">
        <f>IF(F323="", " ",IF(ISNA(VLOOKUP(D323,'[2]stock-take'!$G:$K,4,FALSE)), "OUT OF STOCK", VLOOKUP(D323,'[2]stock-take'!$G:$K,4,FALSE)))</f>
        <v xml:space="preserve"> </v>
      </c>
      <c r="J323" s="39">
        <f>IF(ISNA(VLOOKUP(D323,'[2]stock-take'!$G:$K,3,FALSE)), 0, VLOOKUP(D323,'[2]stock-take'!$G:$K,3,FALSE))</f>
        <v>0</v>
      </c>
      <c r="K323" s="49" t="str">
        <f>IF(F323="", " ", IF(ISNA(VLOOKUP(D323,'[2]stock-take'!$M:$Q,4,FALSE)), "OUT OF STOCK", VLOOKUP(D323,'[2]stock-take'!$M:$Q,4,FALSE)))</f>
        <v xml:space="preserve"> </v>
      </c>
      <c r="L323" s="47">
        <f>IF(ISNA(VLOOKUP(D323,'[2]stock-take'!$M:$Q,3,FALSE)), 0, VLOOKUP(D323,'[2]stock-take'!$M:$Q,3,FALSE))</f>
        <v>0</v>
      </c>
      <c r="M323" s="48" t="str">
        <f t="shared" si="13"/>
        <v xml:space="preserve"> </v>
      </c>
      <c r="N323" s="39" t="str">
        <f t="shared" si="14"/>
        <v xml:space="preserve"> </v>
      </c>
    </row>
    <row r="324" spans="1:14">
      <c r="A324" s="37">
        <f t="shared" si="12"/>
        <v>313</v>
      </c>
      <c r="G324" s="48" t="str">
        <f>IF(F324=""," ",IF(ISNA(VLOOKUP(D324,'[2]stock-take'!$A:$E,4,FALSE)), "OUT OF STOCK", VLOOKUP(D324,'[2]stock-take'!$A:$E,4,FALSE)))</f>
        <v xml:space="preserve"> </v>
      </c>
      <c r="H324" s="48">
        <f>IF(ISNA(VLOOKUP(D324,'[2]stock-take'!$A:$E,3,FALSE)), 0, VLOOKUP(D324,'[2]stock-take'!$A:$E,3,FALSE))</f>
        <v>0</v>
      </c>
      <c r="I324" s="48" t="str">
        <f>IF(F324="", " ",IF(ISNA(VLOOKUP(D324,'[2]stock-take'!$G:$K,4,FALSE)), "OUT OF STOCK", VLOOKUP(D324,'[2]stock-take'!$G:$K,4,FALSE)))</f>
        <v xml:space="preserve"> </v>
      </c>
      <c r="J324" s="39">
        <f>IF(ISNA(VLOOKUP(D324,'[2]stock-take'!$G:$K,3,FALSE)), 0, VLOOKUP(D324,'[2]stock-take'!$G:$K,3,FALSE))</f>
        <v>0</v>
      </c>
      <c r="K324" s="49" t="str">
        <f>IF(F324="", " ", IF(ISNA(VLOOKUP(D324,'[2]stock-take'!$M:$Q,4,FALSE)), "OUT OF STOCK", VLOOKUP(D324,'[2]stock-take'!$M:$Q,4,FALSE)))</f>
        <v xml:space="preserve"> </v>
      </c>
      <c r="L324" s="47">
        <f>IF(ISNA(VLOOKUP(D324,'[2]stock-take'!$M:$Q,3,FALSE)), 0, VLOOKUP(D324,'[2]stock-take'!$M:$Q,3,FALSE))</f>
        <v>0</v>
      </c>
      <c r="M324" s="48" t="str">
        <f t="shared" si="13"/>
        <v xml:space="preserve"> </v>
      </c>
      <c r="N324" s="39" t="str">
        <f t="shared" si="14"/>
        <v xml:space="preserve"> </v>
      </c>
    </row>
    <row r="325" spans="1:14">
      <c r="A325" s="37">
        <f t="shared" si="12"/>
        <v>314</v>
      </c>
      <c r="G325" s="48" t="str">
        <f>IF(F325=""," ",IF(ISNA(VLOOKUP(D325,'[2]stock-take'!$A:$E,4,FALSE)), "OUT OF STOCK", VLOOKUP(D325,'[2]stock-take'!$A:$E,4,FALSE)))</f>
        <v xml:space="preserve"> </v>
      </c>
      <c r="H325" s="48">
        <f>IF(ISNA(VLOOKUP(D325,'[2]stock-take'!$A:$E,3,FALSE)), 0, VLOOKUP(D325,'[2]stock-take'!$A:$E,3,FALSE))</f>
        <v>0</v>
      </c>
      <c r="I325" s="48" t="str">
        <f>IF(F325="", " ",IF(ISNA(VLOOKUP(D325,'[2]stock-take'!$G:$K,4,FALSE)), "OUT OF STOCK", VLOOKUP(D325,'[2]stock-take'!$G:$K,4,FALSE)))</f>
        <v xml:space="preserve"> </v>
      </c>
      <c r="J325" s="39">
        <f>IF(ISNA(VLOOKUP(D325,'[2]stock-take'!$G:$K,3,FALSE)), 0, VLOOKUP(D325,'[2]stock-take'!$G:$K,3,FALSE))</f>
        <v>0</v>
      </c>
      <c r="K325" s="49" t="str">
        <f>IF(F325="", " ", IF(ISNA(VLOOKUP(D325,'[2]stock-take'!$M:$Q,4,FALSE)), "OUT OF STOCK", VLOOKUP(D325,'[2]stock-take'!$M:$Q,4,FALSE)))</f>
        <v xml:space="preserve"> </v>
      </c>
      <c r="L325" s="47">
        <f>IF(ISNA(VLOOKUP(D325,'[2]stock-take'!$M:$Q,3,FALSE)), 0, VLOOKUP(D325,'[2]stock-take'!$M:$Q,3,FALSE))</f>
        <v>0</v>
      </c>
      <c r="M325" s="48" t="str">
        <f t="shared" si="13"/>
        <v xml:space="preserve"> </v>
      </c>
      <c r="N325" s="39" t="str">
        <f t="shared" si="14"/>
        <v xml:space="preserve"> </v>
      </c>
    </row>
    <row r="326" spans="1:14">
      <c r="A326" s="37">
        <f t="shared" si="12"/>
        <v>315</v>
      </c>
      <c r="G326" s="48" t="str">
        <f>IF(F326=""," ",IF(ISNA(VLOOKUP(D326,'[2]stock-take'!$A:$E,4,FALSE)), "OUT OF STOCK", VLOOKUP(D326,'[2]stock-take'!$A:$E,4,FALSE)))</f>
        <v xml:space="preserve"> </v>
      </c>
      <c r="H326" s="48">
        <f>IF(ISNA(VLOOKUP(D326,'[2]stock-take'!$A:$E,3,FALSE)), 0, VLOOKUP(D326,'[2]stock-take'!$A:$E,3,FALSE))</f>
        <v>0</v>
      </c>
      <c r="I326" s="48" t="str">
        <f>IF(F326="", " ",IF(ISNA(VLOOKUP(D326,'[2]stock-take'!$G:$K,4,FALSE)), "OUT OF STOCK", VLOOKUP(D326,'[2]stock-take'!$G:$K,4,FALSE)))</f>
        <v xml:space="preserve"> </v>
      </c>
      <c r="J326" s="39">
        <f>IF(ISNA(VLOOKUP(D326,'[2]stock-take'!$G:$K,3,FALSE)), 0, VLOOKUP(D326,'[2]stock-take'!$G:$K,3,FALSE))</f>
        <v>0</v>
      </c>
      <c r="K326" s="49" t="str">
        <f>IF(F326="", " ", IF(ISNA(VLOOKUP(D326,'[2]stock-take'!$M:$Q,4,FALSE)), "OUT OF STOCK", VLOOKUP(D326,'[2]stock-take'!$M:$Q,4,FALSE)))</f>
        <v xml:space="preserve"> </v>
      </c>
      <c r="L326" s="47">
        <f>IF(ISNA(VLOOKUP(D326,'[2]stock-take'!$M:$Q,3,FALSE)), 0, VLOOKUP(D326,'[2]stock-take'!$M:$Q,3,FALSE))</f>
        <v>0</v>
      </c>
      <c r="M326" s="48" t="str">
        <f t="shared" si="13"/>
        <v xml:space="preserve"> </v>
      </c>
      <c r="N326" s="39" t="str">
        <f t="shared" si="14"/>
        <v xml:space="preserve"> </v>
      </c>
    </row>
    <row r="327" spans="1:14">
      <c r="A327" s="37">
        <f t="shared" si="12"/>
        <v>316</v>
      </c>
      <c r="G327" s="48" t="str">
        <f>IF(F327=""," ",IF(ISNA(VLOOKUP(D327,'[2]stock-take'!$A:$E,4,FALSE)), "OUT OF STOCK", VLOOKUP(D327,'[2]stock-take'!$A:$E,4,FALSE)))</f>
        <v xml:space="preserve"> </v>
      </c>
      <c r="H327" s="48">
        <f>IF(ISNA(VLOOKUP(D327,'[2]stock-take'!$A:$E,3,FALSE)), 0, VLOOKUP(D327,'[2]stock-take'!$A:$E,3,FALSE))</f>
        <v>0</v>
      </c>
      <c r="I327" s="48" t="str">
        <f>IF(F327="", " ",IF(ISNA(VLOOKUP(D327,'[2]stock-take'!$G:$K,4,FALSE)), "OUT OF STOCK", VLOOKUP(D327,'[2]stock-take'!$G:$K,4,FALSE)))</f>
        <v xml:space="preserve"> </v>
      </c>
      <c r="J327" s="39">
        <f>IF(ISNA(VLOOKUP(D327,'[2]stock-take'!$G:$K,3,FALSE)), 0, VLOOKUP(D327,'[2]stock-take'!$G:$K,3,FALSE))</f>
        <v>0</v>
      </c>
      <c r="K327" s="49" t="str">
        <f>IF(F327="", " ", IF(ISNA(VLOOKUP(D327,'[2]stock-take'!$M:$Q,4,FALSE)), "OUT OF STOCK", VLOOKUP(D327,'[2]stock-take'!$M:$Q,4,FALSE)))</f>
        <v xml:space="preserve"> </v>
      </c>
      <c r="L327" s="47">
        <f>IF(ISNA(VLOOKUP(D327,'[2]stock-take'!$M:$Q,3,FALSE)), 0, VLOOKUP(D327,'[2]stock-take'!$M:$Q,3,FALSE))</f>
        <v>0</v>
      </c>
      <c r="M327" s="48" t="str">
        <f t="shared" si="13"/>
        <v xml:space="preserve"> </v>
      </c>
      <c r="N327" s="39" t="str">
        <f t="shared" si="14"/>
        <v xml:space="preserve"> </v>
      </c>
    </row>
    <row r="328" spans="1:14">
      <c r="A328" s="37">
        <f t="shared" si="12"/>
        <v>317</v>
      </c>
      <c r="G328" s="48" t="str">
        <f>IF(F328=""," ",IF(ISNA(VLOOKUP(D328,'[2]stock-take'!$A:$E,4,FALSE)), "OUT OF STOCK", VLOOKUP(D328,'[2]stock-take'!$A:$E,4,FALSE)))</f>
        <v xml:space="preserve"> </v>
      </c>
      <c r="H328" s="48">
        <f>IF(ISNA(VLOOKUP(D328,'[2]stock-take'!$A:$E,3,FALSE)), 0, VLOOKUP(D328,'[2]stock-take'!$A:$E,3,FALSE))</f>
        <v>0</v>
      </c>
      <c r="I328" s="48" t="str">
        <f>IF(F328="", " ",IF(ISNA(VLOOKUP(D328,'[2]stock-take'!$G:$K,4,FALSE)), "OUT OF STOCK", VLOOKUP(D328,'[2]stock-take'!$G:$K,4,FALSE)))</f>
        <v xml:space="preserve"> </v>
      </c>
      <c r="J328" s="39">
        <f>IF(ISNA(VLOOKUP(D328,'[2]stock-take'!$G:$K,3,FALSE)), 0, VLOOKUP(D328,'[2]stock-take'!$G:$K,3,FALSE))</f>
        <v>0</v>
      </c>
      <c r="K328" s="49" t="str">
        <f>IF(F328="", " ", IF(ISNA(VLOOKUP(D328,'[2]stock-take'!$M:$Q,4,FALSE)), "OUT OF STOCK", VLOOKUP(D328,'[2]stock-take'!$M:$Q,4,FALSE)))</f>
        <v xml:space="preserve"> </v>
      </c>
      <c r="L328" s="47">
        <f>IF(ISNA(VLOOKUP(D328,'[2]stock-take'!$M:$Q,3,FALSE)), 0, VLOOKUP(D328,'[2]stock-take'!$M:$Q,3,FALSE))</f>
        <v>0</v>
      </c>
      <c r="M328" s="48" t="str">
        <f t="shared" si="13"/>
        <v xml:space="preserve"> </v>
      </c>
      <c r="N328" s="39" t="str">
        <f t="shared" si="14"/>
        <v xml:space="preserve"> </v>
      </c>
    </row>
    <row r="329" spans="1:14">
      <c r="A329" s="37">
        <f t="shared" si="12"/>
        <v>318</v>
      </c>
      <c r="G329" s="48" t="str">
        <f>IF(F329=""," ",IF(ISNA(VLOOKUP(D329,'[2]stock-take'!$A:$E,4,FALSE)), "OUT OF STOCK", VLOOKUP(D329,'[2]stock-take'!$A:$E,4,FALSE)))</f>
        <v xml:space="preserve"> </v>
      </c>
      <c r="H329" s="48">
        <f>IF(ISNA(VLOOKUP(D329,'[2]stock-take'!$A:$E,3,FALSE)), 0, VLOOKUP(D329,'[2]stock-take'!$A:$E,3,FALSE))</f>
        <v>0</v>
      </c>
      <c r="I329" s="48" t="str">
        <f>IF(F329="", " ",IF(ISNA(VLOOKUP(D329,'[2]stock-take'!$G:$K,4,FALSE)), "OUT OF STOCK", VLOOKUP(D329,'[2]stock-take'!$G:$K,4,FALSE)))</f>
        <v xml:space="preserve"> </v>
      </c>
      <c r="J329" s="39">
        <f>IF(ISNA(VLOOKUP(D329,'[2]stock-take'!$G:$K,3,FALSE)), 0, VLOOKUP(D329,'[2]stock-take'!$G:$K,3,FALSE))</f>
        <v>0</v>
      </c>
      <c r="K329" s="49" t="str">
        <f>IF(F329="", " ", IF(ISNA(VLOOKUP(D329,'[2]stock-take'!$M:$Q,4,FALSE)), "OUT OF STOCK", VLOOKUP(D329,'[2]stock-take'!$M:$Q,4,FALSE)))</f>
        <v xml:space="preserve"> </v>
      </c>
      <c r="L329" s="47">
        <f>IF(ISNA(VLOOKUP(D329,'[2]stock-take'!$M:$Q,3,FALSE)), 0, VLOOKUP(D329,'[2]stock-take'!$M:$Q,3,FALSE))</f>
        <v>0</v>
      </c>
      <c r="M329" s="48" t="str">
        <f t="shared" si="13"/>
        <v xml:space="preserve"> </v>
      </c>
      <c r="N329" s="39" t="str">
        <f t="shared" si="14"/>
        <v xml:space="preserve"> </v>
      </c>
    </row>
    <row r="330" spans="1:14">
      <c r="A330" s="37">
        <f t="shared" si="12"/>
        <v>319</v>
      </c>
      <c r="G330" s="48" t="str">
        <f>IF(F330=""," ",IF(ISNA(VLOOKUP(D330,'[2]stock-take'!$A:$E,4,FALSE)), "OUT OF STOCK", VLOOKUP(D330,'[2]stock-take'!$A:$E,4,FALSE)))</f>
        <v xml:space="preserve"> </v>
      </c>
      <c r="H330" s="48">
        <f>IF(ISNA(VLOOKUP(D330,'[2]stock-take'!$A:$E,3,FALSE)), 0, VLOOKUP(D330,'[2]stock-take'!$A:$E,3,FALSE))</f>
        <v>0</v>
      </c>
      <c r="I330" s="48" t="str">
        <f>IF(F330="", " ",IF(ISNA(VLOOKUP(D330,'[2]stock-take'!$G:$K,4,FALSE)), "OUT OF STOCK", VLOOKUP(D330,'[2]stock-take'!$G:$K,4,FALSE)))</f>
        <v xml:space="preserve"> </v>
      </c>
      <c r="J330" s="39">
        <f>IF(ISNA(VLOOKUP(D330,'[2]stock-take'!$G:$K,3,FALSE)), 0, VLOOKUP(D330,'[2]stock-take'!$G:$K,3,FALSE))</f>
        <v>0</v>
      </c>
      <c r="K330" s="49" t="str">
        <f>IF(F330="", " ", IF(ISNA(VLOOKUP(D330,'[2]stock-take'!$M:$Q,4,FALSE)), "OUT OF STOCK", VLOOKUP(D330,'[2]stock-take'!$M:$Q,4,FALSE)))</f>
        <v xml:space="preserve"> </v>
      </c>
      <c r="L330" s="47">
        <f>IF(ISNA(VLOOKUP(D330,'[2]stock-take'!$M:$Q,3,FALSE)), 0, VLOOKUP(D330,'[2]stock-take'!$M:$Q,3,FALSE))</f>
        <v>0</v>
      </c>
      <c r="M330" s="48" t="str">
        <f t="shared" si="13"/>
        <v xml:space="preserve"> </v>
      </c>
      <c r="N330" s="39" t="str">
        <f t="shared" si="14"/>
        <v xml:space="preserve"> </v>
      </c>
    </row>
    <row r="331" spans="1:14">
      <c r="A331" s="37">
        <f t="shared" si="12"/>
        <v>320</v>
      </c>
      <c r="G331" s="48" t="str">
        <f>IF(F331=""," ",IF(ISNA(VLOOKUP(D331,'[2]stock-take'!$A:$E,4,FALSE)), "OUT OF STOCK", VLOOKUP(D331,'[2]stock-take'!$A:$E,4,FALSE)))</f>
        <v xml:space="preserve"> </v>
      </c>
      <c r="H331" s="48">
        <f>IF(ISNA(VLOOKUP(D331,'[2]stock-take'!$A:$E,3,FALSE)), 0, VLOOKUP(D331,'[2]stock-take'!$A:$E,3,FALSE))</f>
        <v>0</v>
      </c>
      <c r="I331" s="48" t="str">
        <f>IF(F331="", " ",IF(ISNA(VLOOKUP(D331,'[2]stock-take'!$G:$K,4,FALSE)), "OUT OF STOCK", VLOOKUP(D331,'[2]stock-take'!$G:$K,4,FALSE)))</f>
        <v xml:space="preserve"> </v>
      </c>
      <c r="J331" s="39">
        <f>IF(ISNA(VLOOKUP(D331,'[2]stock-take'!$G:$K,3,FALSE)), 0, VLOOKUP(D331,'[2]stock-take'!$G:$K,3,FALSE))</f>
        <v>0</v>
      </c>
      <c r="K331" s="49" t="str">
        <f>IF(F331="", " ", IF(ISNA(VLOOKUP(D331,'[2]stock-take'!$M:$Q,4,FALSE)), "OUT OF STOCK", VLOOKUP(D331,'[2]stock-take'!$M:$Q,4,FALSE)))</f>
        <v xml:space="preserve"> </v>
      </c>
      <c r="L331" s="47">
        <f>IF(ISNA(VLOOKUP(D331,'[2]stock-take'!$M:$Q,3,FALSE)), 0, VLOOKUP(D331,'[2]stock-take'!$M:$Q,3,FALSE))</f>
        <v>0</v>
      </c>
      <c r="M331" s="48" t="str">
        <f t="shared" si="13"/>
        <v xml:space="preserve"> </v>
      </c>
      <c r="N331" s="39" t="str">
        <f t="shared" si="14"/>
        <v xml:space="preserve"> </v>
      </c>
    </row>
    <row r="332" spans="1:14">
      <c r="A332" s="37">
        <f t="shared" ref="A332:A395" si="15">ROW(A332)-11</f>
        <v>321</v>
      </c>
      <c r="G332" s="48" t="str">
        <f>IF(F332=""," ",IF(ISNA(VLOOKUP(D332,'[2]stock-take'!$A:$E,4,FALSE)), "OUT OF STOCK", VLOOKUP(D332,'[2]stock-take'!$A:$E,4,FALSE)))</f>
        <v xml:space="preserve"> </v>
      </c>
      <c r="H332" s="48">
        <f>IF(ISNA(VLOOKUP(D332,'[2]stock-take'!$A:$E,3,FALSE)), 0, VLOOKUP(D332,'[2]stock-take'!$A:$E,3,FALSE))</f>
        <v>0</v>
      </c>
      <c r="I332" s="48" t="str">
        <f>IF(F332="", " ",IF(ISNA(VLOOKUP(D332,'[2]stock-take'!$G:$K,4,FALSE)), "OUT OF STOCK", VLOOKUP(D332,'[2]stock-take'!$G:$K,4,FALSE)))</f>
        <v xml:space="preserve"> </v>
      </c>
      <c r="J332" s="39">
        <f>IF(ISNA(VLOOKUP(D332,'[2]stock-take'!$G:$K,3,FALSE)), 0, VLOOKUP(D332,'[2]stock-take'!$G:$K,3,FALSE))</f>
        <v>0</v>
      </c>
      <c r="K332" s="49" t="str">
        <f>IF(F332="", " ", IF(ISNA(VLOOKUP(D332,'[2]stock-take'!$M:$Q,4,FALSE)), "OUT OF STOCK", VLOOKUP(D332,'[2]stock-take'!$M:$Q,4,FALSE)))</f>
        <v xml:space="preserve"> </v>
      </c>
      <c r="L332" s="47">
        <f>IF(ISNA(VLOOKUP(D332,'[2]stock-take'!$M:$Q,3,FALSE)), 0, VLOOKUP(D332,'[2]stock-take'!$M:$Q,3,FALSE))</f>
        <v>0</v>
      </c>
      <c r="M332" s="48" t="str">
        <f t="shared" si="13"/>
        <v xml:space="preserve"> </v>
      </c>
      <c r="N332" s="39" t="str">
        <f t="shared" si="14"/>
        <v xml:space="preserve"> </v>
      </c>
    </row>
    <row r="333" spans="1:14">
      <c r="A333" s="37">
        <f t="shared" si="15"/>
        <v>322</v>
      </c>
      <c r="G333" s="48" t="str">
        <f>IF(F333=""," ",IF(ISNA(VLOOKUP(D333,'[2]stock-take'!$A:$E,4,FALSE)), "OUT OF STOCK", VLOOKUP(D333,'[2]stock-take'!$A:$E,4,FALSE)))</f>
        <v xml:space="preserve"> </v>
      </c>
      <c r="H333" s="48">
        <f>IF(ISNA(VLOOKUP(D333,'[2]stock-take'!$A:$E,3,FALSE)), 0, VLOOKUP(D333,'[2]stock-take'!$A:$E,3,FALSE))</f>
        <v>0</v>
      </c>
      <c r="I333" s="48" t="str">
        <f>IF(F333="", " ",IF(ISNA(VLOOKUP(D333,'[2]stock-take'!$G:$K,4,FALSE)), "OUT OF STOCK", VLOOKUP(D333,'[2]stock-take'!$G:$K,4,FALSE)))</f>
        <v xml:space="preserve"> </v>
      </c>
      <c r="J333" s="39">
        <f>IF(ISNA(VLOOKUP(D333,'[2]stock-take'!$G:$K,3,FALSE)), 0, VLOOKUP(D333,'[2]stock-take'!$G:$K,3,FALSE))</f>
        <v>0</v>
      </c>
      <c r="K333" s="49" t="str">
        <f>IF(F333="", " ", IF(ISNA(VLOOKUP(D333,'[2]stock-take'!$M:$Q,4,FALSE)), "OUT OF STOCK", VLOOKUP(D333,'[2]stock-take'!$M:$Q,4,FALSE)))</f>
        <v xml:space="preserve"> </v>
      </c>
      <c r="L333" s="47">
        <f>IF(ISNA(VLOOKUP(D333,'[2]stock-take'!$M:$Q,3,FALSE)), 0, VLOOKUP(D333,'[2]stock-take'!$M:$Q,3,FALSE))</f>
        <v>0</v>
      </c>
      <c r="M333" s="48" t="str">
        <f t="shared" ref="M333:M396" si="16">IF(F333=""," ",IF(H333&gt;=F333,"Y",IF(J333&gt;=F333,"Y",IF(L333&gt;=F333,"Y",IF(SUM(H333,J333,L333)&gt;=F333,"Y","N")))))</f>
        <v xml:space="preserve"> </v>
      </c>
      <c r="N333" s="39" t="str">
        <f t="shared" ref="N333:N396" si="17">IF(F333=""," ",IF(H333&gt;=F333,"ILOOM",IF(J333&gt;=F333,"NO.6",IF(L333&gt;=F333,"RMD",IF(SUM(H333,J333,L333)&gt;=F333,"MULTI","LACK")))))</f>
        <v xml:space="preserve"> </v>
      </c>
    </row>
    <row r="334" spans="1:14">
      <c r="A334" s="37">
        <f t="shared" si="15"/>
        <v>323</v>
      </c>
      <c r="G334" s="48" t="str">
        <f>IF(F334=""," ",IF(ISNA(VLOOKUP(D334,'[2]stock-take'!$A:$E,4,FALSE)), "OUT OF STOCK", VLOOKUP(D334,'[2]stock-take'!$A:$E,4,FALSE)))</f>
        <v xml:space="preserve"> </v>
      </c>
      <c r="H334" s="48">
        <f>IF(ISNA(VLOOKUP(D334,'[2]stock-take'!$A:$E,3,FALSE)), 0, VLOOKUP(D334,'[2]stock-take'!$A:$E,3,FALSE))</f>
        <v>0</v>
      </c>
      <c r="I334" s="48" t="str">
        <f>IF(F334="", " ",IF(ISNA(VLOOKUP(D334,'[2]stock-take'!$G:$K,4,FALSE)), "OUT OF STOCK", VLOOKUP(D334,'[2]stock-take'!$G:$K,4,FALSE)))</f>
        <v xml:space="preserve"> </v>
      </c>
      <c r="J334" s="39">
        <f>IF(ISNA(VLOOKUP(D334,'[2]stock-take'!$G:$K,3,FALSE)), 0, VLOOKUP(D334,'[2]stock-take'!$G:$K,3,FALSE))</f>
        <v>0</v>
      </c>
      <c r="K334" s="49" t="str">
        <f>IF(F334="", " ", IF(ISNA(VLOOKUP(D334,'[2]stock-take'!$M:$Q,4,FALSE)), "OUT OF STOCK", VLOOKUP(D334,'[2]stock-take'!$M:$Q,4,FALSE)))</f>
        <v xml:space="preserve"> </v>
      </c>
      <c r="L334" s="47">
        <f>IF(ISNA(VLOOKUP(D334,'[2]stock-take'!$M:$Q,3,FALSE)), 0, VLOOKUP(D334,'[2]stock-take'!$M:$Q,3,FALSE))</f>
        <v>0</v>
      </c>
      <c r="M334" s="48" t="str">
        <f t="shared" si="16"/>
        <v xml:space="preserve"> </v>
      </c>
      <c r="N334" s="39" t="str">
        <f t="shared" si="17"/>
        <v xml:space="preserve"> </v>
      </c>
    </row>
    <row r="335" spans="1:14">
      <c r="A335" s="37">
        <f t="shared" si="15"/>
        <v>324</v>
      </c>
      <c r="G335" s="48" t="str">
        <f>IF(F335=""," ",IF(ISNA(VLOOKUP(D335,'[2]stock-take'!$A:$E,4,FALSE)), "OUT OF STOCK", VLOOKUP(D335,'[2]stock-take'!$A:$E,4,FALSE)))</f>
        <v xml:space="preserve"> </v>
      </c>
      <c r="H335" s="48">
        <f>IF(ISNA(VLOOKUP(D335,'[2]stock-take'!$A:$E,3,FALSE)), 0, VLOOKUP(D335,'[2]stock-take'!$A:$E,3,FALSE))</f>
        <v>0</v>
      </c>
      <c r="I335" s="48" t="str">
        <f>IF(F335="", " ",IF(ISNA(VLOOKUP(D335,'[2]stock-take'!$G:$K,4,FALSE)), "OUT OF STOCK", VLOOKUP(D335,'[2]stock-take'!$G:$K,4,FALSE)))</f>
        <v xml:space="preserve"> </v>
      </c>
      <c r="J335" s="39">
        <f>IF(ISNA(VLOOKUP(D335,'[2]stock-take'!$G:$K,3,FALSE)), 0, VLOOKUP(D335,'[2]stock-take'!$G:$K,3,FALSE))</f>
        <v>0</v>
      </c>
      <c r="K335" s="49" t="str">
        <f>IF(F335="", " ", IF(ISNA(VLOOKUP(D335,'[2]stock-take'!$M:$Q,4,FALSE)), "OUT OF STOCK", VLOOKUP(D335,'[2]stock-take'!$M:$Q,4,FALSE)))</f>
        <v xml:space="preserve"> </v>
      </c>
      <c r="L335" s="47">
        <f>IF(ISNA(VLOOKUP(D335,'[2]stock-take'!$M:$Q,3,FALSE)), 0, VLOOKUP(D335,'[2]stock-take'!$M:$Q,3,FALSE))</f>
        <v>0</v>
      </c>
      <c r="M335" s="48" t="str">
        <f t="shared" si="16"/>
        <v xml:space="preserve"> </v>
      </c>
      <c r="N335" s="39" t="str">
        <f t="shared" si="17"/>
        <v xml:space="preserve"> </v>
      </c>
    </row>
    <row r="336" spans="1:14">
      <c r="A336" s="37">
        <f t="shared" si="15"/>
        <v>325</v>
      </c>
      <c r="G336" s="48" t="str">
        <f>IF(F336=""," ",IF(ISNA(VLOOKUP(D336,'[2]stock-take'!$A:$E,4,FALSE)), "OUT OF STOCK", VLOOKUP(D336,'[2]stock-take'!$A:$E,4,FALSE)))</f>
        <v xml:space="preserve"> </v>
      </c>
      <c r="H336" s="48">
        <f>IF(ISNA(VLOOKUP(D336,'[2]stock-take'!$A:$E,3,FALSE)), 0, VLOOKUP(D336,'[2]stock-take'!$A:$E,3,FALSE))</f>
        <v>0</v>
      </c>
      <c r="I336" s="48" t="str">
        <f>IF(F336="", " ",IF(ISNA(VLOOKUP(D336,'[2]stock-take'!$G:$K,4,FALSE)), "OUT OF STOCK", VLOOKUP(D336,'[2]stock-take'!$G:$K,4,FALSE)))</f>
        <v xml:space="preserve"> </v>
      </c>
      <c r="J336" s="39">
        <f>IF(ISNA(VLOOKUP(D336,'[2]stock-take'!$G:$K,3,FALSE)), 0, VLOOKUP(D336,'[2]stock-take'!$G:$K,3,FALSE))</f>
        <v>0</v>
      </c>
      <c r="K336" s="49" t="str">
        <f>IF(F336="", " ", IF(ISNA(VLOOKUP(D336,'[2]stock-take'!$M:$Q,4,FALSE)), "OUT OF STOCK", VLOOKUP(D336,'[2]stock-take'!$M:$Q,4,FALSE)))</f>
        <v xml:space="preserve"> </v>
      </c>
      <c r="L336" s="47">
        <f>IF(ISNA(VLOOKUP(D336,'[2]stock-take'!$M:$Q,3,FALSE)), 0, VLOOKUP(D336,'[2]stock-take'!$M:$Q,3,FALSE))</f>
        <v>0</v>
      </c>
      <c r="M336" s="48" t="str">
        <f t="shared" si="16"/>
        <v xml:space="preserve"> </v>
      </c>
      <c r="N336" s="39" t="str">
        <f t="shared" si="17"/>
        <v xml:space="preserve"> </v>
      </c>
    </row>
    <row r="337" spans="1:14">
      <c r="A337" s="37">
        <f t="shared" si="15"/>
        <v>326</v>
      </c>
      <c r="G337" s="48" t="str">
        <f>IF(F337=""," ",IF(ISNA(VLOOKUP(D337,'[2]stock-take'!$A:$E,4,FALSE)), "OUT OF STOCK", VLOOKUP(D337,'[2]stock-take'!$A:$E,4,FALSE)))</f>
        <v xml:space="preserve"> </v>
      </c>
      <c r="H337" s="48">
        <f>IF(ISNA(VLOOKUP(D337,'[2]stock-take'!$A:$E,3,FALSE)), 0, VLOOKUP(D337,'[2]stock-take'!$A:$E,3,FALSE))</f>
        <v>0</v>
      </c>
      <c r="I337" s="48" t="str">
        <f>IF(F337="", " ",IF(ISNA(VLOOKUP(D337,'[2]stock-take'!$G:$K,4,FALSE)), "OUT OF STOCK", VLOOKUP(D337,'[2]stock-take'!$G:$K,4,FALSE)))</f>
        <v xml:space="preserve"> </v>
      </c>
      <c r="J337" s="39">
        <f>IF(ISNA(VLOOKUP(D337,'[2]stock-take'!$G:$K,3,FALSE)), 0, VLOOKUP(D337,'[2]stock-take'!$G:$K,3,FALSE))</f>
        <v>0</v>
      </c>
      <c r="K337" s="49" t="str">
        <f>IF(F337="", " ", IF(ISNA(VLOOKUP(D337,'[2]stock-take'!$M:$Q,4,FALSE)), "OUT OF STOCK", VLOOKUP(D337,'[2]stock-take'!$M:$Q,4,FALSE)))</f>
        <v xml:space="preserve"> </v>
      </c>
      <c r="L337" s="47">
        <f>IF(ISNA(VLOOKUP(D337,'[2]stock-take'!$M:$Q,3,FALSE)), 0, VLOOKUP(D337,'[2]stock-take'!$M:$Q,3,FALSE))</f>
        <v>0</v>
      </c>
      <c r="M337" s="48" t="str">
        <f t="shared" si="16"/>
        <v xml:space="preserve"> </v>
      </c>
      <c r="N337" s="39" t="str">
        <f t="shared" si="17"/>
        <v xml:space="preserve"> </v>
      </c>
    </row>
    <row r="338" spans="1:14">
      <c r="A338" s="37">
        <f t="shared" si="15"/>
        <v>327</v>
      </c>
      <c r="G338" s="48" t="str">
        <f>IF(F338=""," ",IF(ISNA(VLOOKUP(D338,'[2]stock-take'!$A:$E,4,FALSE)), "OUT OF STOCK", VLOOKUP(D338,'[2]stock-take'!$A:$E,4,FALSE)))</f>
        <v xml:space="preserve"> </v>
      </c>
      <c r="H338" s="48">
        <f>IF(ISNA(VLOOKUP(D338,'[2]stock-take'!$A:$E,3,FALSE)), 0, VLOOKUP(D338,'[2]stock-take'!$A:$E,3,FALSE))</f>
        <v>0</v>
      </c>
      <c r="I338" s="48" t="str">
        <f>IF(F338="", " ",IF(ISNA(VLOOKUP(D338,'[2]stock-take'!$G:$K,4,FALSE)), "OUT OF STOCK", VLOOKUP(D338,'[2]stock-take'!$G:$K,4,FALSE)))</f>
        <v xml:space="preserve"> </v>
      </c>
      <c r="J338" s="39">
        <f>IF(ISNA(VLOOKUP(D338,'[2]stock-take'!$G:$K,3,FALSE)), 0, VLOOKUP(D338,'[2]stock-take'!$G:$K,3,FALSE))</f>
        <v>0</v>
      </c>
      <c r="K338" s="49" t="str">
        <f>IF(F338="", " ", IF(ISNA(VLOOKUP(D338,'[2]stock-take'!$M:$Q,4,FALSE)), "OUT OF STOCK", VLOOKUP(D338,'[2]stock-take'!$M:$Q,4,FALSE)))</f>
        <v xml:space="preserve"> </v>
      </c>
      <c r="L338" s="47">
        <f>IF(ISNA(VLOOKUP(D338,'[2]stock-take'!$M:$Q,3,FALSE)), 0, VLOOKUP(D338,'[2]stock-take'!$M:$Q,3,FALSE))</f>
        <v>0</v>
      </c>
      <c r="M338" s="48" t="str">
        <f t="shared" si="16"/>
        <v xml:space="preserve"> </v>
      </c>
      <c r="N338" s="39" t="str">
        <f t="shared" si="17"/>
        <v xml:space="preserve"> </v>
      </c>
    </row>
    <row r="339" spans="1:14">
      <c r="A339" s="37">
        <f t="shared" si="15"/>
        <v>328</v>
      </c>
      <c r="G339" s="48" t="str">
        <f>IF(F339=""," ",IF(ISNA(VLOOKUP(D339,'[2]stock-take'!$A:$E,4,FALSE)), "OUT OF STOCK", VLOOKUP(D339,'[2]stock-take'!$A:$E,4,FALSE)))</f>
        <v xml:space="preserve"> </v>
      </c>
      <c r="H339" s="48">
        <f>IF(ISNA(VLOOKUP(D339,'[2]stock-take'!$A:$E,3,FALSE)), 0, VLOOKUP(D339,'[2]stock-take'!$A:$E,3,FALSE))</f>
        <v>0</v>
      </c>
      <c r="I339" s="48" t="str">
        <f>IF(F339="", " ",IF(ISNA(VLOOKUP(D339,'[2]stock-take'!$G:$K,4,FALSE)), "OUT OF STOCK", VLOOKUP(D339,'[2]stock-take'!$G:$K,4,FALSE)))</f>
        <v xml:space="preserve"> </v>
      </c>
      <c r="J339" s="39">
        <f>IF(ISNA(VLOOKUP(D339,'[2]stock-take'!$G:$K,3,FALSE)), 0, VLOOKUP(D339,'[2]stock-take'!$G:$K,3,FALSE))</f>
        <v>0</v>
      </c>
      <c r="K339" s="49" t="str">
        <f>IF(F339="", " ", IF(ISNA(VLOOKUP(D339,'[2]stock-take'!$M:$Q,4,FALSE)), "OUT OF STOCK", VLOOKUP(D339,'[2]stock-take'!$M:$Q,4,FALSE)))</f>
        <v xml:space="preserve"> </v>
      </c>
      <c r="L339" s="47">
        <f>IF(ISNA(VLOOKUP(D339,'[2]stock-take'!$M:$Q,3,FALSE)), 0, VLOOKUP(D339,'[2]stock-take'!$M:$Q,3,FALSE))</f>
        <v>0</v>
      </c>
      <c r="M339" s="48" t="str">
        <f t="shared" si="16"/>
        <v xml:space="preserve"> </v>
      </c>
      <c r="N339" s="39" t="str">
        <f t="shared" si="17"/>
        <v xml:space="preserve"> </v>
      </c>
    </row>
    <row r="340" spans="1:14">
      <c r="A340" s="37">
        <f t="shared" si="15"/>
        <v>329</v>
      </c>
      <c r="G340" s="48" t="str">
        <f>IF(F340=""," ",IF(ISNA(VLOOKUP(D340,'[2]stock-take'!$A:$E,4,FALSE)), "OUT OF STOCK", VLOOKUP(D340,'[2]stock-take'!$A:$E,4,FALSE)))</f>
        <v xml:space="preserve"> </v>
      </c>
      <c r="H340" s="48">
        <f>IF(ISNA(VLOOKUP(D340,'[2]stock-take'!$A:$E,3,FALSE)), 0, VLOOKUP(D340,'[2]stock-take'!$A:$E,3,FALSE))</f>
        <v>0</v>
      </c>
      <c r="I340" s="48" t="str">
        <f>IF(F340="", " ",IF(ISNA(VLOOKUP(D340,'[2]stock-take'!$G:$K,4,FALSE)), "OUT OF STOCK", VLOOKUP(D340,'[2]stock-take'!$G:$K,4,FALSE)))</f>
        <v xml:space="preserve"> </v>
      </c>
      <c r="J340" s="39">
        <f>IF(ISNA(VLOOKUP(D340,'[2]stock-take'!$G:$K,3,FALSE)), 0, VLOOKUP(D340,'[2]stock-take'!$G:$K,3,FALSE))</f>
        <v>0</v>
      </c>
      <c r="K340" s="49" t="str">
        <f>IF(F340="", " ", IF(ISNA(VLOOKUP(D340,'[2]stock-take'!$M:$Q,4,FALSE)), "OUT OF STOCK", VLOOKUP(D340,'[2]stock-take'!$M:$Q,4,FALSE)))</f>
        <v xml:space="preserve"> </v>
      </c>
      <c r="L340" s="47">
        <f>IF(ISNA(VLOOKUP(D340,'[2]stock-take'!$M:$Q,3,FALSE)), 0, VLOOKUP(D340,'[2]stock-take'!$M:$Q,3,FALSE))</f>
        <v>0</v>
      </c>
      <c r="M340" s="48" t="str">
        <f t="shared" si="16"/>
        <v xml:space="preserve"> </v>
      </c>
      <c r="N340" s="39" t="str">
        <f t="shared" si="17"/>
        <v xml:space="preserve"> </v>
      </c>
    </row>
    <row r="341" spans="1:14">
      <c r="A341" s="37">
        <f t="shared" si="15"/>
        <v>330</v>
      </c>
      <c r="G341" s="48" t="str">
        <f>IF(F341=""," ",IF(ISNA(VLOOKUP(D341,'[2]stock-take'!$A:$E,4,FALSE)), "OUT OF STOCK", VLOOKUP(D341,'[2]stock-take'!$A:$E,4,FALSE)))</f>
        <v xml:space="preserve"> </v>
      </c>
      <c r="H341" s="48">
        <f>IF(ISNA(VLOOKUP(D341,'[2]stock-take'!$A:$E,3,FALSE)), 0, VLOOKUP(D341,'[2]stock-take'!$A:$E,3,FALSE))</f>
        <v>0</v>
      </c>
      <c r="I341" s="48" t="str">
        <f>IF(F341="", " ",IF(ISNA(VLOOKUP(D341,'[2]stock-take'!$G:$K,4,FALSE)), "OUT OF STOCK", VLOOKUP(D341,'[2]stock-take'!$G:$K,4,FALSE)))</f>
        <v xml:space="preserve"> </v>
      </c>
      <c r="J341" s="39">
        <f>IF(ISNA(VLOOKUP(D341,'[2]stock-take'!$G:$K,3,FALSE)), 0, VLOOKUP(D341,'[2]stock-take'!$G:$K,3,FALSE))</f>
        <v>0</v>
      </c>
      <c r="K341" s="49" t="str">
        <f>IF(F341="", " ", IF(ISNA(VLOOKUP(D341,'[2]stock-take'!$M:$Q,4,FALSE)), "OUT OF STOCK", VLOOKUP(D341,'[2]stock-take'!$M:$Q,4,FALSE)))</f>
        <v xml:space="preserve"> </v>
      </c>
      <c r="L341" s="47">
        <f>IF(ISNA(VLOOKUP(D341,'[2]stock-take'!$M:$Q,3,FALSE)), 0, VLOOKUP(D341,'[2]stock-take'!$M:$Q,3,FALSE))</f>
        <v>0</v>
      </c>
      <c r="M341" s="48" t="str">
        <f t="shared" si="16"/>
        <v xml:space="preserve"> </v>
      </c>
      <c r="N341" s="39" t="str">
        <f t="shared" si="17"/>
        <v xml:space="preserve"> </v>
      </c>
    </row>
    <row r="342" spans="1:14">
      <c r="A342" s="37">
        <f t="shared" si="15"/>
        <v>331</v>
      </c>
      <c r="G342" s="48" t="str">
        <f>IF(F342=""," ",IF(ISNA(VLOOKUP(D342,'[2]stock-take'!$A:$E,4,FALSE)), "OUT OF STOCK", VLOOKUP(D342,'[2]stock-take'!$A:$E,4,FALSE)))</f>
        <v xml:space="preserve"> </v>
      </c>
      <c r="H342" s="48">
        <f>IF(ISNA(VLOOKUP(D342,'[2]stock-take'!$A:$E,3,FALSE)), 0, VLOOKUP(D342,'[2]stock-take'!$A:$E,3,FALSE))</f>
        <v>0</v>
      </c>
      <c r="I342" s="48" t="str">
        <f>IF(F342="", " ",IF(ISNA(VLOOKUP(D342,'[2]stock-take'!$G:$K,4,FALSE)), "OUT OF STOCK", VLOOKUP(D342,'[2]stock-take'!$G:$K,4,FALSE)))</f>
        <v xml:space="preserve"> </v>
      </c>
      <c r="J342" s="39">
        <f>IF(ISNA(VLOOKUP(D342,'[2]stock-take'!$G:$K,3,FALSE)), 0, VLOOKUP(D342,'[2]stock-take'!$G:$K,3,FALSE))</f>
        <v>0</v>
      </c>
      <c r="K342" s="49" t="str">
        <f>IF(F342="", " ", IF(ISNA(VLOOKUP(D342,'[2]stock-take'!$M:$Q,4,FALSE)), "OUT OF STOCK", VLOOKUP(D342,'[2]stock-take'!$M:$Q,4,FALSE)))</f>
        <v xml:space="preserve"> </v>
      </c>
      <c r="L342" s="47">
        <f>IF(ISNA(VLOOKUP(D342,'[2]stock-take'!$M:$Q,3,FALSE)), 0, VLOOKUP(D342,'[2]stock-take'!$M:$Q,3,FALSE))</f>
        <v>0</v>
      </c>
      <c r="M342" s="48" t="str">
        <f t="shared" si="16"/>
        <v xml:space="preserve"> </v>
      </c>
      <c r="N342" s="39" t="str">
        <f t="shared" si="17"/>
        <v xml:space="preserve"> </v>
      </c>
    </row>
    <row r="343" spans="1:14">
      <c r="A343" s="37">
        <f t="shared" si="15"/>
        <v>332</v>
      </c>
      <c r="G343" s="48" t="str">
        <f>IF(F343=""," ",IF(ISNA(VLOOKUP(D343,'[2]stock-take'!$A:$E,4,FALSE)), "OUT OF STOCK", VLOOKUP(D343,'[2]stock-take'!$A:$E,4,FALSE)))</f>
        <v xml:space="preserve"> </v>
      </c>
      <c r="H343" s="48">
        <f>IF(ISNA(VLOOKUP(D343,'[2]stock-take'!$A:$E,3,FALSE)), 0, VLOOKUP(D343,'[2]stock-take'!$A:$E,3,FALSE))</f>
        <v>0</v>
      </c>
      <c r="I343" s="48" t="str">
        <f>IF(F343="", " ",IF(ISNA(VLOOKUP(D343,'[2]stock-take'!$G:$K,4,FALSE)), "OUT OF STOCK", VLOOKUP(D343,'[2]stock-take'!$G:$K,4,FALSE)))</f>
        <v xml:space="preserve"> </v>
      </c>
      <c r="J343" s="39">
        <f>IF(ISNA(VLOOKUP(D343,'[2]stock-take'!$G:$K,3,FALSE)), 0, VLOOKUP(D343,'[2]stock-take'!$G:$K,3,FALSE))</f>
        <v>0</v>
      </c>
      <c r="K343" s="49" t="str">
        <f>IF(F343="", " ", IF(ISNA(VLOOKUP(D343,'[2]stock-take'!$M:$Q,4,FALSE)), "OUT OF STOCK", VLOOKUP(D343,'[2]stock-take'!$M:$Q,4,FALSE)))</f>
        <v xml:space="preserve"> </v>
      </c>
      <c r="L343" s="47">
        <f>IF(ISNA(VLOOKUP(D343,'[2]stock-take'!$M:$Q,3,FALSE)), 0, VLOOKUP(D343,'[2]stock-take'!$M:$Q,3,FALSE))</f>
        <v>0</v>
      </c>
      <c r="M343" s="48" t="str">
        <f t="shared" si="16"/>
        <v xml:space="preserve"> </v>
      </c>
      <c r="N343" s="39" t="str">
        <f t="shared" si="17"/>
        <v xml:space="preserve"> </v>
      </c>
    </row>
    <row r="344" spans="1:14">
      <c r="A344" s="37">
        <f t="shared" si="15"/>
        <v>333</v>
      </c>
      <c r="G344" s="48" t="str">
        <f>IF(F344=""," ",IF(ISNA(VLOOKUP(D344,'[2]stock-take'!$A:$E,4,FALSE)), "OUT OF STOCK", VLOOKUP(D344,'[2]stock-take'!$A:$E,4,FALSE)))</f>
        <v xml:space="preserve"> </v>
      </c>
      <c r="H344" s="48">
        <f>IF(ISNA(VLOOKUP(D344,'[2]stock-take'!$A:$E,3,FALSE)), 0, VLOOKUP(D344,'[2]stock-take'!$A:$E,3,FALSE))</f>
        <v>0</v>
      </c>
      <c r="I344" s="48" t="str">
        <f>IF(F344="", " ",IF(ISNA(VLOOKUP(D344,'[2]stock-take'!$G:$K,4,FALSE)), "OUT OF STOCK", VLOOKUP(D344,'[2]stock-take'!$G:$K,4,FALSE)))</f>
        <v xml:space="preserve"> </v>
      </c>
      <c r="J344" s="39">
        <f>IF(ISNA(VLOOKUP(D344,'[2]stock-take'!$G:$K,3,FALSE)), 0, VLOOKUP(D344,'[2]stock-take'!$G:$K,3,FALSE))</f>
        <v>0</v>
      </c>
      <c r="K344" s="49" t="str">
        <f>IF(F344="", " ", IF(ISNA(VLOOKUP(D344,'[2]stock-take'!$M:$Q,4,FALSE)), "OUT OF STOCK", VLOOKUP(D344,'[2]stock-take'!$M:$Q,4,FALSE)))</f>
        <v xml:space="preserve"> </v>
      </c>
      <c r="L344" s="47">
        <f>IF(ISNA(VLOOKUP(D344,'[2]stock-take'!$M:$Q,3,FALSE)), 0, VLOOKUP(D344,'[2]stock-take'!$M:$Q,3,FALSE))</f>
        <v>0</v>
      </c>
      <c r="M344" s="48" t="str">
        <f t="shared" si="16"/>
        <v xml:space="preserve"> </v>
      </c>
      <c r="N344" s="39" t="str">
        <f t="shared" si="17"/>
        <v xml:space="preserve"> </v>
      </c>
    </row>
    <row r="345" spans="1:14">
      <c r="A345" s="37">
        <f t="shared" si="15"/>
        <v>334</v>
      </c>
      <c r="G345" s="48" t="str">
        <f>IF(F345=""," ",IF(ISNA(VLOOKUP(D345,'[2]stock-take'!$A:$E,4,FALSE)), "OUT OF STOCK", VLOOKUP(D345,'[2]stock-take'!$A:$E,4,FALSE)))</f>
        <v xml:space="preserve"> </v>
      </c>
      <c r="H345" s="48">
        <f>IF(ISNA(VLOOKUP(D345,'[2]stock-take'!$A:$E,3,FALSE)), 0, VLOOKUP(D345,'[2]stock-take'!$A:$E,3,FALSE))</f>
        <v>0</v>
      </c>
      <c r="I345" s="48" t="str">
        <f>IF(F345="", " ",IF(ISNA(VLOOKUP(D345,'[2]stock-take'!$G:$K,4,FALSE)), "OUT OF STOCK", VLOOKUP(D345,'[2]stock-take'!$G:$K,4,FALSE)))</f>
        <v xml:space="preserve"> </v>
      </c>
      <c r="J345" s="39">
        <f>IF(ISNA(VLOOKUP(D345,'[2]stock-take'!$G:$K,3,FALSE)), 0, VLOOKUP(D345,'[2]stock-take'!$G:$K,3,FALSE))</f>
        <v>0</v>
      </c>
      <c r="K345" s="49" t="str">
        <f>IF(F345="", " ", IF(ISNA(VLOOKUP(D345,'[2]stock-take'!$M:$Q,4,FALSE)), "OUT OF STOCK", VLOOKUP(D345,'[2]stock-take'!$M:$Q,4,FALSE)))</f>
        <v xml:space="preserve"> </v>
      </c>
      <c r="L345" s="47">
        <f>IF(ISNA(VLOOKUP(D345,'[2]stock-take'!$M:$Q,3,FALSE)), 0, VLOOKUP(D345,'[2]stock-take'!$M:$Q,3,FALSE))</f>
        <v>0</v>
      </c>
      <c r="M345" s="48" t="str">
        <f t="shared" si="16"/>
        <v xml:space="preserve"> </v>
      </c>
      <c r="N345" s="39" t="str">
        <f t="shared" si="17"/>
        <v xml:space="preserve"> </v>
      </c>
    </row>
    <row r="346" spans="1:14">
      <c r="A346" s="37">
        <f t="shared" si="15"/>
        <v>335</v>
      </c>
      <c r="G346" s="48" t="str">
        <f>IF(F346=""," ",IF(ISNA(VLOOKUP(D346,'[2]stock-take'!$A:$E,4,FALSE)), "OUT OF STOCK", VLOOKUP(D346,'[2]stock-take'!$A:$E,4,FALSE)))</f>
        <v xml:space="preserve"> </v>
      </c>
      <c r="H346" s="48">
        <f>IF(ISNA(VLOOKUP(D346,'[2]stock-take'!$A:$E,3,FALSE)), 0, VLOOKUP(D346,'[2]stock-take'!$A:$E,3,FALSE))</f>
        <v>0</v>
      </c>
      <c r="I346" s="48" t="str">
        <f>IF(F346="", " ",IF(ISNA(VLOOKUP(D346,'[2]stock-take'!$G:$K,4,FALSE)), "OUT OF STOCK", VLOOKUP(D346,'[2]stock-take'!$G:$K,4,FALSE)))</f>
        <v xml:space="preserve"> </v>
      </c>
      <c r="J346" s="39">
        <f>IF(ISNA(VLOOKUP(D346,'[2]stock-take'!$G:$K,3,FALSE)), 0, VLOOKUP(D346,'[2]stock-take'!$G:$K,3,FALSE))</f>
        <v>0</v>
      </c>
      <c r="K346" s="49" t="str">
        <f>IF(F346="", " ", IF(ISNA(VLOOKUP(D346,'[2]stock-take'!$M:$Q,4,FALSE)), "OUT OF STOCK", VLOOKUP(D346,'[2]stock-take'!$M:$Q,4,FALSE)))</f>
        <v xml:space="preserve"> </v>
      </c>
      <c r="L346" s="47">
        <f>IF(ISNA(VLOOKUP(D346,'[2]stock-take'!$M:$Q,3,FALSE)), 0, VLOOKUP(D346,'[2]stock-take'!$M:$Q,3,FALSE))</f>
        <v>0</v>
      </c>
      <c r="M346" s="48" t="str">
        <f t="shared" si="16"/>
        <v xml:space="preserve"> </v>
      </c>
      <c r="N346" s="39" t="str">
        <f t="shared" si="17"/>
        <v xml:space="preserve"> </v>
      </c>
    </row>
    <row r="347" spans="1:14">
      <c r="A347" s="37">
        <f t="shared" si="15"/>
        <v>336</v>
      </c>
      <c r="G347" s="48" t="str">
        <f>IF(F347=""," ",IF(ISNA(VLOOKUP(D347,'[2]stock-take'!$A:$E,4,FALSE)), "OUT OF STOCK", VLOOKUP(D347,'[2]stock-take'!$A:$E,4,FALSE)))</f>
        <v xml:space="preserve"> </v>
      </c>
      <c r="H347" s="48">
        <f>IF(ISNA(VLOOKUP(D347,'[2]stock-take'!$A:$E,3,FALSE)), 0, VLOOKUP(D347,'[2]stock-take'!$A:$E,3,FALSE))</f>
        <v>0</v>
      </c>
      <c r="I347" s="48" t="str">
        <f>IF(F347="", " ",IF(ISNA(VLOOKUP(D347,'[2]stock-take'!$G:$K,4,FALSE)), "OUT OF STOCK", VLOOKUP(D347,'[2]stock-take'!$G:$K,4,FALSE)))</f>
        <v xml:space="preserve"> </v>
      </c>
      <c r="J347" s="39">
        <f>IF(ISNA(VLOOKUP(D347,'[2]stock-take'!$G:$K,3,FALSE)), 0, VLOOKUP(D347,'[2]stock-take'!$G:$K,3,FALSE))</f>
        <v>0</v>
      </c>
      <c r="K347" s="49" t="str">
        <f>IF(F347="", " ", IF(ISNA(VLOOKUP(D347,'[2]stock-take'!$M:$Q,4,FALSE)), "OUT OF STOCK", VLOOKUP(D347,'[2]stock-take'!$M:$Q,4,FALSE)))</f>
        <v xml:space="preserve"> </v>
      </c>
      <c r="L347" s="47">
        <f>IF(ISNA(VLOOKUP(D347,'[2]stock-take'!$M:$Q,3,FALSE)), 0, VLOOKUP(D347,'[2]stock-take'!$M:$Q,3,FALSE))</f>
        <v>0</v>
      </c>
      <c r="M347" s="48" t="str">
        <f t="shared" si="16"/>
        <v xml:space="preserve"> </v>
      </c>
      <c r="N347" s="39" t="str">
        <f t="shared" si="17"/>
        <v xml:space="preserve"> </v>
      </c>
    </row>
    <row r="348" spans="1:14">
      <c r="A348" s="37">
        <f t="shared" si="15"/>
        <v>337</v>
      </c>
      <c r="G348" s="48" t="str">
        <f>IF(F348=""," ",IF(ISNA(VLOOKUP(D348,'[2]stock-take'!$A:$E,4,FALSE)), "OUT OF STOCK", VLOOKUP(D348,'[2]stock-take'!$A:$E,4,FALSE)))</f>
        <v xml:space="preserve"> </v>
      </c>
      <c r="H348" s="48">
        <f>IF(ISNA(VLOOKUP(D348,'[2]stock-take'!$A:$E,3,FALSE)), 0, VLOOKUP(D348,'[2]stock-take'!$A:$E,3,FALSE))</f>
        <v>0</v>
      </c>
      <c r="I348" s="48" t="str">
        <f>IF(F348="", " ",IF(ISNA(VLOOKUP(D348,'[2]stock-take'!$G:$K,4,FALSE)), "OUT OF STOCK", VLOOKUP(D348,'[2]stock-take'!$G:$K,4,FALSE)))</f>
        <v xml:space="preserve"> </v>
      </c>
      <c r="J348" s="39">
        <f>IF(ISNA(VLOOKUP(D348,'[2]stock-take'!$G:$K,3,FALSE)), 0, VLOOKUP(D348,'[2]stock-take'!$G:$K,3,FALSE))</f>
        <v>0</v>
      </c>
      <c r="K348" s="49" t="str">
        <f>IF(F348="", " ", IF(ISNA(VLOOKUP(D348,'[2]stock-take'!$M:$Q,4,FALSE)), "OUT OF STOCK", VLOOKUP(D348,'[2]stock-take'!$M:$Q,4,FALSE)))</f>
        <v xml:space="preserve"> </v>
      </c>
      <c r="L348" s="47">
        <f>IF(ISNA(VLOOKUP(D348,'[2]stock-take'!$M:$Q,3,FALSE)), 0, VLOOKUP(D348,'[2]stock-take'!$M:$Q,3,FALSE))</f>
        <v>0</v>
      </c>
      <c r="M348" s="48" t="str">
        <f t="shared" si="16"/>
        <v xml:space="preserve"> </v>
      </c>
      <c r="N348" s="39" t="str">
        <f t="shared" si="17"/>
        <v xml:space="preserve"> </v>
      </c>
    </row>
    <row r="349" spans="1:14">
      <c r="A349" s="37">
        <f t="shared" si="15"/>
        <v>338</v>
      </c>
      <c r="G349" s="48" t="str">
        <f>IF(F349=""," ",IF(ISNA(VLOOKUP(D349,'[2]stock-take'!$A:$E,4,FALSE)), "OUT OF STOCK", VLOOKUP(D349,'[2]stock-take'!$A:$E,4,FALSE)))</f>
        <v xml:space="preserve"> </v>
      </c>
      <c r="H349" s="48">
        <f>IF(ISNA(VLOOKUP(D349,'[2]stock-take'!$A:$E,3,FALSE)), 0, VLOOKUP(D349,'[2]stock-take'!$A:$E,3,FALSE))</f>
        <v>0</v>
      </c>
      <c r="I349" s="48" t="str">
        <f>IF(F349="", " ",IF(ISNA(VLOOKUP(D349,'[2]stock-take'!$G:$K,4,FALSE)), "OUT OF STOCK", VLOOKUP(D349,'[2]stock-take'!$G:$K,4,FALSE)))</f>
        <v xml:space="preserve"> </v>
      </c>
      <c r="J349" s="39">
        <f>IF(ISNA(VLOOKUP(D349,'[2]stock-take'!$G:$K,3,FALSE)), 0, VLOOKUP(D349,'[2]stock-take'!$G:$K,3,FALSE))</f>
        <v>0</v>
      </c>
      <c r="K349" s="49" t="str">
        <f>IF(F349="", " ", IF(ISNA(VLOOKUP(D349,'[2]stock-take'!$M:$Q,4,FALSE)), "OUT OF STOCK", VLOOKUP(D349,'[2]stock-take'!$M:$Q,4,FALSE)))</f>
        <v xml:space="preserve"> </v>
      </c>
      <c r="L349" s="47">
        <f>IF(ISNA(VLOOKUP(D349,'[2]stock-take'!$M:$Q,3,FALSE)), 0, VLOOKUP(D349,'[2]stock-take'!$M:$Q,3,FALSE))</f>
        <v>0</v>
      </c>
      <c r="M349" s="48" t="str">
        <f t="shared" si="16"/>
        <v xml:space="preserve"> </v>
      </c>
      <c r="N349" s="39" t="str">
        <f t="shared" si="17"/>
        <v xml:space="preserve"> </v>
      </c>
    </row>
    <row r="350" spans="1:14">
      <c r="A350" s="37">
        <f t="shared" si="15"/>
        <v>339</v>
      </c>
      <c r="G350" s="48" t="str">
        <f>IF(F350=""," ",IF(ISNA(VLOOKUP(D350,'[2]stock-take'!$A:$E,4,FALSE)), "OUT OF STOCK", VLOOKUP(D350,'[2]stock-take'!$A:$E,4,FALSE)))</f>
        <v xml:space="preserve"> </v>
      </c>
      <c r="H350" s="48">
        <f>IF(ISNA(VLOOKUP(D350,'[2]stock-take'!$A:$E,3,FALSE)), 0, VLOOKUP(D350,'[2]stock-take'!$A:$E,3,FALSE))</f>
        <v>0</v>
      </c>
      <c r="I350" s="48" t="str">
        <f>IF(F350="", " ",IF(ISNA(VLOOKUP(D350,'[2]stock-take'!$G:$K,4,FALSE)), "OUT OF STOCK", VLOOKUP(D350,'[2]stock-take'!$G:$K,4,FALSE)))</f>
        <v xml:space="preserve"> </v>
      </c>
      <c r="J350" s="39">
        <f>IF(ISNA(VLOOKUP(D350,'[2]stock-take'!$G:$K,3,FALSE)), 0, VLOOKUP(D350,'[2]stock-take'!$G:$K,3,FALSE))</f>
        <v>0</v>
      </c>
      <c r="K350" s="49" t="str">
        <f>IF(F350="", " ", IF(ISNA(VLOOKUP(D350,'[2]stock-take'!$M:$Q,4,FALSE)), "OUT OF STOCK", VLOOKUP(D350,'[2]stock-take'!$M:$Q,4,FALSE)))</f>
        <v xml:space="preserve"> </v>
      </c>
      <c r="L350" s="47">
        <f>IF(ISNA(VLOOKUP(D350,'[2]stock-take'!$M:$Q,3,FALSE)), 0, VLOOKUP(D350,'[2]stock-take'!$M:$Q,3,FALSE))</f>
        <v>0</v>
      </c>
      <c r="M350" s="48" t="str">
        <f t="shared" si="16"/>
        <v xml:space="preserve"> </v>
      </c>
      <c r="N350" s="39" t="str">
        <f t="shared" si="17"/>
        <v xml:space="preserve"> </v>
      </c>
    </row>
    <row r="351" spans="1:14">
      <c r="A351" s="37">
        <f t="shared" si="15"/>
        <v>340</v>
      </c>
      <c r="G351" s="48" t="str">
        <f>IF(F351=""," ",IF(ISNA(VLOOKUP(D351,'[2]stock-take'!$A:$E,4,FALSE)), "OUT OF STOCK", VLOOKUP(D351,'[2]stock-take'!$A:$E,4,FALSE)))</f>
        <v xml:space="preserve"> </v>
      </c>
      <c r="H351" s="48">
        <f>IF(ISNA(VLOOKUP(D351,'[2]stock-take'!$A:$E,3,FALSE)), 0, VLOOKUP(D351,'[2]stock-take'!$A:$E,3,FALSE))</f>
        <v>0</v>
      </c>
      <c r="I351" s="48" t="str">
        <f>IF(F351="", " ",IF(ISNA(VLOOKUP(D351,'[2]stock-take'!$G:$K,4,FALSE)), "OUT OF STOCK", VLOOKUP(D351,'[2]stock-take'!$G:$K,4,FALSE)))</f>
        <v xml:space="preserve"> </v>
      </c>
      <c r="J351" s="39">
        <f>IF(ISNA(VLOOKUP(D351,'[2]stock-take'!$G:$K,3,FALSE)), 0, VLOOKUP(D351,'[2]stock-take'!$G:$K,3,FALSE))</f>
        <v>0</v>
      </c>
      <c r="K351" s="49" t="str">
        <f>IF(F351="", " ", IF(ISNA(VLOOKUP(D351,'[2]stock-take'!$M:$Q,4,FALSE)), "OUT OF STOCK", VLOOKUP(D351,'[2]stock-take'!$M:$Q,4,FALSE)))</f>
        <v xml:space="preserve"> </v>
      </c>
      <c r="L351" s="47">
        <f>IF(ISNA(VLOOKUP(D351,'[2]stock-take'!$M:$Q,3,FALSE)), 0, VLOOKUP(D351,'[2]stock-take'!$M:$Q,3,FALSE))</f>
        <v>0</v>
      </c>
      <c r="M351" s="48" t="str">
        <f t="shared" si="16"/>
        <v xml:space="preserve"> </v>
      </c>
      <c r="N351" s="39" t="str">
        <f t="shared" si="17"/>
        <v xml:space="preserve"> </v>
      </c>
    </row>
    <row r="352" spans="1:14">
      <c r="A352" s="37">
        <f t="shared" si="15"/>
        <v>341</v>
      </c>
      <c r="G352" s="48" t="str">
        <f>IF(F352=""," ",IF(ISNA(VLOOKUP(D352,'[2]stock-take'!$A:$E,4,FALSE)), "OUT OF STOCK", VLOOKUP(D352,'[2]stock-take'!$A:$E,4,FALSE)))</f>
        <v xml:space="preserve"> </v>
      </c>
      <c r="H352" s="48">
        <f>IF(ISNA(VLOOKUP(D352,'[2]stock-take'!$A:$E,3,FALSE)), 0, VLOOKUP(D352,'[2]stock-take'!$A:$E,3,FALSE))</f>
        <v>0</v>
      </c>
      <c r="I352" s="48" t="str">
        <f>IF(F352="", " ",IF(ISNA(VLOOKUP(D352,'[2]stock-take'!$G:$K,4,FALSE)), "OUT OF STOCK", VLOOKUP(D352,'[2]stock-take'!$G:$K,4,FALSE)))</f>
        <v xml:space="preserve"> </v>
      </c>
      <c r="J352" s="39">
        <f>IF(ISNA(VLOOKUP(D352,'[2]stock-take'!$G:$K,3,FALSE)), 0, VLOOKUP(D352,'[2]stock-take'!$G:$K,3,FALSE))</f>
        <v>0</v>
      </c>
      <c r="K352" s="49" t="str">
        <f>IF(F352="", " ", IF(ISNA(VLOOKUP(D352,'[2]stock-take'!$M:$Q,4,FALSE)), "OUT OF STOCK", VLOOKUP(D352,'[2]stock-take'!$M:$Q,4,FALSE)))</f>
        <v xml:space="preserve"> </v>
      </c>
      <c r="L352" s="47">
        <f>IF(ISNA(VLOOKUP(D352,'[2]stock-take'!$M:$Q,3,FALSE)), 0, VLOOKUP(D352,'[2]stock-take'!$M:$Q,3,FALSE))</f>
        <v>0</v>
      </c>
      <c r="M352" s="48" t="str">
        <f t="shared" si="16"/>
        <v xml:space="preserve"> </v>
      </c>
      <c r="N352" s="39" t="str">
        <f t="shared" si="17"/>
        <v xml:space="preserve"> </v>
      </c>
    </row>
    <row r="353" spans="1:14">
      <c r="A353" s="37">
        <f t="shared" si="15"/>
        <v>342</v>
      </c>
      <c r="G353" s="48" t="str">
        <f>IF(F353=""," ",IF(ISNA(VLOOKUP(D353,'[2]stock-take'!$A:$E,4,FALSE)), "OUT OF STOCK", VLOOKUP(D353,'[2]stock-take'!$A:$E,4,FALSE)))</f>
        <v xml:space="preserve"> </v>
      </c>
      <c r="H353" s="48">
        <f>IF(ISNA(VLOOKUP(D353,'[2]stock-take'!$A:$E,3,FALSE)), 0, VLOOKUP(D353,'[2]stock-take'!$A:$E,3,FALSE))</f>
        <v>0</v>
      </c>
      <c r="I353" s="48" t="str">
        <f>IF(F353="", " ",IF(ISNA(VLOOKUP(D353,'[2]stock-take'!$G:$K,4,FALSE)), "OUT OF STOCK", VLOOKUP(D353,'[2]stock-take'!$G:$K,4,FALSE)))</f>
        <v xml:space="preserve"> </v>
      </c>
      <c r="J353" s="39">
        <f>IF(ISNA(VLOOKUP(D353,'[2]stock-take'!$G:$K,3,FALSE)), 0, VLOOKUP(D353,'[2]stock-take'!$G:$K,3,FALSE))</f>
        <v>0</v>
      </c>
      <c r="K353" s="49" t="str">
        <f>IF(F353="", " ", IF(ISNA(VLOOKUP(D353,'[2]stock-take'!$M:$Q,4,FALSE)), "OUT OF STOCK", VLOOKUP(D353,'[2]stock-take'!$M:$Q,4,FALSE)))</f>
        <v xml:space="preserve"> </v>
      </c>
      <c r="L353" s="47">
        <f>IF(ISNA(VLOOKUP(D353,'[2]stock-take'!$M:$Q,3,FALSE)), 0, VLOOKUP(D353,'[2]stock-take'!$M:$Q,3,FALSE))</f>
        <v>0</v>
      </c>
      <c r="M353" s="48" t="str">
        <f t="shared" si="16"/>
        <v xml:space="preserve"> </v>
      </c>
      <c r="N353" s="39" t="str">
        <f t="shared" si="17"/>
        <v xml:space="preserve"> </v>
      </c>
    </row>
    <row r="354" spans="1:14">
      <c r="A354" s="37">
        <f t="shared" si="15"/>
        <v>343</v>
      </c>
      <c r="G354" s="48" t="str">
        <f>IF(F354=""," ",IF(ISNA(VLOOKUP(D354,'[2]stock-take'!$A:$E,4,FALSE)), "OUT OF STOCK", VLOOKUP(D354,'[2]stock-take'!$A:$E,4,FALSE)))</f>
        <v xml:space="preserve"> </v>
      </c>
      <c r="H354" s="48">
        <f>IF(ISNA(VLOOKUP(D354,'[2]stock-take'!$A:$E,3,FALSE)), 0, VLOOKUP(D354,'[2]stock-take'!$A:$E,3,FALSE))</f>
        <v>0</v>
      </c>
      <c r="I354" s="48" t="str">
        <f>IF(F354="", " ",IF(ISNA(VLOOKUP(D354,'[2]stock-take'!$G:$K,4,FALSE)), "OUT OF STOCK", VLOOKUP(D354,'[2]stock-take'!$G:$K,4,FALSE)))</f>
        <v xml:space="preserve"> </v>
      </c>
      <c r="J354" s="39">
        <f>IF(ISNA(VLOOKUP(D354,'[2]stock-take'!$G:$K,3,FALSE)), 0, VLOOKUP(D354,'[2]stock-take'!$G:$K,3,FALSE))</f>
        <v>0</v>
      </c>
      <c r="K354" s="49" t="str">
        <f>IF(F354="", " ", IF(ISNA(VLOOKUP(D354,'[2]stock-take'!$M:$Q,4,FALSE)), "OUT OF STOCK", VLOOKUP(D354,'[2]stock-take'!$M:$Q,4,FALSE)))</f>
        <v xml:space="preserve"> </v>
      </c>
      <c r="L354" s="47">
        <f>IF(ISNA(VLOOKUP(D354,'[2]stock-take'!$M:$Q,3,FALSE)), 0, VLOOKUP(D354,'[2]stock-take'!$M:$Q,3,FALSE))</f>
        <v>0</v>
      </c>
      <c r="M354" s="48" t="str">
        <f t="shared" si="16"/>
        <v xml:space="preserve"> </v>
      </c>
      <c r="N354" s="39" t="str">
        <f t="shared" si="17"/>
        <v xml:space="preserve"> </v>
      </c>
    </row>
    <row r="355" spans="1:14">
      <c r="A355" s="37">
        <f t="shared" si="15"/>
        <v>344</v>
      </c>
      <c r="G355" s="48" t="str">
        <f>IF(F355=""," ",IF(ISNA(VLOOKUP(D355,'[2]stock-take'!$A:$E,4,FALSE)), "OUT OF STOCK", VLOOKUP(D355,'[2]stock-take'!$A:$E,4,FALSE)))</f>
        <v xml:space="preserve"> </v>
      </c>
      <c r="H355" s="48">
        <f>IF(ISNA(VLOOKUP(D355,'[2]stock-take'!$A:$E,3,FALSE)), 0, VLOOKUP(D355,'[2]stock-take'!$A:$E,3,FALSE))</f>
        <v>0</v>
      </c>
      <c r="I355" s="48" t="str">
        <f>IF(F355="", " ",IF(ISNA(VLOOKUP(D355,'[2]stock-take'!$G:$K,4,FALSE)), "OUT OF STOCK", VLOOKUP(D355,'[2]stock-take'!$G:$K,4,FALSE)))</f>
        <v xml:space="preserve"> </v>
      </c>
      <c r="J355" s="39">
        <f>IF(ISNA(VLOOKUP(D355,'[2]stock-take'!$G:$K,3,FALSE)), 0, VLOOKUP(D355,'[2]stock-take'!$G:$K,3,FALSE))</f>
        <v>0</v>
      </c>
      <c r="K355" s="49" t="str">
        <f>IF(F355="", " ", IF(ISNA(VLOOKUP(D355,'[2]stock-take'!$M:$Q,4,FALSE)), "OUT OF STOCK", VLOOKUP(D355,'[2]stock-take'!$M:$Q,4,FALSE)))</f>
        <v xml:space="preserve"> </v>
      </c>
      <c r="L355" s="47">
        <f>IF(ISNA(VLOOKUP(D355,'[2]stock-take'!$M:$Q,3,FALSE)), 0, VLOOKUP(D355,'[2]stock-take'!$M:$Q,3,FALSE))</f>
        <v>0</v>
      </c>
      <c r="M355" s="48" t="str">
        <f t="shared" si="16"/>
        <v xml:space="preserve"> </v>
      </c>
      <c r="N355" s="39" t="str">
        <f t="shared" si="17"/>
        <v xml:space="preserve"> </v>
      </c>
    </row>
    <row r="356" spans="1:14">
      <c r="A356" s="37">
        <f t="shared" si="15"/>
        <v>345</v>
      </c>
      <c r="G356" s="48" t="str">
        <f>IF(F356=""," ",IF(ISNA(VLOOKUP(D356,'[2]stock-take'!$A:$E,4,FALSE)), "OUT OF STOCK", VLOOKUP(D356,'[2]stock-take'!$A:$E,4,FALSE)))</f>
        <v xml:space="preserve"> </v>
      </c>
      <c r="H356" s="48">
        <f>IF(ISNA(VLOOKUP(D356,'[2]stock-take'!$A:$E,3,FALSE)), 0, VLOOKUP(D356,'[2]stock-take'!$A:$E,3,FALSE))</f>
        <v>0</v>
      </c>
      <c r="I356" s="48" t="str">
        <f>IF(F356="", " ",IF(ISNA(VLOOKUP(D356,'[2]stock-take'!$G:$K,4,FALSE)), "OUT OF STOCK", VLOOKUP(D356,'[2]stock-take'!$G:$K,4,FALSE)))</f>
        <v xml:space="preserve"> </v>
      </c>
      <c r="J356" s="39">
        <f>IF(ISNA(VLOOKUP(D356,'[2]stock-take'!$G:$K,3,FALSE)), 0, VLOOKUP(D356,'[2]stock-take'!$G:$K,3,FALSE))</f>
        <v>0</v>
      </c>
      <c r="K356" s="49" t="str">
        <f>IF(F356="", " ", IF(ISNA(VLOOKUP(D356,'[2]stock-take'!$M:$Q,4,FALSE)), "OUT OF STOCK", VLOOKUP(D356,'[2]stock-take'!$M:$Q,4,FALSE)))</f>
        <v xml:space="preserve"> </v>
      </c>
      <c r="L356" s="47">
        <f>IF(ISNA(VLOOKUP(D356,'[2]stock-take'!$M:$Q,3,FALSE)), 0, VLOOKUP(D356,'[2]stock-take'!$M:$Q,3,FALSE))</f>
        <v>0</v>
      </c>
      <c r="M356" s="48" t="str">
        <f t="shared" si="16"/>
        <v xml:space="preserve"> </v>
      </c>
      <c r="N356" s="39" t="str">
        <f t="shared" si="17"/>
        <v xml:space="preserve"> </v>
      </c>
    </row>
    <row r="357" spans="1:14">
      <c r="A357" s="37">
        <f t="shared" si="15"/>
        <v>346</v>
      </c>
      <c r="G357" s="48" t="str">
        <f>IF(F357=""," ",IF(ISNA(VLOOKUP(D357,'[2]stock-take'!$A:$E,4,FALSE)), "OUT OF STOCK", VLOOKUP(D357,'[2]stock-take'!$A:$E,4,FALSE)))</f>
        <v xml:space="preserve"> </v>
      </c>
      <c r="H357" s="48">
        <f>IF(ISNA(VLOOKUP(D357,'[2]stock-take'!$A:$E,3,FALSE)), 0, VLOOKUP(D357,'[2]stock-take'!$A:$E,3,FALSE))</f>
        <v>0</v>
      </c>
      <c r="I357" s="48" t="str">
        <f>IF(F357="", " ",IF(ISNA(VLOOKUP(D357,'[2]stock-take'!$G:$K,4,FALSE)), "OUT OF STOCK", VLOOKUP(D357,'[2]stock-take'!$G:$K,4,FALSE)))</f>
        <v xml:space="preserve"> </v>
      </c>
      <c r="J357" s="39">
        <f>IF(ISNA(VLOOKUP(D357,'[2]stock-take'!$G:$K,3,FALSE)), 0, VLOOKUP(D357,'[2]stock-take'!$G:$K,3,FALSE))</f>
        <v>0</v>
      </c>
      <c r="K357" s="49" t="str">
        <f>IF(F357="", " ", IF(ISNA(VLOOKUP(D357,'[2]stock-take'!$M:$Q,4,FALSE)), "OUT OF STOCK", VLOOKUP(D357,'[2]stock-take'!$M:$Q,4,FALSE)))</f>
        <v xml:space="preserve"> </v>
      </c>
      <c r="L357" s="47">
        <f>IF(ISNA(VLOOKUP(D357,'[2]stock-take'!$M:$Q,3,FALSE)), 0, VLOOKUP(D357,'[2]stock-take'!$M:$Q,3,FALSE))</f>
        <v>0</v>
      </c>
      <c r="M357" s="48" t="str">
        <f t="shared" si="16"/>
        <v xml:space="preserve"> </v>
      </c>
      <c r="N357" s="39" t="str">
        <f t="shared" si="17"/>
        <v xml:space="preserve"> </v>
      </c>
    </row>
    <row r="358" spans="1:14">
      <c r="A358" s="37">
        <f t="shared" si="15"/>
        <v>347</v>
      </c>
      <c r="G358" s="48" t="str">
        <f>IF(F358=""," ",IF(ISNA(VLOOKUP(D358,'[2]stock-take'!$A:$E,4,FALSE)), "OUT OF STOCK", VLOOKUP(D358,'[2]stock-take'!$A:$E,4,FALSE)))</f>
        <v xml:space="preserve"> </v>
      </c>
      <c r="H358" s="48">
        <f>IF(ISNA(VLOOKUP(D358,'[2]stock-take'!$A:$E,3,FALSE)), 0, VLOOKUP(D358,'[2]stock-take'!$A:$E,3,FALSE))</f>
        <v>0</v>
      </c>
      <c r="I358" s="48" t="str">
        <f>IF(F358="", " ",IF(ISNA(VLOOKUP(D358,'[2]stock-take'!$G:$K,4,FALSE)), "OUT OF STOCK", VLOOKUP(D358,'[2]stock-take'!$G:$K,4,FALSE)))</f>
        <v xml:space="preserve"> </v>
      </c>
      <c r="J358" s="39">
        <f>IF(ISNA(VLOOKUP(D358,'[2]stock-take'!$G:$K,3,FALSE)), 0, VLOOKUP(D358,'[2]stock-take'!$G:$K,3,FALSE))</f>
        <v>0</v>
      </c>
      <c r="K358" s="49" t="str">
        <f>IF(F358="", " ", IF(ISNA(VLOOKUP(D358,'[2]stock-take'!$M:$Q,4,FALSE)), "OUT OF STOCK", VLOOKUP(D358,'[2]stock-take'!$M:$Q,4,FALSE)))</f>
        <v xml:space="preserve"> </v>
      </c>
      <c r="L358" s="47">
        <f>IF(ISNA(VLOOKUP(D358,'[2]stock-take'!$M:$Q,3,FALSE)), 0, VLOOKUP(D358,'[2]stock-take'!$M:$Q,3,FALSE))</f>
        <v>0</v>
      </c>
      <c r="M358" s="48" t="str">
        <f t="shared" si="16"/>
        <v xml:space="preserve"> </v>
      </c>
      <c r="N358" s="39" t="str">
        <f t="shared" si="17"/>
        <v xml:space="preserve"> </v>
      </c>
    </row>
    <row r="359" spans="1:14">
      <c r="A359" s="37">
        <f t="shared" si="15"/>
        <v>348</v>
      </c>
      <c r="G359" s="48" t="str">
        <f>IF(F359=""," ",IF(ISNA(VLOOKUP(D359,'[2]stock-take'!$A:$E,4,FALSE)), "OUT OF STOCK", VLOOKUP(D359,'[2]stock-take'!$A:$E,4,FALSE)))</f>
        <v xml:space="preserve"> </v>
      </c>
      <c r="H359" s="48">
        <f>IF(ISNA(VLOOKUP(D359,'[2]stock-take'!$A:$E,3,FALSE)), 0, VLOOKUP(D359,'[2]stock-take'!$A:$E,3,FALSE))</f>
        <v>0</v>
      </c>
      <c r="I359" s="48" t="str">
        <f>IF(F359="", " ",IF(ISNA(VLOOKUP(D359,'[2]stock-take'!$G:$K,4,FALSE)), "OUT OF STOCK", VLOOKUP(D359,'[2]stock-take'!$G:$K,4,FALSE)))</f>
        <v xml:space="preserve"> </v>
      </c>
      <c r="J359" s="39">
        <f>IF(ISNA(VLOOKUP(D359,'[2]stock-take'!$G:$K,3,FALSE)), 0, VLOOKUP(D359,'[2]stock-take'!$G:$K,3,FALSE))</f>
        <v>0</v>
      </c>
      <c r="K359" s="49" t="str">
        <f>IF(F359="", " ", IF(ISNA(VLOOKUP(D359,'[2]stock-take'!$M:$Q,4,FALSE)), "OUT OF STOCK", VLOOKUP(D359,'[2]stock-take'!$M:$Q,4,FALSE)))</f>
        <v xml:space="preserve"> </v>
      </c>
      <c r="L359" s="47">
        <f>IF(ISNA(VLOOKUP(D359,'[2]stock-take'!$M:$Q,3,FALSE)), 0, VLOOKUP(D359,'[2]stock-take'!$M:$Q,3,FALSE))</f>
        <v>0</v>
      </c>
      <c r="M359" s="48" t="str">
        <f t="shared" si="16"/>
        <v xml:space="preserve"> </v>
      </c>
      <c r="N359" s="39" t="str">
        <f t="shared" si="17"/>
        <v xml:space="preserve"> </v>
      </c>
    </row>
    <row r="360" spans="1:14">
      <c r="A360" s="37">
        <f t="shared" si="15"/>
        <v>349</v>
      </c>
      <c r="G360" s="48" t="str">
        <f>IF(F360=""," ",IF(ISNA(VLOOKUP(D360,'[2]stock-take'!$A:$E,4,FALSE)), "OUT OF STOCK", VLOOKUP(D360,'[2]stock-take'!$A:$E,4,FALSE)))</f>
        <v xml:space="preserve"> </v>
      </c>
      <c r="H360" s="48">
        <f>IF(ISNA(VLOOKUP(D360,'[2]stock-take'!$A:$E,3,FALSE)), 0, VLOOKUP(D360,'[2]stock-take'!$A:$E,3,FALSE))</f>
        <v>0</v>
      </c>
      <c r="I360" s="48" t="str">
        <f>IF(F360="", " ",IF(ISNA(VLOOKUP(D360,'[2]stock-take'!$G:$K,4,FALSE)), "OUT OF STOCK", VLOOKUP(D360,'[2]stock-take'!$G:$K,4,FALSE)))</f>
        <v xml:space="preserve"> </v>
      </c>
      <c r="J360" s="39">
        <f>IF(ISNA(VLOOKUP(D360,'[2]stock-take'!$G:$K,3,FALSE)), 0, VLOOKUP(D360,'[2]stock-take'!$G:$K,3,FALSE))</f>
        <v>0</v>
      </c>
      <c r="K360" s="49" t="str">
        <f>IF(F360="", " ", IF(ISNA(VLOOKUP(D360,'[2]stock-take'!$M:$Q,4,FALSE)), "OUT OF STOCK", VLOOKUP(D360,'[2]stock-take'!$M:$Q,4,FALSE)))</f>
        <v xml:space="preserve"> </v>
      </c>
      <c r="L360" s="47">
        <f>IF(ISNA(VLOOKUP(D360,'[2]stock-take'!$M:$Q,3,FALSE)), 0, VLOOKUP(D360,'[2]stock-take'!$M:$Q,3,FALSE))</f>
        <v>0</v>
      </c>
      <c r="M360" s="48" t="str">
        <f t="shared" si="16"/>
        <v xml:space="preserve"> </v>
      </c>
      <c r="N360" s="39" t="str">
        <f t="shared" si="17"/>
        <v xml:space="preserve"> </v>
      </c>
    </row>
    <row r="361" spans="1:14">
      <c r="A361" s="37">
        <f t="shared" si="15"/>
        <v>350</v>
      </c>
      <c r="G361" s="48" t="str">
        <f>IF(F361=""," ",IF(ISNA(VLOOKUP(D361,'[2]stock-take'!$A:$E,4,FALSE)), "OUT OF STOCK", VLOOKUP(D361,'[2]stock-take'!$A:$E,4,FALSE)))</f>
        <v xml:space="preserve"> </v>
      </c>
      <c r="H361" s="48">
        <f>IF(ISNA(VLOOKUP(D361,'[2]stock-take'!$A:$E,3,FALSE)), 0, VLOOKUP(D361,'[2]stock-take'!$A:$E,3,FALSE))</f>
        <v>0</v>
      </c>
      <c r="I361" s="48" t="str">
        <f>IF(F361="", " ",IF(ISNA(VLOOKUP(D361,'[2]stock-take'!$G:$K,4,FALSE)), "OUT OF STOCK", VLOOKUP(D361,'[2]stock-take'!$G:$K,4,FALSE)))</f>
        <v xml:space="preserve"> </v>
      </c>
      <c r="J361" s="39">
        <f>IF(ISNA(VLOOKUP(D361,'[2]stock-take'!$G:$K,3,FALSE)), 0, VLOOKUP(D361,'[2]stock-take'!$G:$K,3,FALSE))</f>
        <v>0</v>
      </c>
      <c r="K361" s="49" t="str">
        <f>IF(F361="", " ", IF(ISNA(VLOOKUP(D361,'[2]stock-take'!$M:$Q,4,FALSE)), "OUT OF STOCK", VLOOKUP(D361,'[2]stock-take'!$M:$Q,4,FALSE)))</f>
        <v xml:space="preserve"> </v>
      </c>
      <c r="L361" s="47">
        <f>IF(ISNA(VLOOKUP(D361,'[2]stock-take'!$M:$Q,3,FALSE)), 0, VLOOKUP(D361,'[2]stock-take'!$M:$Q,3,FALSE))</f>
        <v>0</v>
      </c>
      <c r="M361" s="48" t="str">
        <f t="shared" si="16"/>
        <v xml:space="preserve"> </v>
      </c>
      <c r="N361" s="39" t="str">
        <f t="shared" si="17"/>
        <v xml:space="preserve"> </v>
      </c>
    </row>
    <row r="362" spans="1:14">
      <c r="A362" s="37">
        <f t="shared" si="15"/>
        <v>351</v>
      </c>
      <c r="G362" s="48" t="str">
        <f>IF(F362=""," ",IF(ISNA(VLOOKUP(D362,'[2]stock-take'!$A:$E,4,FALSE)), "OUT OF STOCK", VLOOKUP(D362,'[2]stock-take'!$A:$E,4,FALSE)))</f>
        <v xml:space="preserve"> </v>
      </c>
      <c r="H362" s="48">
        <f>IF(ISNA(VLOOKUP(D362,'[2]stock-take'!$A:$E,3,FALSE)), 0, VLOOKUP(D362,'[2]stock-take'!$A:$E,3,FALSE))</f>
        <v>0</v>
      </c>
      <c r="I362" s="48" t="str">
        <f>IF(F362="", " ",IF(ISNA(VLOOKUP(D362,'[2]stock-take'!$G:$K,4,FALSE)), "OUT OF STOCK", VLOOKUP(D362,'[2]stock-take'!$G:$K,4,FALSE)))</f>
        <v xml:space="preserve"> </v>
      </c>
      <c r="J362" s="39">
        <f>IF(ISNA(VLOOKUP(D362,'[2]stock-take'!$G:$K,3,FALSE)), 0, VLOOKUP(D362,'[2]stock-take'!$G:$K,3,FALSE))</f>
        <v>0</v>
      </c>
      <c r="K362" s="49" t="str">
        <f>IF(F362="", " ", IF(ISNA(VLOOKUP(D362,'[2]stock-take'!$M:$Q,4,FALSE)), "OUT OF STOCK", VLOOKUP(D362,'[2]stock-take'!$M:$Q,4,FALSE)))</f>
        <v xml:space="preserve"> </v>
      </c>
      <c r="L362" s="47">
        <f>IF(ISNA(VLOOKUP(D362,'[2]stock-take'!$M:$Q,3,FALSE)), 0, VLOOKUP(D362,'[2]stock-take'!$M:$Q,3,FALSE))</f>
        <v>0</v>
      </c>
      <c r="M362" s="48" t="str">
        <f t="shared" si="16"/>
        <v xml:space="preserve"> </v>
      </c>
      <c r="N362" s="39" t="str">
        <f t="shared" si="17"/>
        <v xml:space="preserve"> </v>
      </c>
    </row>
    <row r="363" spans="1:14">
      <c r="A363" s="37">
        <f t="shared" si="15"/>
        <v>352</v>
      </c>
      <c r="G363" s="48" t="str">
        <f>IF(F363=""," ",IF(ISNA(VLOOKUP(D363,'[2]stock-take'!$A:$E,4,FALSE)), "OUT OF STOCK", VLOOKUP(D363,'[2]stock-take'!$A:$E,4,FALSE)))</f>
        <v xml:space="preserve"> </v>
      </c>
      <c r="H363" s="48">
        <f>IF(ISNA(VLOOKUP(D363,'[2]stock-take'!$A:$E,3,FALSE)), 0, VLOOKUP(D363,'[2]stock-take'!$A:$E,3,FALSE))</f>
        <v>0</v>
      </c>
      <c r="I363" s="48" t="str">
        <f>IF(F363="", " ",IF(ISNA(VLOOKUP(D363,'[2]stock-take'!$G:$K,4,FALSE)), "OUT OF STOCK", VLOOKUP(D363,'[2]stock-take'!$G:$K,4,FALSE)))</f>
        <v xml:space="preserve"> </v>
      </c>
      <c r="J363" s="39">
        <f>IF(ISNA(VLOOKUP(D363,'[2]stock-take'!$G:$K,3,FALSE)), 0, VLOOKUP(D363,'[2]stock-take'!$G:$K,3,FALSE))</f>
        <v>0</v>
      </c>
      <c r="K363" s="49" t="str">
        <f>IF(F363="", " ", IF(ISNA(VLOOKUP(D363,'[2]stock-take'!$M:$Q,4,FALSE)), "OUT OF STOCK", VLOOKUP(D363,'[2]stock-take'!$M:$Q,4,FALSE)))</f>
        <v xml:space="preserve"> </v>
      </c>
      <c r="L363" s="47">
        <f>IF(ISNA(VLOOKUP(D363,'[2]stock-take'!$M:$Q,3,FALSE)), 0, VLOOKUP(D363,'[2]stock-take'!$M:$Q,3,FALSE))</f>
        <v>0</v>
      </c>
      <c r="M363" s="48" t="str">
        <f t="shared" si="16"/>
        <v xml:space="preserve"> </v>
      </c>
      <c r="N363" s="39" t="str">
        <f t="shared" si="17"/>
        <v xml:space="preserve"> </v>
      </c>
    </row>
    <row r="364" spans="1:14">
      <c r="A364" s="37">
        <f t="shared" si="15"/>
        <v>353</v>
      </c>
      <c r="G364" s="48" t="str">
        <f>IF(F364=""," ",IF(ISNA(VLOOKUP(D364,'[2]stock-take'!$A:$E,4,FALSE)), "OUT OF STOCK", VLOOKUP(D364,'[2]stock-take'!$A:$E,4,FALSE)))</f>
        <v xml:space="preserve"> </v>
      </c>
      <c r="H364" s="48">
        <f>IF(ISNA(VLOOKUP(D364,'[2]stock-take'!$A:$E,3,FALSE)), 0, VLOOKUP(D364,'[2]stock-take'!$A:$E,3,FALSE))</f>
        <v>0</v>
      </c>
      <c r="I364" s="48" t="str">
        <f>IF(F364="", " ",IF(ISNA(VLOOKUP(D364,'[2]stock-take'!$G:$K,4,FALSE)), "OUT OF STOCK", VLOOKUP(D364,'[2]stock-take'!$G:$K,4,FALSE)))</f>
        <v xml:space="preserve"> </v>
      </c>
      <c r="J364" s="39">
        <f>IF(ISNA(VLOOKUP(D364,'[2]stock-take'!$G:$K,3,FALSE)), 0, VLOOKUP(D364,'[2]stock-take'!$G:$K,3,FALSE))</f>
        <v>0</v>
      </c>
      <c r="K364" s="49" t="str">
        <f>IF(F364="", " ", IF(ISNA(VLOOKUP(D364,'[2]stock-take'!$M:$Q,4,FALSE)), "OUT OF STOCK", VLOOKUP(D364,'[2]stock-take'!$M:$Q,4,FALSE)))</f>
        <v xml:space="preserve"> </v>
      </c>
      <c r="L364" s="47">
        <f>IF(ISNA(VLOOKUP(D364,'[2]stock-take'!$M:$Q,3,FALSE)), 0, VLOOKUP(D364,'[2]stock-take'!$M:$Q,3,FALSE))</f>
        <v>0</v>
      </c>
      <c r="M364" s="48" t="str">
        <f t="shared" si="16"/>
        <v xml:space="preserve"> </v>
      </c>
      <c r="N364" s="39" t="str">
        <f t="shared" si="17"/>
        <v xml:space="preserve"> </v>
      </c>
    </row>
    <row r="365" spans="1:14">
      <c r="A365" s="37">
        <f t="shared" si="15"/>
        <v>354</v>
      </c>
      <c r="G365" s="48" t="str">
        <f>IF(F365=""," ",IF(ISNA(VLOOKUP(D365,'[2]stock-take'!$A:$E,4,FALSE)), "OUT OF STOCK", VLOOKUP(D365,'[2]stock-take'!$A:$E,4,FALSE)))</f>
        <v xml:space="preserve"> </v>
      </c>
      <c r="H365" s="48">
        <f>IF(ISNA(VLOOKUP(D365,'[2]stock-take'!$A:$E,3,FALSE)), 0, VLOOKUP(D365,'[2]stock-take'!$A:$E,3,FALSE))</f>
        <v>0</v>
      </c>
      <c r="I365" s="48" t="str">
        <f>IF(F365="", " ",IF(ISNA(VLOOKUP(D365,'[2]stock-take'!$G:$K,4,FALSE)), "OUT OF STOCK", VLOOKUP(D365,'[2]stock-take'!$G:$K,4,FALSE)))</f>
        <v xml:space="preserve"> </v>
      </c>
      <c r="J365" s="39">
        <f>IF(ISNA(VLOOKUP(D365,'[2]stock-take'!$G:$K,3,FALSE)), 0, VLOOKUP(D365,'[2]stock-take'!$G:$K,3,FALSE))</f>
        <v>0</v>
      </c>
      <c r="K365" s="49" t="str">
        <f>IF(F365="", " ", IF(ISNA(VLOOKUP(D365,'[2]stock-take'!$M:$Q,4,FALSE)), "OUT OF STOCK", VLOOKUP(D365,'[2]stock-take'!$M:$Q,4,FALSE)))</f>
        <v xml:space="preserve"> </v>
      </c>
      <c r="L365" s="47">
        <f>IF(ISNA(VLOOKUP(D365,'[2]stock-take'!$M:$Q,3,FALSE)), 0, VLOOKUP(D365,'[2]stock-take'!$M:$Q,3,FALSE))</f>
        <v>0</v>
      </c>
      <c r="M365" s="48" t="str">
        <f t="shared" si="16"/>
        <v xml:space="preserve"> </v>
      </c>
      <c r="N365" s="39" t="str">
        <f t="shared" si="17"/>
        <v xml:space="preserve"> </v>
      </c>
    </row>
    <row r="366" spans="1:14">
      <c r="A366" s="37">
        <f t="shared" si="15"/>
        <v>355</v>
      </c>
      <c r="G366" s="48" t="str">
        <f>IF(F366=""," ",IF(ISNA(VLOOKUP(D366,'[2]stock-take'!$A:$E,4,FALSE)), "OUT OF STOCK", VLOOKUP(D366,'[2]stock-take'!$A:$E,4,FALSE)))</f>
        <v xml:space="preserve"> </v>
      </c>
      <c r="H366" s="48">
        <f>IF(ISNA(VLOOKUP(D366,'[2]stock-take'!$A:$E,3,FALSE)), 0, VLOOKUP(D366,'[2]stock-take'!$A:$E,3,FALSE))</f>
        <v>0</v>
      </c>
      <c r="I366" s="48" t="str">
        <f>IF(F366="", " ",IF(ISNA(VLOOKUP(D366,'[2]stock-take'!$G:$K,4,FALSE)), "OUT OF STOCK", VLOOKUP(D366,'[2]stock-take'!$G:$K,4,FALSE)))</f>
        <v xml:space="preserve"> </v>
      </c>
      <c r="J366" s="39">
        <f>IF(ISNA(VLOOKUP(D366,'[2]stock-take'!$G:$K,3,FALSE)), 0, VLOOKUP(D366,'[2]stock-take'!$G:$K,3,FALSE))</f>
        <v>0</v>
      </c>
      <c r="K366" s="49" t="str">
        <f>IF(F366="", " ", IF(ISNA(VLOOKUP(D366,'[2]stock-take'!$M:$Q,4,FALSE)), "OUT OF STOCK", VLOOKUP(D366,'[2]stock-take'!$M:$Q,4,FALSE)))</f>
        <v xml:space="preserve"> </v>
      </c>
      <c r="L366" s="47">
        <f>IF(ISNA(VLOOKUP(D366,'[2]stock-take'!$M:$Q,3,FALSE)), 0, VLOOKUP(D366,'[2]stock-take'!$M:$Q,3,FALSE))</f>
        <v>0</v>
      </c>
      <c r="M366" s="48" t="str">
        <f t="shared" si="16"/>
        <v xml:space="preserve"> </v>
      </c>
      <c r="N366" s="39" t="str">
        <f t="shared" si="17"/>
        <v xml:space="preserve"> </v>
      </c>
    </row>
    <row r="367" spans="1:14">
      <c r="A367" s="37">
        <f t="shared" si="15"/>
        <v>356</v>
      </c>
      <c r="G367" s="48" t="str">
        <f>IF(F367=""," ",IF(ISNA(VLOOKUP(D367,'[2]stock-take'!$A:$E,4,FALSE)), "OUT OF STOCK", VLOOKUP(D367,'[2]stock-take'!$A:$E,4,FALSE)))</f>
        <v xml:space="preserve"> </v>
      </c>
      <c r="H367" s="48">
        <f>IF(ISNA(VLOOKUP(D367,'[2]stock-take'!$A:$E,3,FALSE)), 0, VLOOKUP(D367,'[2]stock-take'!$A:$E,3,FALSE))</f>
        <v>0</v>
      </c>
      <c r="I367" s="48" t="str">
        <f>IF(F367="", " ",IF(ISNA(VLOOKUP(D367,'[2]stock-take'!$G:$K,4,FALSE)), "OUT OF STOCK", VLOOKUP(D367,'[2]stock-take'!$G:$K,4,FALSE)))</f>
        <v xml:space="preserve"> </v>
      </c>
      <c r="J367" s="39">
        <f>IF(ISNA(VLOOKUP(D367,'[2]stock-take'!$G:$K,3,FALSE)), 0, VLOOKUP(D367,'[2]stock-take'!$G:$K,3,FALSE))</f>
        <v>0</v>
      </c>
      <c r="K367" s="49" t="str">
        <f>IF(F367="", " ", IF(ISNA(VLOOKUP(D367,'[2]stock-take'!$M:$Q,4,FALSE)), "OUT OF STOCK", VLOOKUP(D367,'[2]stock-take'!$M:$Q,4,FALSE)))</f>
        <v xml:space="preserve"> </v>
      </c>
      <c r="L367" s="47">
        <f>IF(ISNA(VLOOKUP(D367,'[2]stock-take'!$M:$Q,3,FALSE)), 0, VLOOKUP(D367,'[2]stock-take'!$M:$Q,3,FALSE))</f>
        <v>0</v>
      </c>
      <c r="M367" s="48" t="str">
        <f t="shared" si="16"/>
        <v xml:space="preserve"> </v>
      </c>
      <c r="N367" s="39" t="str">
        <f t="shared" si="17"/>
        <v xml:space="preserve"> </v>
      </c>
    </row>
    <row r="368" spans="1:14">
      <c r="A368" s="37">
        <f t="shared" si="15"/>
        <v>357</v>
      </c>
      <c r="G368" s="48" t="str">
        <f>IF(F368=""," ",IF(ISNA(VLOOKUP(D368,'[2]stock-take'!$A:$E,4,FALSE)), "OUT OF STOCK", VLOOKUP(D368,'[2]stock-take'!$A:$E,4,FALSE)))</f>
        <v xml:space="preserve"> </v>
      </c>
      <c r="H368" s="48">
        <f>IF(ISNA(VLOOKUP(D368,'[2]stock-take'!$A:$E,3,FALSE)), 0, VLOOKUP(D368,'[2]stock-take'!$A:$E,3,FALSE))</f>
        <v>0</v>
      </c>
      <c r="I368" s="48" t="str">
        <f>IF(F368="", " ",IF(ISNA(VLOOKUP(D368,'[2]stock-take'!$G:$K,4,FALSE)), "OUT OF STOCK", VLOOKUP(D368,'[2]stock-take'!$G:$K,4,FALSE)))</f>
        <v xml:space="preserve"> </v>
      </c>
      <c r="J368" s="39">
        <f>IF(ISNA(VLOOKUP(D368,'[2]stock-take'!$G:$K,3,FALSE)), 0, VLOOKUP(D368,'[2]stock-take'!$G:$K,3,FALSE))</f>
        <v>0</v>
      </c>
      <c r="K368" s="49" t="str">
        <f>IF(F368="", " ", IF(ISNA(VLOOKUP(D368,'[2]stock-take'!$M:$Q,4,FALSE)), "OUT OF STOCK", VLOOKUP(D368,'[2]stock-take'!$M:$Q,4,FALSE)))</f>
        <v xml:space="preserve"> </v>
      </c>
      <c r="L368" s="47">
        <f>IF(ISNA(VLOOKUP(D368,'[2]stock-take'!$M:$Q,3,FALSE)), 0, VLOOKUP(D368,'[2]stock-take'!$M:$Q,3,FALSE))</f>
        <v>0</v>
      </c>
      <c r="M368" s="48" t="str">
        <f t="shared" si="16"/>
        <v xml:space="preserve"> </v>
      </c>
      <c r="N368" s="39" t="str">
        <f t="shared" si="17"/>
        <v xml:space="preserve"> </v>
      </c>
    </row>
    <row r="369" spans="1:14">
      <c r="A369" s="37">
        <f t="shared" si="15"/>
        <v>358</v>
      </c>
      <c r="G369" s="48" t="str">
        <f>IF(F369=""," ",IF(ISNA(VLOOKUP(D369,'[2]stock-take'!$A:$E,4,FALSE)), "OUT OF STOCK", VLOOKUP(D369,'[2]stock-take'!$A:$E,4,FALSE)))</f>
        <v xml:space="preserve"> </v>
      </c>
      <c r="H369" s="48">
        <f>IF(ISNA(VLOOKUP(D369,'[2]stock-take'!$A:$E,3,FALSE)), 0, VLOOKUP(D369,'[2]stock-take'!$A:$E,3,FALSE))</f>
        <v>0</v>
      </c>
      <c r="I369" s="48" t="str">
        <f>IF(F369="", " ",IF(ISNA(VLOOKUP(D369,'[2]stock-take'!$G:$K,4,FALSE)), "OUT OF STOCK", VLOOKUP(D369,'[2]stock-take'!$G:$K,4,FALSE)))</f>
        <v xml:space="preserve"> </v>
      </c>
      <c r="J369" s="39">
        <f>IF(ISNA(VLOOKUP(D369,'[2]stock-take'!$G:$K,3,FALSE)), 0, VLOOKUP(D369,'[2]stock-take'!$G:$K,3,FALSE))</f>
        <v>0</v>
      </c>
      <c r="K369" s="49" t="str">
        <f>IF(F369="", " ", IF(ISNA(VLOOKUP(D369,'[2]stock-take'!$M:$Q,4,FALSE)), "OUT OF STOCK", VLOOKUP(D369,'[2]stock-take'!$M:$Q,4,FALSE)))</f>
        <v xml:space="preserve"> </v>
      </c>
      <c r="L369" s="47">
        <f>IF(ISNA(VLOOKUP(D369,'[2]stock-take'!$M:$Q,3,FALSE)), 0, VLOOKUP(D369,'[2]stock-take'!$M:$Q,3,FALSE))</f>
        <v>0</v>
      </c>
      <c r="M369" s="48" t="str">
        <f t="shared" si="16"/>
        <v xml:space="preserve"> </v>
      </c>
      <c r="N369" s="39" t="str">
        <f t="shared" si="17"/>
        <v xml:space="preserve"> </v>
      </c>
    </row>
    <row r="370" spans="1:14">
      <c r="A370" s="37">
        <f t="shared" si="15"/>
        <v>359</v>
      </c>
      <c r="G370" s="48" t="str">
        <f>IF(F370=""," ",IF(ISNA(VLOOKUP(D370,'[2]stock-take'!$A:$E,4,FALSE)), "OUT OF STOCK", VLOOKUP(D370,'[2]stock-take'!$A:$E,4,FALSE)))</f>
        <v xml:space="preserve"> </v>
      </c>
      <c r="H370" s="48">
        <f>IF(ISNA(VLOOKUP(D370,'[2]stock-take'!$A:$E,3,FALSE)), 0, VLOOKUP(D370,'[2]stock-take'!$A:$E,3,FALSE))</f>
        <v>0</v>
      </c>
      <c r="I370" s="48" t="str">
        <f>IF(F370="", " ",IF(ISNA(VLOOKUP(D370,'[2]stock-take'!$G:$K,4,FALSE)), "OUT OF STOCK", VLOOKUP(D370,'[2]stock-take'!$G:$K,4,FALSE)))</f>
        <v xml:space="preserve"> </v>
      </c>
      <c r="J370" s="39">
        <f>IF(ISNA(VLOOKUP(D370,'[2]stock-take'!$G:$K,3,FALSE)), 0, VLOOKUP(D370,'[2]stock-take'!$G:$K,3,FALSE))</f>
        <v>0</v>
      </c>
      <c r="K370" s="49" t="str">
        <f>IF(F370="", " ", IF(ISNA(VLOOKUP(D370,'[2]stock-take'!$M:$Q,4,FALSE)), "OUT OF STOCK", VLOOKUP(D370,'[2]stock-take'!$M:$Q,4,FALSE)))</f>
        <v xml:space="preserve"> </v>
      </c>
      <c r="L370" s="47">
        <f>IF(ISNA(VLOOKUP(D370,'[2]stock-take'!$M:$Q,3,FALSE)), 0, VLOOKUP(D370,'[2]stock-take'!$M:$Q,3,FALSE))</f>
        <v>0</v>
      </c>
      <c r="M370" s="48" t="str">
        <f t="shared" si="16"/>
        <v xml:space="preserve"> </v>
      </c>
      <c r="N370" s="39" t="str">
        <f t="shared" si="17"/>
        <v xml:space="preserve"> </v>
      </c>
    </row>
    <row r="371" spans="1:14">
      <c r="A371" s="37">
        <f t="shared" si="15"/>
        <v>360</v>
      </c>
      <c r="G371" s="48" t="str">
        <f>IF(F371=""," ",IF(ISNA(VLOOKUP(D371,'[2]stock-take'!$A:$E,4,FALSE)), "OUT OF STOCK", VLOOKUP(D371,'[2]stock-take'!$A:$E,4,FALSE)))</f>
        <v xml:space="preserve"> </v>
      </c>
      <c r="H371" s="48">
        <f>IF(ISNA(VLOOKUP(D371,'[2]stock-take'!$A:$E,3,FALSE)), 0, VLOOKUP(D371,'[2]stock-take'!$A:$E,3,FALSE))</f>
        <v>0</v>
      </c>
      <c r="I371" s="48" t="str">
        <f>IF(F371="", " ",IF(ISNA(VLOOKUP(D371,'[2]stock-take'!$G:$K,4,FALSE)), "OUT OF STOCK", VLOOKUP(D371,'[2]stock-take'!$G:$K,4,FALSE)))</f>
        <v xml:space="preserve"> </v>
      </c>
      <c r="J371" s="39">
        <f>IF(ISNA(VLOOKUP(D371,'[2]stock-take'!$G:$K,3,FALSE)), 0, VLOOKUP(D371,'[2]stock-take'!$G:$K,3,FALSE))</f>
        <v>0</v>
      </c>
      <c r="K371" s="49" t="str">
        <f>IF(F371="", " ", IF(ISNA(VLOOKUP(D371,'[2]stock-take'!$M:$Q,4,FALSE)), "OUT OF STOCK", VLOOKUP(D371,'[2]stock-take'!$M:$Q,4,FALSE)))</f>
        <v xml:space="preserve"> </v>
      </c>
      <c r="L371" s="47">
        <f>IF(ISNA(VLOOKUP(D371,'[2]stock-take'!$M:$Q,3,FALSE)), 0, VLOOKUP(D371,'[2]stock-take'!$M:$Q,3,FALSE))</f>
        <v>0</v>
      </c>
      <c r="M371" s="48" t="str">
        <f t="shared" si="16"/>
        <v xml:space="preserve"> </v>
      </c>
      <c r="N371" s="39" t="str">
        <f t="shared" si="17"/>
        <v xml:space="preserve"> </v>
      </c>
    </row>
    <row r="372" spans="1:14">
      <c r="A372" s="37">
        <f t="shared" si="15"/>
        <v>361</v>
      </c>
      <c r="G372" s="48" t="str">
        <f>IF(F372=""," ",IF(ISNA(VLOOKUP(D372,'[2]stock-take'!$A:$E,4,FALSE)), "OUT OF STOCK", VLOOKUP(D372,'[2]stock-take'!$A:$E,4,FALSE)))</f>
        <v xml:space="preserve"> </v>
      </c>
      <c r="H372" s="48">
        <f>IF(ISNA(VLOOKUP(D372,'[2]stock-take'!$A:$E,3,FALSE)), 0, VLOOKUP(D372,'[2]stock-take'!$A:$E,3,FALSE))</f>
        <v>0</v>
      </c>
      <c r="I372" s="48" t="str">
        <f>IF(F372="", " ",IF(ISNA(VLOOKUP(D372,'[2]stock-take'!$G:$K,4,FALSE)), "OUT OF STOCK", VLOOKUP(D372,'[2]stock-take'!$G:$K,4,FALSE)))</f>
        <v xml:space="preserve"> </v>
      </c>
      <c r="J372" s="39">
        <f>IF(ISNA(VLOOKUP(D372,'[2]stock-take'!$G:$K,3,FALSE)), 0, VLOOKUP(D372,'[2]stock-take'!$G:$K,3,FALSE))</f>
        <v>0</v>
      </c>
      <c r="K372" s="49" t="str">
        <f>IF(F372="", " ", IF(ISNA(VLOOKUP(D372,'[2]stock-take'!$M:$Q,4,FALSE)), "OUT OF STOCK", VLOOKUP(D372,'[2]stock-take'!$M:$Q,4,FALSE)))</f>
        <v xml:space="preserve"> </v>
      </c>
      <c r="L372" s="47">
        <f>IF(ISNA(VLOOKUP(D372,'[2]stock-take'!$M:$Q,3,FALSE)), 0, VLOOKUP(D372,'[2]stock-take'!$M:$Q,3,FALSE))</f>
        <v>0</v>
      </c>
      <c r="M372" s="48" t="str">
        <f t="shared" si="16"/>
        <v xml:space="preserve"> </v>
      </c>
      <c r="N372" s="39" t="str">
        <f t="shared" si="17"/>
        <v xml:space="preserve"> </v>
      </c>
    </row>
    <row r="373" spans="1:14">
      <c r="A373" s="37">
        <f t="shared" si="15"/>
        <v>362</v>
      </c>
      <c r="G373" s="48" t="str">
        <f>IF(F373=""," ",IF(ISNA(VLOOKUP(D373,'[2]stock-take'!$A:$E,4,FALSE)), "OUT OF STOCK", VLOOKUP(D373,'[2]stock-take'!$A:$E,4,FALSE)))</f>
        <v xml:space="preserve"> </v>
      </c>
      <c r="H373" s="48">
        <f>IF(ISNA(VLOOKUP(D373,'[2]stock-take'!$A:$E,3,FALSE)), 0, VLOOKUP(D373,'[2]stock-take'!$A:$E,3,FALSE))</f>
        <v>0</v>
      </c>
      <c r="I373" s="48" t="str">
        <f>IF(F373="", " ",IF(ISNA(VLOOKUP(D373,'[2]stock-take'!$G:$K,4,FALSE)), "OUT OF STOCK", VLOOKUP(D373,'[2]stock-take'!$G:$K,4,FALSE)))</f>
        <v xml:space="preserve"> </v>
      </c>
      <c r="J373" s="39">
        <f>IF(ISNA(VLOOKUP(D373,'[2]stock-take'!$G:$K,3,FALSE)), 0, VLOOKUP(D373,'[2]stock-take'!$G:$K,3,FALSE))</f>
        <v>0</v>
      </c>
      <c r="K373" s="49" t="str">
        <f>IF(F373="", " ", IF(ISNA(VLOOKUP(D373,'[2]stock-take'!$M:$Q,4,FALSE)), "OUT OF STOCK", VLOOKUP(D373,'[2]stock-take'!$M:$Q,4,FALSE)))</f>
        <v xml:space="preserve"> </v>
      </c>
      <c r="L373" s="47">
        <f>IF(ISNA(VLOOKUP(D373,'[2]stock-take'!$M:$Q,3,FALSE)), 0, VLOOKUP(D373,'[2]stock-take'!$M:$Q,3,FALSE))</f>
        <v>0</v>
      </c>
      <c r="M373" s="48" t="str">
        <f t="shared" si="16"/>
        <v xml:space="preserve"> </v>
      </c>
      <c r="N373" s="39" t="str">
        <f t="shared" si="17"/>
        <v xml:space="preserve"> </v>
      </c>
    </row>
    <row r="374" spans="1:14">
      <c r="A374" s="37">
        <f t="shared" si="15"/>
        <v>363</v>
      </c>
      <c r="G374" s="48" t="str">
        <f>IF(F374=""," ",IF(ISNA(VLOOKUP(D374,'[2]stock-take'!$A:$E,4,FALSE)), "OUT OF STOCK", VLOOKUP(D374,'[2]stock-take'!$A:$E,4,FALSE)))</f>
        <v xml:space="preserve"> </v>
      </c>
      <c r="H374" s="48">
        <f>IF(ISNA(VLOOKUP(D374,'[2]stock-take'!$A:$E,3,FALSE)), 0, VLOOKUP(D374,'[2]stock-take'!$A:$E,3,FALSE))</f>
        <v>0</v>
      </c>
      <c r="I374" s="48" t="str">
        <f>IF(F374="", " ",IF(ISNA(VLOOKUP(D374,'[2]stock-take'!$G:$K,4,FALSE)), "OUT OF STOCK", VLOOKUP(D374,'[2]stock-take'!$G:$K,4,FALSE)))</f>
        <v xml:space="preserve"> </v>
      </c>
      <c r="J374" s="39">
        <f>IF(ISNA(VLOOKUP(D374,'[2]stock-take'!$G:$K,3,FALSE)), 0, VLOOKUP(D374,'[2]stock-take'!$G:$K,3,FALSE))</f>
        <v>0</v>
      </c>
      <c r="K374" s="49" t="str">
        <f>IF(F374="", " ", IF(ISNA(VLOOKUP(D374,'[2]stock-take'!$M:$Q,4,FALSE)), "OUT OF STOCK", VLOOKUP(D374,'[2]stock-take'!$M:$Q,4,FALSE)))</f>
        <v xml:space="preserve"> </v>
      </c>
      <c r="L374" s="47">
        <f>IF(ISNA(VLOOKUP(D374,'[2]stock-take'!$M:$Q,3,FALSE)), 0, VLOOKUP(D374,'[2]stock-take'!$M:$Q,3,FALSE))</f>
        <v>0</v>
      </c>
      <c r="M374" s="48" t="str">
        <f t="shared" si="16"/>
        <v xml:space="preserve"> </v>
      </c>
      <c r="N374" s="39" t="str">
        <f t="shared" si="17"/>
        <v xml:space="preserve"> </v>
      </c>
    </row>
    <row r="375" spans="1:14">
      <c r="A375" s="37">
        <f t="shared" si="15"/>
        <v>364</v>
      </c>
      <c r="G375" s="48" t="str">
        <f>IF(F375=""," ",IF(ISNA(VLOOKUP(D375,'[2]stock-take'!$A:$E,4,FALSE)), "OUT OF STOCK", VLOOKUP(D375,'[2]stock-take'!$A:$E,4,FALSE)))</f>
        <v xml:space="preserve"> </v>
      </c>
      <c r="H375" s="48">
        <f>IF(ISNA(VLOOKUP(D375,'[2]stock-take'!$A:$E,3,FALSE)), 0, VLOOKUP(D375,'[2]stock-take'!$A:$E,3,FALSE))</f>
        <v>0</v>
      </c>
      <c r="I375" s="48" t="str">
        <f>IF(F375="", " ",IF(ISNA(VLOOKUP(D375,'[2]stock-take'!$G:$K,4,FALSE)), "OUT OF STOCK", VLOOKUP(D375,'[2]stock-take'!$G:$K,4,FALSE)))</f>
        <v xml:space="preserve"> </v>
      </c>
      <c r="J375" s="39">
        <f>IF(ISNA(VLOOKUP(D375,'[2]stock-take'!$G:$K,3,FALSE)), 0, VLOOKUP(D375,'[2]stock-take'!$G:$K,3,FALSE))</f>
        <v>0</v>
      </c>
      <c r="K375" s="49" t="str">
        <f>IF(F375="", " ", IF(ISNA(VLOOKUP(D375,'[2]stock-take'!$M:$Q,4,FALSE)), "OUT OF STOCK", VLOOKUP(D375,'[2]stock-take'!$M:$Q,4,FALSE)))</f>
        <v xml:space="preserve"> </v>
      </c>
      <c r="L375" s="47">
        <f>IF(ISNA(VLOOKUP(D375,'[2]stock-take'!$M:$Q,3,FALSE)), 0, VLOOKUP(D375,'[2]stock-take'!$M:$Q,3,FALSE))</f>
        <v>0</v>
      </c>
      <c r="M375" s="48" t="str">
        <f t="shared" si="16"/>
        <v xml:space="preserve"> </v>
      </c>
      <c r="N375" s="39" t="str">
        <f t="shared" si="17"/>
        <v xml:space="preserve"> </v>
      </c>
    </row>
    <row r="376" spans="1:14">
      <c r="A376" s="37">
        <f t="shared" si="15"/>
        <v>365</v>
      </c>
      <c r="G376" s="48" t="str">
        <f>IF(F376=""," ",IF(ISNA(VLOOKUP(D376,'[2]stock-take'!$A:$E,4,FALSE)), "OUT OF STOCK", VLOOKUP(D376,'[2]stock-take'!$A:$E,4,FALSE)))</f>
        <v xml:space="preserve"> </v>
      </c>
      <c r="H376" s="48">
        <f>IF(ISNA(VLOOKUP(D376,'[2]stock-take'!$A:$E,3,FALSE)), 0, VLOOKUP(D376,'[2]stock-take'!$A:$E,3,FALSE))</f>
        <v>0</v>
      </c>
      <c r="I376" s="48" t="str">
        <f>IF(F376="", " ",IF(ISNA(VLOOKUP(D376,'[2]stock-take'!$G:$K,4,FALSE)), "OUT OF STOCK", VLOOKUP(D376,'[2]stock-take'!$G:$K,4,FALSE)))</f>
        <v xml:space="preserve"> </v>
      </c>
      <c r="J376" s="39">
        <f>IF(ISNA(VLOOKUP(D376,'[2]stock-take'!$G:$K,3,FALSE)), 0, VLOOKUP(D376,'[2]stock-take'!$G:$K,3,FALSE))</f>
        <v>0</v>
      </c>
      <c r="K376" s="49" t="str">
        <f>IF(F376="", " ", IF(ISNA(VLOOKUP(D376,'[2]stock-take'!$M:$Q,4,FALSE)), "OUT OF STOCK", VLOOKUP(D376,'[2]stock-take'!$M:$Q,4,FALSE)))</f>
        <v xml:space="preserve"> </v>
      </c>
      <c r="L376" s="47">
        <f>IF(ISNA(VLOOKUP(D376,'[2]stock-take'!$M:$Q,3,FALSE)), 0, VLOOKUP(D376,'[2]stock-take'!$M:$Q,3,FALSE))</f>
        <v>0</v>
      </c>
      <c r="M376" s="48" t="str">
        <f t="shared" si="16"/>
        <v xml:space="preserve"> </v>
      </c>
      <c r="N376" s="39" t="str">
        <f t="shared" si="17"/>
        <v xml:space="preserve"> </v>
      </c>
    </row>
    <row r="377" spans="1:14">
      <c r="A377" s="37">
        <f t="shared" si="15"/>
        <v>366</v>
      </c>
      <c r="G377" s="48" t="str">
        <f>IF(F377=""," ",IF(ISNA(VLOOKUP(D377,'[2]stock-take'!$A:$E,4,FALSE)), "OUT OF STOCK", VLOOKUP(D377,'[2]stock-take'!$A:$E,4,FALSE)))</f>
        <v xml:space="preserve"> </v>
      </c>
      <c r="H377" s="48">
        <f>IF(ISNA(VLOOKUP(D377,'[2]stock-take'!$A:$E,3,FALSE)), 0, VLOOKUP(D377,'[2]stock-take'!$A:$E,3,FALSE))</f>
        <v>0</v>
      </c>
      <c r="I377" s="48" t="str">
        <f>IF(F377="", " ",IF(ISNA(VLOOKUP(D377,'[2]stock-take'!$G:$K,4,FALSE)), "OUT OF STOCK", VLOOKUP(D377,'[2]stock-take'!$G:$K,4,FALSE)))</f>
        <v xml:space="preserve"> </v>
      </c>
      <c r="J377" s="39">
        <f>IF(ISNA(VLOOKUP(D377,'[2]stock-take'!$G:$K,3,FALSE)), 0, VLOOKUP(D377,'[2]stock-take'!$G:$K,3,FALSE))</f>
        <v>0</v>
      </c>
      <c r="K377" s="49" t="str">
        <f>IF(F377="", " ", IF(ISNA(VLOOKUP(D377,'[2]stock-take'!$M:$Q,4,FALSE)), "OUT OF STOCK", VLOOKUP(D377,'[2]stock-take'!$M:$Q,4,FALSE)))</f>
        <v xml:space="preserve"> </v>
      </c>
      <c r="L377" s="47">
        <f>IF(ISNA(VLOOKUP(D377,'[2]stock-take'!$M:$Q,3,FALSE)), 0, VLOOKUP(D377,'[2]stock-take'!$M:$Q,3,FALSE))</f>
        <v>0</v>
      </c>
      <c r="M377" s="48" t="str">
        <f t="shared" si="16"/>
        <v xml:space="preserve"> </v>
      </c>
      <c r="N377" s="39" t="str">
        <f t="shared" si="17"/>
        <v xml:space="preserve"> </v>
      </c>
    </row>
    <row r="378" spans="1:14">
      <c r="A378" s="37">
        <f t="shared" si="15"/>
        <v>367</v>
      </c>
      <c r="G378" s="48" t="str">
        <f>IF(F378=""," ",IF(ISNA(VLOOKUP(D378,'[2]stock-take'!$A:$E,4,FALSE)), "OUT OF STOCK", VLOOKUP(D378,'[2]stock-take'!$A:$E,4,FALSE)))</f>
        <v xml:space="preserve"> </v>
      </c>
      <c r="H378" s="48">
        <f>IF(ISNA(VLOOKUP(D378,'[2]stock-take'!$A:$E,3,FALSE)), 0, VLOOKUP(D378,'[2]stock-take'!$A:$E,3,FALSE))</f>
        <v>0</v>
      </c>
      <c r="I378" s="48" t="str">
        <f>IF(F378="", " ",IF(ISNA(VLOOKUP(D378,'[2]stock-take'!$G:$K,4,FALSE)), "OUT OF STOCK", VLOOKUP(D378,'[2]stock-take'!$G:$K,4,FALSE)))</f>
        <v xml:space="preserve"> </v>
      </c>
      <c r="J378" s="39">
        <f>IF(ISNA(VLOOKUP(D378,'[2]stock-take'!$G:$K,3,FALSE)), 0, VLOOKUP(D378,'[2]stock-take'!$G:$K,3,FALSE))</f>
        <v>0</v>
      </c>
      <c r="K378" s="49" t="str">
        <f>IF(F378="", " ", IF(ISNA(VLOOKUP(D378,'[2]stock-take'!$M:$Q,4,FALSE)), "OUT OF STOCK", VLOOKUP(D378,'[2]stock-take'!$M:$Q,4,FALSE)))</f>
        <v xml:space="preserve"> </v>
      </c>
      <c r="L378" s="47">
        <f>IF(ISNA(VLOOKUP(D378,'[2]stock-take'!$M:$Q,3,FALSE)), 0, VLOOKUP(D378,'[2]stock-take'!$M:$Q,3,FALSE))</f>
        <v>0</v>
      </c>
      <c r="M378" s="48" t="str">
        <f t="shared" si="16"/>
        <v xml:space="preserve"> </v>
      </c>
      <c r="N378" s="39" t="str">
        <f t="shared" si="17"/>
        <v xml:space="preserve"> </v>
      </c>
    </row>
    <row r="379" spans="1:14">
      <c r="A379" s="37">
        <f t="shared" si="15"/>
        <v>368</v>
      </c>
      <c r="G379" s="48" t="str">
        <f>IF(F379=""," ",IF(ISNA(VLOOKUP(D379,'[2]stock-take'!$A:$E,4,FALSE)), "OUT OF STOCK", VLOOKUP(D379,'[2]stock-take'!$A:$E,4,FALSE)))</f>
        <v xml:space="preserve"> </v>
      </c>
      <c r="H379" s="48">
        <f>IF(ISNA(VLOOKUP(D379,'[2]stock-take'!$A:$E,3,FALSE)), 0, VLOOKUP(D379,'[2]stock-take'!$A:$E,3,FALSE))</f>
        <v>0</v>
      </c>
      <c r="I379" s="48" t="str">
        <f>IF(F379="", " ",IF(ISNA(VLOOKUP(D379,'[2]stock-take'!$G:$K,4,FALSE)), "OUT OF STOCK", VLOOKUP(D379,'[2]stock-take'!$G:$K,4,FALSE)))</f>
        <v xml:space="preserve"> </v>
      </c>
      <c r="J379" s="39">
        <f>IF(ISNA(VLOOKUP(D379,'[2]stock-take'!$G:$K,3,FALSE)), 0, VLOOKUP(D379,'[2]stock-take'!$G:$K,3,FALSE))</f>
        <v>0</v>
      </c>
      <c r="K379" s="49" t="str">
        <f>IF(F379="", " ", IF(ISNA(VLOOKUP(D379,'[2]stock-take'!$M:$Q,4,FALSE)), "OUT OF STOCK", VLOOKUP(D379,'[2]stock-take'!$M:$Q,4,FALSE)))</f>
        <v xml:space="preserve"> </v>
      </c>
      <c r="L379" s="47">
        <f>IF(ISNA(VLOOKUP(D379,'[2]stock-take'!$M:$Q,3,FALSE)), 0, VLOOKUP(D379,'[2]stock-take'!$M:$Q,3,FALSE))</f>
        <v>0</v>
      </c>
      <c r="M379" s="48" t="str">
        <f t="shared" si="16"/>
        <v xml:space="preserve"> </v>
      </c>
      <c r="N379" s="39" t="str">
        <f t="shared" si="17"/>
        <v xml:space="preserve"> </v>
      </c>
    </row>
    <row r="380" spans="1:14">
      <c r="A380" s="37">
        <f t="shared" si="15"/>
        <v>369</v>
      </c>
      <c r="G380" s="48" t="str">
        <f>IF(F380=""," ",IF(ISNA(VLOOKUP(D380,'[2]stock-take'!$A:$E,4,FALSE)), "OUT OF STOCK", VLOOKUP(D380,'[2]stock-take'!$A:$E,4,FALSE)))</f>
        <v xml:space="preserve"> </v>
      </c>
      <c r="H380" s="48">
        <f>IF(ISNA(VLOOKUP(D380,'[2]stock-take'!$A:$E,3,FALSE)), 0, VLOOKUP(D380,'[2]stock-take'!$A:$E,3,FALSE))</f>
        <v>0</v>
      </c>
      <c r="I380" s="48" t="str">
        <f>IF(F380="", " ",IF(ISNA(VLOOKUP(D380,'[2]stock-take'!$G:$K,4,FALSE)), "OUT OF STOCK", VLOOKUP(D380,'[2]stock-take'!$G:$K,4,FALSE)))</f>
        <v xml:space="preserve"> </v>
      </c>
      <c r="J380" s="39">
        <f>IF(ISNA(VLOOKUP(D380,'[2]stock-take'!$G:$K,3,FALSE)), 0, VLOOKUP(D380,'[2]stock-take'!$G:$K,3,FALSE))</f>
        <v>0</v>
      </c>
      <c r="K380" s="49" t="str">
        <f>IF(F380="", " ", IF(ISNA(VLOOKUP(D380,'[2]stock-take'!$M:$Q,4,FALSE)), "OUT OF STOCK", VLOOKUP(D380,'[2]stock-take'!$M:$Q,4,FALSE)))</f>
        <v xml:space="preserve"> </v>
      </c>
      <c r="L380" s="47">
        <f>IF(ISNA(VLOOKUP(D380,'[2]stock-take'!$M:$Q,3,FALSE)), 0, VLOOKUP(D380,'[2]stock-take'!$M:$Q,3,FALSE))</f>
        <v>0</v>
      </c>
      <c r="M380" s="48" t="str">
        <f t="shared" si="16"/>
        <v xml:space="preserve"> </v>
      </c>
      <c r="N380" s="39" t="str">
        <f t="shared" si="17"/>
        <v xml:space="preserve"> </v>
      </c>
    </row>
    <row r="381" spans="1:14">
      <c r="A381" s="37">
        <f t="shared" si="15"/>
        <v>370</v>
      </c>
      <c r="G381" s="48" t="str">
        <f>IF(F381=""," ",IF(ISNA(VLOOKUP(D381,'[2]stock-take'!$A:$E,4,FALSE)), "OUT OF STOCK", VLOOKUP(D381,'[2]stock-take'!$A:$E,4,FALSE)))</f>
        <v xml:space="preserve"> </v>
      </c>
      <c r="H381" s="48">
        <f>IF(ISNA(VLOOKUP(D381,'[2]stock-take'!$A:$E,3,FALSE)), 0, VLOOKUP(D381,'[2]stock-take'!$A:$E,3,FALSE))</f>
        <v>0</v>
      </c>
      <c r="I381" s="48" t="str">
        <f>IF(F381="", " ",IF(ISNA(VLOOKUP(D381,'[2]stock-take'!$G:$K,4,FALSE)), "OUT OF STOCK", VLOOKUP(D381,'[2]stock-take'!$G:$K,4,FALSE)))</f>
        <v xml:space="preserve"> </v>
      </c>
      <c r="J381" s="39">
        <f>IF(ISNA(VLOOKUP(D381,'[2]stock-take'!$G:$K,3,FALSE)), 0, VLOOKUP(D381,'[2]stock-take'!$G:$K,3,FALSE))</f>
        <v>0</v>
      </c>
      <c r="K381" s="49" t="str">
        <f>IF(F381="", " ", IF(ISNA(VLOOKUP(D381,'[2]stock-take'!$M:$Q,4,FALSE)), "OUT OF STOCK", VLOOKUP(D381,'[2]stock-take'!$M:$Q,4,FALSE)))</f>
        <v xml:space="preserve"> </v>
      </c>
      <c r="L381" s="47">
        <f>IF(ISNA(VLOOKUP(D381,'[2]stock-take'!$M:$Q,3,FALSE)), 0, VLOOKUP(D381,'[2]stock-take'!$M:$Q,3,FALSE))</f>
        <v>0</v>
      </c>
      <c r="M381" s="48" t="str">
        <f t="shared" si="16"/>
        <v xml:space="preserve"> </v>
      </c>
      <c r="N381" s="39" t="str">
        <f t="shared" si="17"/>
        <v xml:space="preserve"> </v>
      </c>
    </row>
    <row r="382" spans="1:14">
      <c r="A382" s="37">
        <f t="shared" si="15"/>
        <v>371</v>
      </c>
      <c r="G382" s="48" t="str">
        <f>IF(F382=""," ",IF(ISNA(VLOOKUP(D382,'[2]stock-take'!$A:$E,4,FALSE)), "OUT OF STOCK", VLOOKUP(D382,'[2]stock-take'!$A:$E,4,FALSE)))</f>
        <v xml:space="preserve"> </v>
      </c>
      <c r="H382" s="48">
        <f>IF(ISNA(VLOOKUP(D382,'[2]stock-take'!$A:$E,3,FALSE)), 0, VLOOKUP(D382,'[2]stock-take'!$A:$E,3,FALSE))</f>
        <v>0</v>
      </c>
      <c r="I382" s="48" t="str">
        <f>IF(F382="", " ",IF(ISNA(VLOOKUP(D382,'[2]stock-take'!$G:$K,4,FALSE)), "OUT OF STOCK", VLOOKUP(D382,'[2]stock-take'!$G:$K,4,FALSE)))</f>
        <v xml:space="preserve"> </v>
      </c>
      <c r="J382" s="39">
        <f>IF(ISNA(VLOOKUP(D382,'[2]stock-take'!$G:$K,3,FALSE)), 0, VLOOKUP(D382,'[2]stock-take'!$G:$K,3,FALSE))</f>
        <v>0</v>
      </c>
      <c r="K382" s="49" t="str">
        <f>IF(F382="", " ", IF(ISNA(VLOOKUP(D382,'[2]stock-take'!$M:$Q,4,FALSE)), "OUT OF STOCK", VLOOKUP(D382,'[2]stock-take'!$M:$Q,4,FALSE)))</f>
        <v xml:space="preserve"> </v>
      </c>
      <c r="L382" s="47">
        <f>IF(ISNA(VLOOKUP(D382,'[2]stock-take'!$M:$Q,3,FALSE)), 0, VLOOKUP(D382,'[2]stock-take'!$M:$Q,3,FALSE))</f>
        <v>0</v>
      </c>
      <c r="M382" s="48" t="str">
        <f t="shared" si="16"/>
        <v xml:space="preserve"> </v>
      </c>
      <c r="N382" s="39" t="str">
        <f t="shared" si="17"/>
        <v xml:space="preserve"> </v>
      </c>
    </row>
    <row r="383" spans="1:14">
      <c r="A383" s="37">
        <f t="shared" si="15"/>
        <v>372</v>
      </c>
      <c r="G383" s="48" t="str">
        <f>IF(F383=""," ",IF(ISNA(VLOOKUP(D383,'[2]stock-take'!$A:$E,4,FALSE)), "OUT OF STOCK", VLOOKUP(D383,'[2]stock-take'!$A:$E,4,FALSE)))</f>
        <v xml:space="preserve"> </v>
      </c>
      <c r="H383" s="48">
        <f>IF(ISNA(VLOOKUP(D383,'[2]stock-take'!$A:$E,3,FALSE)), 0, VLOOKUP(D383,'[2]stock-take'!$A:$E,3,FALSE))</f>
        <v>0</v>
      </c>
      <c r="I383" s="48" t="str">
        <f>IF(F383="", " ",IF(ISNA(VLOOKUP(D383,'[2]stock-take'!$G:$K,4,FALSE)), "OUT OF STOCK", VLOOKUP(D383,'[2]stock-take'!$G:$K,4,FALSE)))</f>
        <v xml:space="preserve"> </v>
      </c>
      <c r="J383" s="39">
        <f>IF(ISNA(VLOOKUP(D383,'[2]stock-take'!$G:$K,3,FALSE)), 0, VLOOKUP(D383,'[2]stock-take'!$G:$K,3,FALSE))</f>
        <v>0</v>
      </c>
      <c r="K383" s="49" t="str">
        <f>IF(F383="", " ", IF(ISNA(VLOOKUP(D383,'[2]stock-take'!$M:$Q,4,FALSE)), "OUT OF STOCK", VLOOKUP(D383,'[2]stock-take'!$M:$Q,4,FALSE)))</f>
        <v xml:space="preserve"> </v>
      </c>
      <c r="L383" s="47">
        <f>IF(ISNA(VLOOKUP(D383,'[2]stock-take'!$M:$Q,3,FALSE)), 0, VLOOKUP(D383,'[2]stock-take'!$M:$Q,3,FALSE))</f>
        <v>0</v>
      </c>
      <c r="M383" s="48" t="str">
        <f t="shared" si="16"/>
        <v xml:space="preserve"> </v>
      </c>
      <c r="N383" s="39" t="str">
        <f t="shared" si="17"/>
        <v xml:space="preserve"> </v>
      </c>
    </row>
    <row r="384" spans="1:14">
      <c r="A384" s="37">
        <f t="shared" si="15"/>
        <v>373</v>
      </c>
      <c r="G384" s="48" t="str">
        <f>IF(F384=""," ",IF(ISNA(VLOOKUP(D384,'[2]stock-take'!$A:$E,4,FALSE)), "OUT OF STOCK", VLOOKUP(D384,'[2]stock-take'!$A:$E,4,FALSE)))</f>
        <v xml:space="preserve"> </v>
      </c>
      <c r="H384" s="48">
        <f>IF(ISNA(VLOOKUP(D384,'[2]stock-take'!$A:$E,3,FALSE)), 0, VLOOKUP(D384,'[2]stock-take'!$A:$E,3,FALSE))</f>
        <v>0</v>
      </c>
      <c r="I384" s="48" t="str">
        <f>IF(F384="", " ",IF(ISNA(VLOOKUP(D384,'[2]stock-take'!$G:$K,4,FALSE)), "OUT OF STOCK", VLOOKUP(D384,'[2]stock-take'!$G:$K,4,FALSE)))</f>
        <v xml:space="preserve"> </v>
      </c>
      <c r="J384" s="39">
        <f>IF(ISNA(VLOOKUP(D384,'[2]stock-take'!$G:$K,3,FALSE)), 0, VLOOKUP(D384,'[2]stock-take'!$G:$K,3,FALSE))</f>
        <v>0</v>
      </c>
      <c r="K384" s="49" t="str">
        <f>IF(F384="", " ", IF(ISNA(VLOOKUP(D384,'[2]stock-take'!$M:$Q,4,FALSE)), "OUT OF STOCK", VLOOKUP(D384,'[2]stock-take'!$M:$Q,4,FALSE)))</f>
        <v xml:space="preserve"> </v>
      </c>
      <c r="L384" s="47">
        <f>IF(ISNA(VLOOKUP(D384,'[2]stock-take'!$M:$Q,3,FALSE)), 0, VLOOKUP(D384,'[2]stock-take'!$M:$Q,3,FALSE))</f>
        <v>0</v>
      </c>
      <c r="M384" s="48" t="str">
        <f t="shared" si="16"/>
        <v xml:space="preserve"> </v>
      </c>
      <c r="N384" s="39" t="str">
        <f t="shared" si="17"/>
        <v xml:space="preserve"> </v>
      </c>
    </row>
    <row r="385" spans="1:14">
      <c r="A385" s="37">
        <f t="shared" si="15"/>
        <v>374</v>
      </c>
      <c r="G385" s="48" t="str">
        <f>IF(F385=""," ",IF(ISNA(VLOOKUP(D385,'[2]stock-take'!$A:$E,4,FALSE)), "OUT OF STOCK", VLOOKUP(D385,'[2]stock-take'!$A:$E,4,FALSE)))</f>
        <v xml:space="preserve"> </v>
      </c>
      <c r="H385" s="48">
        <f>IF(ISNA(VLOOKUP(D385,'[2]stock-take'!$A:$E,3,FALSE)), 0, VLOOKUP(D385,'[2]stock-take'!$A:$E,3,FALSE))</f>
        <v>0</v>
      </c>
      <c r="I385" s="48" t="str">
        <f>IF(F385="", " ",IF(ISNA(VLOOKUP(D385,'[2]stock-take'!$G:$K,4,FALSE)), "OUT OF STOCK", VLOOKUP(D385,'[2]stock-take'!$G:$K,4,FALSE)))</f>
        <v xml:space="preserve"> </v>
      </c>
      <c r="J385" s="39">
        <f>IF(ISNA(VLOOKUP(D385,'[2]stock-take'!$G:$K,3,FALSE)), 0, VLOOKUP(D385,'[2]stock-take'!$G:$K,3,FALSE))</f>
        <v>0</v>
      </c>
      <c r="K385" s="49" t="str">
        <f>IF(F385="", " ", IF(ISNA(VLOOKUP(D385,'[2]stock-take'!$M:$Q,4,FALSE)), "OUT OF STOCK", VLOOKUP(D385,'[2]stock-take'!$M:$Q,4,FALSE)))</f>
        <v xml:space="preserve"> </v>
      </c>
      <c r="L385" s="47">
        <f>IF(ISNA(VLOOKUP(D385,'[2]stock-take'!$M:$Q,3,FALSE)), 0, VLOOKUP(D385,'[2]stock-take'!$M:$Q,3,FALSE))</f>
        <v>0</v>
      </c>
      <c r="M385" s="48" t="str">
        <f t="shared" si="16"/>
        <v xml:space="preserve"> </v>
      </c>
      <c r="N385" s="39" t="str">
        <f t="shared" si="17"/>
        <v xml:space="preserve"> </v>
      </c>
    </row>
    <row r="386" spans="1:14">
      <c r="A386" s="37">
        <f t="shared" si="15"/>
        <v>375</v>
      </c>
      <c r="G386" s="48" t="str">
        <f>IF(F386=""," ",IF(ISNA(VLOOKUP(D386,'[2]stock-take'!$A:$E,4,FALSE)), "OUT OF STOCK", VLOOKUP(D386,'[2]stock-take'!$A:$E,4,FALSE)))</f>
        <v xml:space="preserve"> </v>
      </c>
      <c r="H386" s="48">
        <f>IF(ISNA(VLOOKUP(D386,'[2]stock-take'!$A:$E,3,FALSE)), 0, VLOOKUP(D386,'[2]stock-take'!$A:$E,3,FALSE))</f>
        <v>0</v>
      </c>
      <c r="I386" s="48" t="str">
        <f>IF(F386="", " ",IF(ISNA(VLOOKUP(D386,'[2]stock-take'!$G:$K,4,FALSE)), "OUT OF STOCK", VLOOKUP(D386,'[2]stock-take'!$G:$K,4,FALSE)))</f>
        <v xml:space="preserve"> </v>
      </c>
      <c r="J386" s="39">
        <f>IF(ISNA(VLOOKUP(D386,'[2]stock-take'!$G:$K,3,FALSE)), 0, VLOOKUP(D386,'[2]stock-take'!$G:$K,3,FALSE))</f>
        <v>0</v>
      </c>
      <c r="K386" s="49" t="str">
        <f>IF(F386="", " ", IF(ISNA(VLOOKUP(D386,'[2]stock-take'!$M:$Q,4,FALSE)), "OUT OF STOCK", VLOOKUP(D386,'[2]stock-take'!$M:$Q,4,FALSE)))</f>
        <v xml:space="preserve"> </v>
      </c>
      <c r="L386" s="47">
        <f>IF(ISNA(VLOOKUP(D386,'[2]stock-take'!$M:$Q,3,FALSE)), 0, VLOOKUP(D386,'[2]stock-take'!$M:$Q,3,FALSE))</f>
        <v>0</v>
      </c>
      <c r="M386" s="48" t="str">
        <f t="shared" si="16"/>
        <v xml:space="preserve"> </v>
      </c>
      <c r="N386" s="39" t="str">
        <f t="shared" si="17"/>
        <v xml:space="preserve"> </v>
      </c>
    </row>
    <row r="387" spans="1:14">
      <c r="A387" s="37">
        <f t="shared" si="15"/>
        <v>376</v>
      </c>
      <c r="G387" s="48" t="str">
        <f>IF(F387=""," ",IF(ISNA(VLOOKUP(D387,'[2]stock-take'!$A:$E,4,FALSE)), "OUT OF STOCK", VLOOKUP(D387,'[2]stock-take'!$A:$E,4,FALSE)))</f>
        <v xml:space="preserve"> </v>
      </c>
      <c r="H387" s="48">
        <f>IF(ISNA(VLOOKUP(D387,'[2]stock-take'!$A:$E,3,FALSE)), 0, VLOOKUP(D387,'[2]stock-take'!$A:$E,3,FALSE))</f>
        <v>0</v>
      </c>
      <c r="I387" s="48" t="str">
        <f>IF(F387="", " ",IF(ISNA(VLOOKUP(D387,'[2]stock-take'!$G:$K,4,FALSE)), "OUT OF STOCK", VLOOKUP(D387,'[2]stock-take'!$G:$K,4,FALSE)))</f>
        <v xml:space="preserve"> </v>
      </c>
      <c r="J387" s="39">
        <f>IF(ISNA(VLOOKUP(D387,'[2]stock-take'!$G:$K,3,FALSE)), 0, VLOOKUP(D387,'[2]stock-take'!$G:$K,3,FALSE))</f>
        <v>0</v>
      </c>
      <c r="K387" s="49" t="str">
        <f>IF(F387="", " ", IF(ISNA(VLOOKUP(D387,'[2]stock-take'!$M:$Q,4,FALSE)), "OUT OF STOCK", VLOOKUP(D387,'[2]stock-take'!$M:$Q,4,FALSE)))</f>
        <v xml:space="preserve"> </v>
      </c>
      <c r="L387" s="47">
        <f>IF(ISNA(VLOOKUP(D387,'[2]stock-take'!$M:$Q,3,FALSE)), 0, VLOOKUP(D387,'[2]stock-take'!$M:$Q,3,FALSE))</f>
        <v>0</v>
      </c>
      <c r="M387" s="48" t="str">
        <f t="shared" si="16"/>
        <v xml:space="preserve"> </v>
      </c>
      <c r="N387" s="39" t="str">
        <f t="shared" si="17"/>
        <v xml:space="preserve"> </v>
      </c>
    </row>
    <row r="388" spans="1:14">
      <c r="A388" s="37">
        <f t="shared" si="15"/>
        <v>377</v>
      </c>
      <c r="G388" s="48" t="str">
        <f>IF(F388=""," ",IF(ISNA(VLOOKUP(D388,'[2]stock-take'!$A:$E,4,FALSE)), "OUT OF STOCK", VLOOKUP(D388,'[2]stock-take'!$A:$E,4,FALSE)))</f>
        <v xml:space="preserve"> </v>
      </c>
      <c r="H388" s="48">
        <f>IF(ISNA(VLOOKUP(D388,'[2]stock-take'!$A:$E,3,FALSE)), 0, VLOOKUP(D388,'[2]stock-take'!$A:$E,3,FALSE))</f>
        <v>0</v>
      </c>
      <c r="I388" s="48" t="str">
        <f>IF(F388="", " ",IF(ISNA(VLOOKUP(D388,'[2]stock-take'!$G:$K,4,FALSE)), "OUT OF STOCK", VLOOKUP(D388,'[2]stock-take'!$G:$K,4,FALSE)))</f>
        <v xml:space="preserve"> </v>
      </c>
      <c r="J388" s="39">
        <f>IF(ISNA(VLOOKUP(D388,'[2]stock-take'!$G:$K,3,FALSE)), 0, VLOOKUP(D388,'[2]stock-take'!$G:$K,3,FALSE))</f>
        <v>0</v>
      </c>
      <c r="K388" s="49" t="str">
        <f>IF(F388="", " ", IF(ISNA(VLOOKUP(D388,'[2]stock-take'!$M:$Q,4,FALSE)), "OUT OF STOCK", VLOOKUP(D388,'[2]stock-take'!$M:$Q,4,FALSE)))</f>
        <v xml:space="preserve"> </v>
      </c>
      <c r="L388" s="47">
        <f>IF(ISNA(VLOOKUP(D388,'[2]stock-take'!$M:$Q,3,FALSE)), 0, VLOOKUP(D388,'[2]stock-take'!$M:$Q,3,FALSE))</f>
        <v>0</v>
      </c>
      <c r="M388" s="48" t="str">
        <f t="shared" si="16"/>
        <v xml:space="preserve"> </v>
      </c>
      <c r="N388" s="39" t="str">
        <f t="shared" si="17"/>
        <v xml:space="preserve"> </v>
      </c>
    </row>
    <row r="389" spans="1:14">
      <c r="A389" s="37">
        <f t="shared" si="15"/>
        <v>378</v>
      </c>
      <c r="G389" s="48" t="str">
        <f>IF(F389=""," ",IF(ISNA(VLOOKUP(D389,'[2]stock-take'!$A:$E,4,FALSE)), "OUT OF STOCK", VLOOKUP(D389,'[2]stock-take'!$A:$E,4,FALSE)))</f>
        <v xml:space="preserve"> </v>
      </c>
      <c r="H389" s="48">
        <f>IF(ISNA(VLOOKUP(D389,'[2]stock-take'!$A:$E,3,FALSE)), 0, VLOOKUP(D389,'[2]stock-take'!$A:$E,3,FALSE))</f>
        <v>0</v>
      </c>
      <c r="I389" s="48" t="str">
        <f>IF(F389="", " ",IF(ISNA(VLOOKUP(D389,'[2]stock-take'!$G:$K,4,FALSE)), "OUT OF STOCK", VLOOKUP(D389,'[2]stock-take'!$G:$K,4,FALSE)))</f>
        <v xml:space="preserve"> </v>
      </c>
      <c r="J389" s="39">
        <f>IF(ISNA(VLOOKUP(D389,'[2]stock-take'!$G:$K,3,FALSE)), 0, VLOOKUP(D389,'[2]stock-take'!$G:$K,3,FALSE))</f>
        <v>0</v>
      </c>
      <c r="K389" s="49" t="str">
        <f>IF(F389="", " ", IF(ISNA(VLOOKUP(D389,'[2]stock-take'!$M:$Q,4,FALSE)), "OUT OF STOCK", VLOOKUP(D389,'[2]stock-take'!$M:$Q,4,FALSE)))</f>
        <v xml:space="preserve"> </v>
      </c>
      <c r="L389" s="47">
        <f>IF(ISNA(VLOOKUP(D389,'[2]stock-take'!$M:$Q,3,FALSE)), 0, VLOOKUP(D389,'[2]stock-take'!$M:$Q,3,FALSE))</f>
        <v>0</v>
      </c>
      <c r="M389" s="48" t="str">
        <f t="shared" si="16"/>
        <v xml:space="preserve"> </v>
      </c>
      <c r="N389" s="39" t="str">
        <f t="shared" si="17"/>
        <v xml:space="preserve"> </v>
      </c>
    </row>
    <row r="390" spans="1:14">
      <c r="A390" s="37">
        <f t="shared" si="15"/>
        <v>379</v>
      </c>
      <c r="G390" s="48" t="str">
        <f>IF(F390=""," ",IF(ISNA(VLOOKUP(D390,'[2]stock-take'!$A:$E,4,FALSE)), "OUT OF STOCK", VLOOKUP(D390,'[2]stock-take'!$A:$E,4,FALSE)))</f>
        <v xml:space="preserve"> </v>
      </c>
      <c r="H390" s="48">
        <f>IF(ISNA(VLOOKUP(D390,'[2]stock-take'!$A:$E,3,FALSE)), 0, VLOOKUP(D390,'[2]stock-take'!$A:$E,3,FALSE))</f>
        <v>0</v>
      </c>
      <c r="I390" s="48" t="str">
        <f>IF(F390="", " ",IF(ISNA(VLOOKUP(D390,'[2]stock-take'!$G:$K,4,FALSE)), "OUT OF STOCK", VLOOKUP(D390,'[2]stock-take'!$G:$K,4,FALSE)))</f>
        <v xml:space="preserve"> </v>
      </c>
      <c r="J390" s="39">
        <f>IF(ISNA(VLOOKUP(D390,'[2]stock-take'!$G:$K,3,FALSE)), 0, VLOOKUP(D390,'[2]stock-take'!$G:$K,3,FALSE))</f>
        <v>0</v>
      </c>
      <c r="K390" s="49" t="str">
        <f>IF(F390="", " ", IF(ISNA(VLOOKUP(D390,'[2]stock-take'!$M:$Q,4,FALSE)), "OUT OF STOCK", VLOOKUP(D390,'[2]stock-take'!$M:$Q,4,FALSE)))</f>
        <v xml:space="preserve"> </v>
      </c>
      <c r="L390" s="47">
        <f>IF(ISNA(VLOOKUP(D390,'[2]stock-take'!$M:$Q,3,FALSE)), 0, VLOOKUP(D390,'[2]stock-take'!$M:$Q,3,FALSE))</f>
        <v>0</v>
      </c>
      <c r="M390" s="48" t="str">
        <f t="shared" si="16"/>
        <v xml:space="preserve"> </v>
      </c>
      <c r="N390" s="39" t="str">
        <f t="shared" si="17"/>
        <v xml:space="preserve"> </v>
      </c>
    </row>
    <row r="391" spans="1:14">
      <c r="A391" s="37">
        <f t="shared" si="15"/>
        <v>380</v>
      </c>
      <c r="G391" s="48" t="str">
        <f>IF(F391=""," ",IF(ISNA(VLOOKUP(D391,'[2]stock-take'!$A:$E,4,FALSE)), "OUT OF STOCK", VLOOKUP(D391,'[2]stock-take'!$A:$E,4,FALSE)))</f>
        <v xml:space="preserve"> </v>
      </c>
      <c r="H391" s="48">
        <f>IF(ISNA(VLOOKUP(D391,'[2]stock-take'!$A:$E,3,FALSE)), 0, VLOOKUP(D391,'[2]stock-take'!$A:$E,3,FALSE))</f>
        <v>0</v>
      </c>
      <c r="I391" s="48" t="str">
        <f>IF(F391="", " ",IF(ISNA(VLOOKUP(D391,'[2]stock-take'!$G:$K,4,FALSE)), "OUT OF STOCK", VLOOKUP(D391,'[2]stock-take'!$G:$K,4,FALSE)))</f>
        <v xml:space="preserve"> </v>
      </c>
      <c r="J391" s="39">
        <f>IF(ISNA(VLOOKUP(D391,'[2]stock-take'!$G:$K,3,FALSE)), 0, VLOOKUP(D391,'[2]stock-take'!$G:$K,3,FALSE))</f>
        <v>0</v>
      </c>
      <c r="K391" s="49" t="str">
        <f>IF(F391="", " ", IF(ISNA(VLOOKUP(D391,'[2]stock-take'!$M:$Q,4,FALSE)), "OUT OF STOCK", VLOOKUP(D391,'[2]stock-take'!$M:$Q,4,FALSE)))</f>
        <v xml:space="preserve"> </v>
      </c>
      <c r="L391" s="47">
        <f>IF(ISNA(VLOOKUP(D391,'[2]stock-take'!$M:$Q,3,FALSE)), 0, VLOOKUP(D391,'[2]stock-take'!$M:$Q,3,FALSE))</f>
        <v>0</v>
      </c>
      <c r="M391" s="48" t="str">
        <f t="shared" si="16"/>
        <v xml:space="preserve"> </v>
      </c>
      <c r="N391" s="39" t="str">
        <f t="shared" si="17"/>
        <v xml:space="preserve"> </v>
      </c>
    </row>
    <row r="392" spans="1:14">
      <c r="A392" s="37">
        <f t="shared" si="15"/>
        <v>381</v>
      </c>
      <c r="G392" s="48" t="str">
        <f>IF(F392=""," ",IF(ISNA(VLOOKUP(D392,'[2]stock-take'!$A:$E,4,FALSE)), "OUT OF STOCK", VLOOKUP(D392,'[2]stock-take'!$A:$E,4,FALSE)))</f>
        <v xml:space="preserve"> </v>
      </c>
      <c r="H392" s="48">
        <f>IF(ISNA(VLOOKUP(D392,'[2]stock-take'!$A:$E,3,FALSE)), 0, VLOOKUP(D392,'[2]stock-take'!$A:$E,3,FALSE))</f>
        <v>0</v>
      </c>
      <c r="I392" s="48" t="str">
        <f>IF(F392="", " ",IF(ISNA(VLOOKUP(D392,'[2]stock-take'!$G:$K,4,FALSE)), "OUT OF STOCK", VLOOKUP(D392,'[2]stock-take'!$G:$K,4,FALSE)))</f>
        <v xml:space="preserve"> </v>
      </c>
      <c r="J392" s="39">
        <f>IF(ISNA(VLOOKUP(D392,'[2]stock-take'!$G:$K,3,FALSE)), 0, VLOOKUP(D392,'[2]stock-take'!$G:$K,3,FALSE))</f>
        <v>0</v>
      </c>
      <c r="K392" s="49" t="str">
        <f>IF(F392="", " ", IF(ISNA(VLOOKUP(D392,'[2]stock-take'!$M:$Q,4,FALSE)), "OUT OF STOCK", VLOOKUP(D392,'[2]stock-take'!$M:$Q,4,FALSE)))</f>
        <v xml:space="preserve"> </v>
      </c>
      <c r="L392" s="47">
        <f>IF(ISNA(VLOOKUP(D392,'[2]stock-take'!$M:$Q,3,FALSE)), 0, VLOOKUP(D392,'[2]stock-take'!$M:$Q,3,FALSE))</f>
        <v>0</v>
      </c>
      <c r="M392" s="48" t="str">
        <f t="shared" si="16"/>
        <v xml:space="preserve"> </v>
      </c>
      <c r="N392" s="39" t="str">
        <f t="shared" si="17"/>
        <v xml:space="preserve"> </v>
      </c>
    </row>
    <row r="393" spans="1:14">
      <c r="A393" s="37">
        <f t="shared" si="15"/>
        <v>382</v>
      </c>
      <c r="G393" s="48" t="str">
        <f>IF(F393=""," ",IF(ISNA(VLOOKUP(D393,'[2]stock-take'!$A:$E,4,FALSE)), "OUT OF STOCK", VLOOKUP(D393,'[2]stock-take'!$A:$E,4,FALSE)))</f>
        <v xml:space="preserve"> </v>
      </c>
      <c r="H393" s="48">
        <f>IF(ISNA(VLOOKUP(D393,'[2]stock-take'!$A:$E,3,FALSE)), 0, VLOOKUP(D393,'[2]stock-take'!$A:$E,3,FALSE))</f>
        <v>0</v>
      </c>
      <c r="I393" s="48" t="str">
        <f>IF(F393="", " ",IF(ISNA(VLOOKUP(D393,'[2]stock-take'!$G:$K,4,FALSE)), "OUT OF STOCK", VLOOKUP(D393,'[2]stock-take'!$G:$K,4,FALSE)))</f>
        <v xml:space="preserve"> </v>
      </c>
      <c r="J393" s="39">
        <f>IF(ISNA(VLOOKUP(D393,'[2]stock-take'!$G:$K,3,FALSE)), 0, VLOOKUP(D393,'[2]stock-take'!$G:$K,3,FALSE))</f>
        <v>0</v>
      </c>
      <c r="K393" s="49" t="str">
        <f>IF(F393="", " ", IF(ISNA(VLOOKUP(D393,'[2]stock-take'!$M:$Q,4,FALSE)), "OUT OF STOCK", VLOOKUP(D393,'[2]stock-take'!$M:$Q,4,FALSE)))</f>
        <v xml:space="preserve"> </v>
      </c>
      <c r="L393" s="47">
        <f>IF(ISNA(VLOOKUP(D393,'[2]stock-take'!$M:$Q,3,FALSE)), 0, VLOOKUP(D393,'[2]stock-take'!$M:$Q,3,FALSE))</f>
        <v>0</v>
      </c>
      <c r="M393" s="48" t="str">
        <f t="shared" si="16"/>
        <v xml:space="preserve"> </v>
      </c>
      <c r="N393" s="39" t="str">
        <f t="shared" si="17"/>
        <v xml:space="preserve"> </v>
      </c>
    </row>
    <row r="394" spans="1:14">
      <c r="A394" s="37">
        <f t="shared" si="15"/>
        <v>383</v>
      </c>
      <c r="G394" s="48" t="str">
        <f>IF(F394=""," ",IF(ISNA(VLOOKUP(D394,'[2]stock-take'!$A:$E,4,FALSE)), "OUT OF STOCK", VLOOKUP(D394,'[2]stock-take'!$A:$E,4,FALSE)))</f>
        <v xml:space="preserve"> </v>
      </c>
      <c r="H394" s="48">
        <f>IF(ISNA(VLOOKUP(D394,'[2]stock-take'!$A:$E,3,FALSE)), 0, VLOOKUP(D394,'[2]stock-take'!$A:$E,3,FALSE))</f>
        <v>0</v>
      </c>
      <c r="I394" s="48" t="str">
        <f>IF(F394="", " ",IF(ISNA(VLOOKUP(D394,'[2]stock-take'!$G:$K,4,FALSE)), "OUT OF STOCK", VLOOKUP(D394,'[2]stock-take'!$G:$K,4,FALSE)))</f>
        <v xml:space="preserve"> </v>
      </c>
      <c r="J394" s="39">
        <f>IF(ISNA(VLOOKUP(D394,'[2]stock-take'!$G:$K,3,FALSE)), 0, VLOOKUP(D394,'[2]stock-take'!$G:$K,3,FALSE))</f>
        <v>0</v>
      </c>
      <c r="K394" s="49" t="str">
        <f>IF(F394="", " ", IF(ISNA(VLOOKUP(D394,'[2]stock-take'!$M:$Q,4,FALSE)), "OUT OF STOCK", VLOOKUP(D394,'[2]stock-take'!$M:$Q,4,FALSE)))</f>
        <v xml:space="preserve"> </v>
      </c>
      <c r="L394" s="47">
        <f>IF(ISNA(VLOOKUP(D394,'[2]stock-take'!$M:$Q,3,FALSE)), 0, VLOOKUP(D394,'[2]stock-take'!$M:$Q,3,FALSE))</f>
        <v>0</v>
      </c>
      <c r="M394" s="48" t="str">
        <f t="shared" si="16"/>
        <v xml:space="preserve"> </v>
      </c>
      <c r="N394" s="39" t="str">
        <f t="shared" si="17"/>
        <v xml:space="preserve"> </v>
      </c>
    </row>
    <row r="395" spans="1:14">
      <c r="A395" s="37">
        <f t="shared" si="15"/>
        <v>384</v>
      </c>
      <c r="G395" s="48" t="str">
        <f>IF(F395=""," ",IF(ISNA(VLOOKUP(D395,'[2]stock-take'!$A:$E,4,FALSE)), "OUT OF STOCK", VLOOKUP(D395,'[2]stock-take'!$A:$E,4,FALSE)))</f>
        <v xml:space="preserve"> </v>
      </c>
      <c r="H395" s="48">
        <f>IF(ISNA(VLOOKUP(D395,'[2]stock-take'!$A:$E,3,FALSE)), 0, VLOOKUP(D395,'[2]stock-take'!$A:$E,3,FALSE))</f>
        <v>0</v>
      </c>
      <c r="I395" s="48" t="str">
        <f>IF(F395="", " ",IF(ISNA(VLOOKUP(D395,'[2]stock-take'!$G:$K,4,FALSE)), "OUT OF STOCK", VLOOKUP(D395,'[2]stock-take'!$G:$K,4,FALSE)))</f>
        <v xml:space="preserve"> </v>
      </c>
      <c r="J395" s="39">
        <f>IF(ISNA(VLOOKUP(D395,'[2]stock-take'!$G:$K,3,FALSE)), 0, VLOOKUP(D395,'[2]stock-take'!$G:$K,3,FALSE))</f>
        <v>0</v>
      </c>
      <c r="K395" s="49" t="str">
        <f>IF(F395="", " ", IF(ISNA(VLOOKUP(D395,'[2]stock-take'!$M:$Q,4,FALSE)), "OUT OF STOCK", VLOOKUP(D395,'[2]stock-take'!$M:$Q,4,FALSE)))</f>
        <v xml:space="preserve"> </v>
      </c>
      <c r="L395" s="47">
        <f>IF(ISNA(VLOOKUP(D395,'[2]stock-take'!$M:$Q,3,FALSE)), 0, VLOOKUP(D395,'[2]stock-take'!$M:$Q,3,FALSE))</f>
        <v>0</v>
      </c>
      <c r="M395" s="48" t="str">
        <f t="shared" si="16"/>
        <v xml:space="preserve"> </v>
      </c>
      <c r="N395" s="39" t="str">
        <f t="shared" si="17"/>
        <v xml:space="preserve"> </v>
      </c>
    </row>
    <row r="396" spans="1:14">
      <c r="A396" s="37">
        <f t="shared" ref="A396:A459" si="18">ROW(A396)-11</f>
        <v>385</v>
      </c>
      <c r="G396" s="48" t="str">
        <f>IF(F396=""," ",IF(ISNA(VLOOKUP(D396,'[2]stock-take'!$A:$E,4,FALSE)), "OUT OF STOCK", VLOOKUP(D396,'[2]stock-take'!$A:$E,4,FALSE)))</f>
        <v xml:space="preserve"> </v>
      </c>
      <c r="H396" s="48">
        <f>IF(ISNA(VLOOKUP(D396,'[2]stock-take'!$A:$E,3,FALSE)), 0, VLOOKUP(D396,'[2]stock-take'!$A:$E,3,FALSE))</f>
        <v>0</v>
      </c>
      <c r="I396" s="48" t="str">
        <f>IF(F396="", " ",IF(ISNA(VLOOKUP(D396,'[2]stock-take'!$G:$K,4,FALSE)), "OUT OF STOCK", VLOOKUP(D396,'[2]stock-take'!$G:$K,4,FALSE)))</f>
        <v xml:space="preserve"> </v>
      </c>
      <c r="J396" s="39">
        <f>IF(ISNA(VLOOKUP(D396,'[2]stock-take'!$G:$K,3,FALSE)), 0, VLOOKUP(D396,'[2]stock-take'!$G:$K,3,FALSE))</f>
        <v>0</v>
      </c>
      <c r="K396" s="49" t="str">
        <f>IF(F396="", " ", IF(ISNA(VLOOKUP(D396,'[2]stock-take'!$M:$Q,4,FALSE)), "OUT OF STOCK", VLOOKUP(D396,'[2]stock-take'!$M:$Q,4,FALSE)))</f>
        <v xml:space="preserve"> </v>
      </c>
      <c r="L396" s="47">
        <f>IF(ISNA(VLOOKUP(D396,'[2]stock-take'!$M:$Q,3,FALSE)), 0, VLOOKUP(D396,'[2]stock-take'!$M:$Q,3,FALSE))</f>
        <v>0</v>
      </c>
      <c r="M396" s="48" t="str">
        <f t="shared" si="16"/>
        <v xml:space="preserve"> </v>
      </c>
      <c r="N396" s="39" t="str">
        <f t="shared" si="17"/>
        <v xml:space="preserve"> </v>
      </c>
    </row>
    <row r="397" spans="1:14">
      <c r="A397" s="37">
        <f t="shared" si="18"/>
        <v>386</v>
      </c>
      <c r="G397" s="48" t="str">
        <f>IF(F397=""," ",IF(ISNA(VLOOKUP(D397,'[2]stock-take'!$A:$E,4,FALSE)), "OUT OF STOCK", VLOOKUP(D397,'[2]stock-take'!$A:$E,4,FALSE)))</f>
        <v xml:space="preserve"> </v>
      </c>
      <c r="H397" s="48">
        <f>IF(ISNA(VLOOKUP(D397,'[2]stock-take'!$A:$E,3,FALSE)), 0, VLOOKUP(D397,'[2]stock-take'!$A:$E,3,FALSE))</f>
        <v>0</v>
      </c>
      <c r="I397" s="48" t="str">
        <f>IF(F397="", " ",IF(ISNA(VLOOKUP(D397,'[2]stock-take'!$G:$K,4,FALSE)), "OUT OF STOCK", VLOOKUP(D397,'[2]stock-take'!$G:$K,4,FALSE)))</f>
        <v xml:space="preserve"> </v>
      </c>
      <c r="J397" s="39">
        <f>IF(ISNA(VLOOKUP(D397,'[2]stock-take'!$G:$K,3,FALSE)), 0, VLOOKUP(D397,'[2]stock-take'!$G:$K,3,FALSE))</f>
        <v>0</v>
      </c>
      <c r="K397" s="49" t="str">
        <f>IF(F397="", " ", IF(ISNA(VLOOKUP(D397,'[2]stock-take'!$M:$Q,4,FALSE)), "OUT OF STOCK", VLOOKUP(D397,'[2]stock-take'!$M:$Q,4,FALSE)))</f>
        <v xml:space="preserve"> </v>
      </c>
      <c r="L397" s="47">
        <f>IF(ISNA(VLOOKUP(D397,'[2]stock-take'!$M:$Q,3,FALSE)), 0, VLOOKUP(D397,'[2]stock-take'!$M:$Q,3,FALSE))</f>
        <v>0</v>
      </c>
      <c r="M397" s="48" t="str">
        <f t="shared" ref="M397:M460" si="19">IF(F397=""," ",IF(H397&gt;=F397,"Y",IF(J397&gt;=F397,"Y",IF(L397&gt;=F397,"Y",IF(SUM(H397,J397,L397)&gt;=F397,"Y","N")))))</f>
        <v xml:space="preserve"> </v>
      </c>
      <c r="N397" s="39" t="str">
        <f t="shared" ref="N397:N460" si="20">IF(F397=""," ",IF(H397&gt;=F397,"ILOOM",IF(J397&gt;=F397,"NO.6",IF(L397&gt;=F397,"RMD",IF(SUM(H397,J397,L397)&gt;=F397,"MULTI","LACK")))))</f>
        <v xml:space="preserve"> </v>
      </c>
    </row>
    <row r="398" spans="1:14">
      <c r="A398" s="37">
        <f t="shared" si="18"/>
        <v>387</v>
      </c>
      <c r="G398" s="48" t="str">
        <f>IF(F398=""," ",IF(ISNA(VLOOKUP(D398,'[2]stock-take'!$A:$E,4,FALSE)), "OUT OF STOCK", VLOOKUP(D398,'[2]stock-take'!$A:$E,4,FALSE)))</f>
        <v xml:space="preserve"> </v>
      </c>
      <c r="H398" s="48">
        <f>IF(ISNA(VLOOKUP(D398,'[2]stock-take'!$A:$E,3,FALSE)), 0, VLOOKUP(D398,'[2]stock-take'!$A:$E,3,FALSE))</f>
        <v>0</v>
      </c>
      <c r="I398" s="48" t="str">
        <f>IF(F398="", " ",IF(ISNA(VLOOKUP(D398,'[2]stock-take'!$G:$K,4,FALSE)), "OUT OF STOCK", VLOOKUP(D398,'[2]stock-take'!$G:$K,4,FALSE)))</f>
        <v xml:space="preserve"> </v>
      </c>
      <c r="J398" s="39">
        <f>IF(ISNA(VLOOKUP(D398,'[2]stock-take'!$G:$K,3,FALSE)), 0, VLOOKUP(D398,'[2]stock-take'!$G:$K,3,FALSE))</f>
        <v>0</v>
      </c>
      <c r="K398" s="49" t="str">
        <f>IF(F398="", " ", IF(ISNA(VLOOKUP(D398,'[2]stock-take'!$M:$Q,4,FALSE)), "OUT OF STOCK", VLOOKUP(D398,'[2]stock-take'!$M:$Q,4,FALSE)))</f>
        <v xml:space="preserve"> </v>
      </c>
      <c r="L398" s="47">
        <f>IF(ISNA(VLOOKUP(D398,'[2]stock-take'!$M:$Q,3,FALSE)), 0, VLOOKUP(D398,'[2]stock-take'!$M:$Q,3,FALSE))</f>
        <v>0</v>
      </c>
      <c r="M398" s="48" t="str">
        <f t="shared" si="19"/>
        <v xml:space="preserve"> </v>
      </c>
      <c r="N398" s="39" t="str">
        <f t="shared" si="20"/>
        <v xml:space="preserve"> </v>
      </c>
    </row>
    <row r="399" spans="1:14">
      <c r="A399" s="37">
        <f t="shared" si="18"/>
        <v>388</v>
      </c>
      <c r="G399" s="48" t="str">
        <f>IF(F399=""," ",IF(ISNA(VLOOKUP(D399,'[2]stock-take'!$A:$E,4,FALSE)), "OUT OF STOCK", VLOOKUP(D399,'[2]stock-take'!$A:$E,4,FALSE)))</f>
        <v xml:space="preserve"> </v>
      </c>
      <c r="H399" s="48">
        <f>IF(ISNA(VLOOKUP(D399,'[2]stock-take'!$A:$E,3,FALSE)), 0, VLOOKUP(D399,'[2]stock-take'!$A:$E,3,FALSE))</f>
        <v>0</v>
      </c>
      <c r="I399" s="48" t="str">
        <f>IF(F399="", " ",IF(ISNA(VLOOKUP(D399,'[2]stock-take'!$G:$K,4,FALSE)), "OUT OF STOCK", VLOOKUP(D399,'[2]stock-take'!$G:$K,4,FALSE)))</f>
        <v xml:space="preserve"> </v>
      </c>
      <c r="J399" s="39">
        <f>IF(ISNA(VLOOKUP(D399,'[2]stock-take'!$G:$K,3,FALSE)), 0, VLOOKUP(D399,'[2]stock-take'!$G:$K,3,FALSE))</f>
        <v>0</v>
      </c>
      <c r="K399" s="49" t="str">
        <f>IF(F399="", " ", IF(ISNA(VLOOKUP(D399,'[2]stock-take'!$M:$Q,4,FALSE)), "OUT OF STOCK", VLOOKUP(D399,'[2]stock-take'!$M:$Q,4,FALSE)))</f>
        <v xml:space="preserve"> </v>
      </c>
      <c r="L399" s="47">
        <f>IF(ISNA(VLOOKUP(D399,'[2]stock-take'!$M:$Q,3,FALSE)), 0, VLOOKUP(D399,'[2]stock-take'!$M:$Q,3,FALSE))</f>
        <v>0</v>
      </c>
      <c r="M399" s="48" t="str">
        <f t="shared" si="19"/>
        <v xml:space="preserve"> </v>
      </c>
      <c r="N399" s="39" t="str">
        <f t="shared" si="20"/>
        <v xml:space="preserve"> </v>
      </c>
    </row>
    <row r="400" spans="1:14">
      <c r="A400" s="37">
        <f t="shared" si="18"/>
        <v>389</v>
      </c>
      <c r="G400" s="48" t="str">
        <f>IF(F400=""," ",IF(ISNA(VLOOKUP(D400,'[2]stock-take'!$A:$E,4,FALSE)), "OUT OF STOCK", VLOOKUP(D400,'[2]stock-take'!$A:$E,4,FALSE)))</f>
        <v xml:space="preserve"> </v>
      </c>
      <c r="H400" s="48">
        <f>IF(ISNA(VLOOKUP(D400,'[2]stock-take'!$A:$E,3,FALSE)), 0, VLOOKUP(D400,'[2]stock-take'!$A:$E,3,FALSE))</f>
        <v>0</v>
      </c>
      <c r="I400" s="48" t="str">
        <f>IF(F400="", " ",IF(ISNA(VLOOKUP(D400,'[2]stock-take'!$G:$K,4,FALSE)), "OUT OF STOCK", VLOOKUP(D400,'[2]stock-take'!$G:$K,4,FALSE)))</f>
        <v xml:space="preserve"> </v>
      </c>
      <c r="J400" s="39">
        <f>IF(ISNA(VLOOKUP(D400,'[2]stock-take'!$G:$K,3,FALSE)), 0, VLOOKUP(D400,'[2]stock-take'!$G:$K,3,FALSE))</f>
        <v>0</v>
      </c>
      <c r="K400" s="49" t="str">
        <f>IF(F400="", " ", IF(ISNA(VLOOKUP(D400,'[2]stock-take'!$M:$Q,4,FALSE)), "OUT OF STOCK", VLOOKUP(D400,'[2]stock-take'!$M:$Q,4,FALSE)))</f>
        <v xml:space="preserve"> </v>
      </c>
      <c r="L400" s="47">
        <f>IF(ISNA(VLOOKUP(D400,'[2]stock-take'!$M:$Q,3,FALSE)), 0, VLOOKUP(D400,'[2]stock-take'!$M:$Q,3,FALSE))</f>
        <v>0</v>
      </c>
      <c r="M400" s="48" t="str">
        <f t="shared" si="19"/>
        <v xml:space="preserve"> </v>
      </c>
      <c r="N400" s="39" t="str">
        <f t="shared" si="20"/>
        <v xml:space="preserve"> </v>
      </c>
    </row>
    <row r="401" spans="1:14">
      <c r="A401" s="37">
        <f t="shared" si="18"/>
        <v>390</v>
      </c>
      <c r="G401" s="48" t="str">
        <f>IF(F401=""," ",IF(ISNA(VLOOKUP(D401,'[2]stock-take'!$A:$E,4,FALSE)), "OUT OF STOCK", VLOOKUP(D401,'[2]stock-take'!$A:$E,4,FALSE)))</f>
        <v xml:space="preserve"> </v>
      </c>
      <c r="H401" s="48">
        <f>IF(ISNA(VLOOKUP(D401,'[2]stock-take'!$A:$E,3,FALSE)), 0, VLOOKUP(D401,'[2]stock-take'!$A:$E,3,FALSE))</f>
        <v>0</v>
      </c>
      <c r="I401" s="48" t="str">
        <f>IF(F401="", " ",IF(ISNA(VLOOKUP(D401,'[2]stock-take'!$G:$K,4,FALSE)), "OUT OF STOCK", VLOOKUP(D401,'[2]stock-take'!$G:$K,4,FALSE)))</f>
        <v xml:space="preserve"> </v>
      </c>
      <c r="J401" s="39">
        <f>IF(ISNA(VLOOKUP(D401,'[2]stock-take'!$G:$K,3,FALSE)), 0, VLOOKUP(D401,'[2]stock-take'!$G:$K,3,FALSE))</f>
        <v>0</v>
      </c>
      <c r="K401" s="49" t="str">
        <f>IF(F401="", " ", IF(ISNA(VLOOKUP(D401,'[2]stock-take'!$M:$Q,4,FALSE)), "OUT OF STOCK", VLOOKUP(D401,'[2]stock-take'!$M:$Q,4,FALSE)))</f>
        <v xml:space="preserve"> </v>
      </c>
      <c r="L401" s="47">
        <f>IF(ISNA(VLOOKUP(D401,'[2]stock-take'!$M:$Q,3,FALSE)), 0, VLOOKUP(D401,'[2]stock-take'!$M:$Q,3,FALSE))</f>
        <v>0</v>
      </c>
      <c r="M401" s="48" t="str">
        <f t="shared" si="19"/>
        <v xml:space="preserve"> </v>
      </c>
      <c r="N401" s="39" t="str">
        <f t="shared" si="20"/>
        <v xml:space="preserve"> </v>
      </c>
    </row>
    <row r="402" spans="1:14">
      <c r="A402" s="37">
        <f t="shared" si="18"/>
        <v>391</v>
      </c>
      <c r="G402" s="48" t="str">
        <f>IF(F402=""," ",IF(ISNA(VLOOKUP(D402,'[2]stock-take'!$A:$E,4,FALSE)), "OUT OF STOCK", VLOOKUP(D402,'[2]stock-take'!$A:$E,4,FALSE)))</f>
        <v xml:space="preserve"> </v>
      </c>
      <c r="H402" s="48">
        <f>IF(ISNA(VLOOKUP(D402,'[2]stock-take'!$A:$E,3,FALSE)), 0, VLOOKUP(D402,'[2]stock-take'!$A:$E,3,FALSE))</f>
        <v>0</v>
      </c>
      <c r="I402" s="48" t="str">
        <f>IF(F402="", " ",IF(ISNA(VLOOKUP(D402,'[2]stock-take'!$G:$K,4,FALSE)), "OUT OF STOCK", VLOOKUP(D402,'[2]stock-take'!$G:$K,4,FALSE)))</f>
        <v xml:space="preserve"> </v>
      </c>
      <c r="J402" s="39">
        <f>IF(ISNA(VLOOKUP(D402,'[2]stock-take'!$G:$K,3,FALSE)), 0, VLOOKUP(D402,'[2]stock-take'!$G:$K,3,FALSE))</f>
        <v>0</v>
      </c>
      <c r="K402" s="49" t="str">
        <f>IF(F402="", " ", IF(ISNA(VLOOKUP(D402,'[2]stock-take'!$M:$Q,4,FALSE)), "OUT OF STOCK", VLOOKUP(D402,'[2]stock-take'!$M:$Q,4,FALSE)))</f>
        <v xml:space="preserve"> </v>
      </c>
      <c r="L402" s="47">
        <f>IF(ISNA(VLOOKUP(D402,'[2]stock-take'!$M:$Q,3,FALSE)), 0, VLOOKUP(D402,'[2]stock-take'!$M:$Q,3,FALSE))</f>
        <v>0</v>
      </c>
      <c r="M402" s="48" t="str">
        <f t="shared" si="19"/>
        <v xml:space="preserve"> </v>
      </c>
      <c r="N402" s="39" t="str">
        <f t="shared" si="20"/>
        <v xml:space="preserve"> </v>
      </c>
    </row>
    <row r="403" spans="1:14">
      <c r="A403" s="37">
        <f t="shared" si="18"/>
        <v>392</v>
      </c>
      <c r="G403" s="48" t="str">
        <f>IF(F403=""," ",IF(ISNA(VLOOKUP(D403,'[2]stock-take'!$A:$E,4,FALSE)), "OUT OF STOCK", VLOOKUP(D403,'[2]stock-take'!$A:$E,4,FALSE)))</f>
        <v xml:space="preserve"> </v>
      </c>
      <c r="H403" s="48">
        <f>IF(ISNA(VLOOKUP(D403,'[2]stock-take'!$A:$E,3,FALSE)), 0, VLOOKUP(D403,'[2]stock-take'!$A:$E,3,FALSE))</f>
        <v>0</v>
      </c>
      <c r="I403" s="48" t="str">
        <f>IF(F403="", " ",IF(ISNA(VLOOKUP(D403,'[2]stock-take'!$G:$K,4,FALSE)), "OUT OF STOCK", VLOOKUP(D403,'[2]stock-take'!$G:$K,4,FALSE)))</f>
        <v xml:space="preserve"> </v>
      </c>
      <c r="J403" s="39">
        <f>IF(ISNA(VLOOKUP(D403,'[2]stock-take'!$G:$K,3,FALSE)), 0, VLOOKUP(D403,'[2]stock-take'!$G:$K,3,FALSE))</f>
        <v>0</v>
      </c>
      <c r="K403" s="49" t="str">
        <f>IF(F403="", " ", IF(ISNA(VLOOKUP(D403,'[2]stock-take'!$M:$Q,4,FALSE)), "OUT OF STOCK", VLOOKUP(D403,'[2]stock-take'!$M:$Q,4,FALSE)))</f>
        <v xml:space="preserve"> </v>
      </c>
      <c r="L403" s="47">
        <f>IF(ISNA(VLOOKUP(D403,'[2]stock-take'!$M:$Q,3,FALSE)), 0, VLOOKUP(D403,'[2]stock-take'!$M:$Q,3,FALSE))</f>
        <v>0</v>
      </c>
      <c r="M403" s="48" t="str">
        <f t="shared" si="19"/>
        <v xml:space="preserve"> </v>
      </c>
      <c r="N403" s="39" t="str">
        <f t="shared" si="20"/>
        <v xml:space="preserve"> </v>
      </c>
    </row>
    <row r="404" spans="1:14">
      <c r="A404" s="37">
        <f t="shared" si="18"/>
        <v>393</v>
      </c>
      <c r="G404" s="48" t="str">
        <f>IF(F404=""," ",IF(ISNA(VLOOKUP(D404,'[2]stock-take'!$A:$E,4,FALSE)), "OUT OF STOCK", VLOOKUP(D404,'[2]stock-take'!$A:$E,4,FALSE)))</f>
        <v xml:space="preserve"> </v>
      </c>
      <c r="H404" s="48">
        <f>IF(ISNA(VLOOKUP(D404,'[2]stock-take'!$A:$E,3,FALSE)), 0, VLOOKUP(D404,'[2]stock-take'!$A:$E,3,FALSE))</f>
        <v>0</v>
      </c>
      <c r="I404" s="48" t="str">
        <f>IF(F404="", " ",IF(ISNA(VLOOKUP(D404,'[2]stock-take'!$G:$K,4,FALSE)), "OUT OF STOCK", VLOOKUP(D404,'[2]stock-take'!$G:$K,4,FALSE)))</f>
        <v xml:space="preserve"> </v>
      </c>
      <c r="J404" s="39">
        <f>IF(ISNA(VLOOKUP(D404,'[2]stock-take'!$G:$K,3,FALSE)), 0, VLOOKUP(D404,'[2]stock-take'!$G:$K,3,FALSE))</f>
        <v>0</v>
      </c>
      <c r="K404" s="49" t="str">
        <f>IF(F404="", " ", IF(ISNA(VLOOKUP(D404,'[2]stock-take'!$M:$Q,4,FALSE)), "OUT OF STOCK", VLOOKUP(D404,'[2]stock-take'!$M:$Q,4,FALSE)))</f>
        <v xml:space="preserve"> </v>
      </c>
      <c r="L404" s="47">
        <f>IF(ISNA(VLOOKUP(D404,'[2]stock-take'!$M:$Q,3,FALSE)), 0, VLOOKUP(D404,'[2]stock-take'!$M:$Q,3,FALSE))</f>
        <v>0</v>
      </c>
      <c r="M404" s="48" t="str">
        <f t="shared" si="19"/>
        <v xml:space="preserve"> </v>
      </c>
      <c r="N404" s="39" t="str">
        <f t="shared" si="20"/>
        <v xml:space="preserve"> </v>
      </c>
    </row>
    <row r="405" spans="1:14">
      <c r="A405" s="37">
        <f t="shared" si="18"/>
        <v>394</v>
      </c>
      <c r="G405" s="48" t="str">
        <f>IF(F405=""," ",IF(ISNA(VLOOKUP(D405,'[2]stock-take'!$A:$E,4,FALSE)), "OUT OF STOCK", VLOOKUP(D405,'[2]stock-take'!$A:$E,4,FALSE)))</f>
        <v xml:space="preserve"> </v>
      </c>
      <c r="H405" s="48">
        <f>IF(ISNA(VLOOKUP(D405,'[2]stock-take'!$A:$E,3,FALSE)), 0, VLOOKUP(D405,'[2]stock-take'!$A:$E,3,FALSE))</f>
        <v>0</v>
      </c>
      <c r="I405" s="48" t="str">
        <f>IF(F405="", " ",IF(ISNA(VLOOKUP(D405,'[2]stock-take'!$G:$K,4,FALSE)), "OUT OF STOCK", VLOOKUP(D405,'[2]stock-take'!$G:$K,4,FALSE)))</f>
        <v xml:space="preserve"> </v>
      </c>
      <c r="J405" s="39">
        <f>IF(ISNA(VLOOKUP(D405,'[2]stock-take'!$G:$K,3,FALSE)), 0, VLOOKUP(D405,'[2]stock-take'!$G:$K,3,FALSE))</f>
        <v>0</v>
      </c>
      <c r="K405" s="49" t="str">
        <f>IF(F405="", " ", IF(ISNA(VLOOKUP(D405,'[2]stock-take'!$M:$Q,4,FALSE)), "OUT OF STOCK", VLOOKUP(D405,'[2]stock-take'!$M:$Q,4,FALSE)))</f>
        <v xml:space="preserve"> </v>
      </c>
      <c r="L405" s="47">
        <f>IF(ISNA(VLOOKUP(D405,'[2]stock-take'!$M:$Q,3,FALSE)), 0, VLOOKUP(D405,'[2]stock-take'!$M:$Q,3,FALSE))</f>
        <v>0</v>
      </c>
      <c r="M405" s="48" t="str">
        <f t="shared" si="19"/>
        <v xml:space="preserve"> </v>
      </c>
      <c r="N405" s="39" t="str">
        <f t="shared" si="20"/>
        <v xml:space="preserve"> </v>
      </c>
    </row>
    <row r="406" spans="1:14">
      <c r="A406" s="37">
        <f t="shared" si="18"/>
        <v>395</v>
      </c>
      <c r="G406" s="48" t="str">
        <f>IF(F406=""," ",IF(ISNA(VLOOKUP(D406,'[2]stock-take'!$A:$E,4,FALSE)), "OUT OF STOCK", VLOOKUP(D406,'[2]stock-take'!$A:$E,4,FALSE)))</f>
        <v xml:space="preserve"> </v>
      </c>
      <c r="H406" s="48">
        <f>IF(ISNA(VLOOKUP(D406,'[2]stock-take'!$A:$E,3,FALSE)), 0, VLOOKUP(D406,'[2]stock-take'!$A:$E,3,FALSE))</f>
        <v>0</v>
      </c>
      <c r="I406" s="48" t="str">
        <f>IF(F406="", " ",IF(ISNA(VLOOKUP(D406,'[2]stock-take'!$G:$K,4,FALSE)), "OUT OF STOCK", VLOOKUP(D406,'[2]stock-take'!$G:$K,4,FALSE)))</f>
        <v xml:space="preserve"> </v>
      </c>
      <c r="J406" s="39">
        <f>IF(ISNA(VLOOKUP(D406,'[2]stock-take'!$G:$K,3,FALSE)), 0, VLOOKUP(D406,'[2]stock-take'!$G:$K,3,FALSE))</f>
        <v>0</v>
      </c>
      <c r="K406" s="49" t="str">
        <f>IF(F406="", " ", IF(ISNA(VLOOKUP(D406,'[2]stock-take'!$M:$Q,4,FALSE)), "OUT OF STOCK", VLOOKUP(D406,'[2]stock-take'!$M:$Q,4,FALSE)))</f>
        <v xml:space="preserve"> </v>
      </c>
      <c r="L406" s="47">
        <f>IF(ISNA(VLOOKUP(D406,'[2]stock-take'!$M:$Q,3,FALSE)), 0, VLOOKUP(D406,'[2]stock-take'!$M:$Q,3,FALSE))</f>
        <v>0</v>
      </c>
      <c r="M406" s="48" t="str">
        <f t="shared" si="19"/>
        <v xml:space="preserve"> </v>
      </c>
      <c r="N406" s="39" t="str">
        <f t="shared" si="20"/>
        <v xml:space="preserve"> </v>
      </c>
    </row>
    <row r="407" spans="1:14">
      <c r="A407" s="37">
        <f t="shared" si="18"/>
        <v>396</v>
      </c>
      <c r="G407" s="48" t="str">
        <f>IF(F407=""," ",IF(ISNA(VLOOKUP(D407,'[2]stock-take'!$A:$E,4,FALSE)), "OUT OF STOCK", VLOOKUP(D407,'[2]stock-take'!$A:$E,4,FALSE)))</f>
        <v xml:space="preserve"> </v>
      </c>
      <c r="H407" s="48">
        <f>IF(ISNA(VLOOKUP(D407,'[2]stock-take'!$A:$E,3,FALSE)), 0, VLOOKUP(D407,'[2]stock-take'!$A:$E,3,FALSE))</f>
        <v>0</v>
      </c>
      <c r="I407" s="48" t="str">
        <f>IF(F407="", " ",IF(ISNA(VLOOKUP(D407,'[2]stock-take'!$G:$K,4,FALSE)), "OUT OF STOCK", VLOOKUP(D407,'[2]stock-take'!$G:$K,4,FALSE)))</f>
        <v xml:space="preserve"> </v>
      </c>
      <c r="J407" s="39">
        <f>IF(ISNA(VLOOKUP(D407,'[2]stock-take'!$G:$K,3,FALSE)), 0, VLOOKUP(D407,'[2]stock-take'!$G:$K,3,FALSE))</f>
        <v>0</v>
      </c>
      <c r="K407" s="49" t="str">
        <f>IF(F407="", " ", IF(ISNA(VLOOKUP(D407,'[2]stock-take'!$M:$Q,4,FALSE)), "OUT OF STOCK", VLOOKUP(D407,'[2]stock-take'!$M:$Q,4,FALSE)))</f>
        <v xml:space="preserve"> </v>
      </c>
      <c r="L407" s="47">
        <f>IF(ISNA(VLOOKUP(D407,'[2]stock-take'!$M:$Q,3,FALSE)), 0, VLOOKUP(D407,'[2]stock-take'!$M:$Q,3,FALSE))</f>
        <v>0</v>
      </c>
      <c r="M407" s="48" t="str">
        <f t="shared" si="19"/>
        <v xml:space="preserve"> </v>
      </c>
      <c r="N407" s="39" t="str">
        <f t="shared" si="20"/>
        <v xml:space="preserve"> </v>
      </c>
    </row>
    <row r="408" spans="1:14">
      <c r="A408" s="37">
        <f t="shared" si="18"/>
        <v>397</v>
      </c>
      <c r="G408" s="48" t="str">
        <f>IF(F408=""," ",IF(ISNA(VLOOKUP(D408,'[2]stock-take'!$A:$E,4,FALSE)), "OUT OF STOCK", VLOOKUP(D408,'[2]stock-take'!$A:$E,4,FALSE)))</f>
        <v xml:space="preserve"> </v>
      </c>
      <c r="H408" s="48">
        <f>IF(ISNA(VLOOKUP(D408,'[2]stock-take'!$A:$E,3,FALSE)), 0, VLOOKUP(D408,'[2]stock-take'!$A:$E,3,FALSE))</f>
        <v>0</v>
      </c>
      <c r="I408" s="48" t="str">
        <f>IF(F408="", " ",IF(ISNA(VLOOKUP(D408,'[2]stock-take'!$G:$K,4,FALSE)), "OUT OF STOCK", VLOOKUP(D408,'[2]stock-take'!$G:$K,4,FALSE)))</f>
        <v xml:space="preserve"> </v>
      </c>
      <c r="J408" s="39">
        <f>IF(ISNA(VLOOKUP(D408,'[2]stock-take'!$G:$K,3,FALSE)), 0, VLOOKUP(D408,'[2]stock-take'!$G:$K,3,FALSE))</f>
        <v>0</v>
      </c>
      <c r="K408" s="49" t="str">
        <f>IF(F408="", " ", IF(ISNA(VLOOKUP(D408,'[2]stock-take'!$M:$Q,4,FALSE)), "OUT OF STOCK", VLOOKUP(D408,'[2]stock-take'!$M:$Q,4,FALSE)))</f>
        <v xml:space="preserve"> </v>
      </c>
      <c r="L408" s="47">
        <f>IF(ISNA(VLOOKUP(D408,'[2]stock-take'!$M:$Q,3,FALSE)), 0, VLOOKUP(D408,'[2]stock-take'!$M:$Q,3,FALSE))</f>
        <v>0</v>
      </c>
      <c r="M408" s="48" t="str">
        <f t="shared" si="19"/>
        <v xml:space="preserve"> </v>
      </c>
      <c r="N408" s="39" t="str">
        <f t="shared" si="20"/>
        <v xml:space="preserve"> </v>
      </c>
    </row>
    <row r="409" spans="1:14">
      <c r="A409" s="37">
        <f t="shared" si="18"/>
        <v>398</v>
      </c>
      <c r="G409" s="48" t="str">
        <f>IF(F409=""," ",IF(ISNA(VLOOKUP(D409,'[2]stock-take'!$A:$E,4,FALSE)), "OUT OF STOCK", VLOOKUP(D409,'[2]stock-take'!$A:$E,4,FALSE)))</f>
        <v xml:space="preserve"> </v>
      </c>
      <c r="H409" s="48">
        <f>IF(ISNA(VLOOKUP(D409,'[2]stock-take'!$A:$E,3,FALSE)), 0, VLOOKUP(D409,'[2]stock-take'!$A:$E,3,FALSE))</f>
        <v>0</v>
      </c>
      <c r="I409" s="48" t="str">
        <f>IF(F409="", " ",IF(ISNA(VLOOKUP(D409,'[2]stock-take'!$G:$K,4,FALSE)), "OUT OF STOCK", VLOOKUP(D409,'[2]stock-take'!$G:$K,4,FALSE)))</f>
        <v xml:space="preserve"> </v>
      </c>
      <c r="J409" s="39">
        <f>IF(ISNA(VLOOKUP(D409,'[2]stock-take'!$G:$K,3,FALSE)), 0, VLOOKUP(D409,'[2]stock-take'!$G:$K,3,FALSE))</f>
        <v>0</v>
      </c>
      <c r="K409" s="49" t="str">
        <f>IF(F409="", " ", IF(ISNA(VLOOKUP(D409,'[2]stock-take'!$M:$Q,4,FALSE)), "OUT OF STOCK", VLOOKUP(D409,'[2]stock-take'!$M:$Q,4,FALSE)))</f>
        <v xml:space="preserve"> </v>
      </c>
      <c r="L409" s="47">
        <f>IF(ISNA(VLOOKUP(D409,'[2]stock-take'!$M:$Q,3,FALSE)), 0, VLOOKUP(D409,'[2]stock-take'!$M:$Q,3,FALSE))</f>
        <v>0</v>
      </c>
      <c r="M409" s="48" t="str">
        <f t="shared" si="19"/>
        <v xml:space="preserve"> </v>
      </c>
      <c r="N409" s="39" t="str">
        <f t="shared" si="20"/>
        <v xml:space="preserve"> </v>
      </c>
    </row>
    <row r="410" spans="1:14">
      <c r="A410" s="37">
        <f t="shared" si="18"/>
        <v>399</v>
      </c>
      <c r="G410" s="48" t="str">
        <f>IF(F410=""," ",IF(ISNA(VLOOKUP(D410,'[2]stock-take'!$A:$E,4,FALSE)), "OUT OF STOCK", VLOOKUP(D410,'[2]stock-take'!$A:$E,4,FALSE)))</f>
        <v xml:space="preserve"> </v>
      </c>
      <c r="H410" s="48">
        <f>IF(ISNA(VLOOKUP(D410,'[2]stock-take'!$A:$E,3,FALSE)), 0, VLOOKUP(D410,'[2]stock-take'!$A:$E,3,FALSE))</f>
        <v>0</v>
      </c>
      <c r="I410" s="48" t="str">
        <f>IF(F410="", " ",IF(ISNA(VLOOKUP(D410,'[2]stock-take'!$G:$K,4,FALSE)), "OUT OF STOCK", VLOOKUP(D410,'[2]stock-take'!$G:$K,4,FALSE)))</f>
        <v xml:space="preserve"> </v>
      </c>
      <c r="J410" s="39">
        <f>IF(ISNA(VLOOKUP(D410,'[2]stock-take'!$G:$K,3,FALSE)), 0, VLOOKUP(D410,'[2]stock-take'!$G:$K,3,FALSE))</f>
        <v>0</v>
      </c>
      <c r="K410" s="49" t="str">
        <f>IF(F410="", " ", IF(ISNA(VLOOKUP(D410,'[2]stock-take'!$M:$Q,4,FALSE)), "OUT OF STOCK", VLOOKUP(D410,'[2]stock-take'!$M:$Q,4,FALSE)))</f>
        <v xml:space="preserve"> </v>
      </c>
      <c r="L410" s="47">
        <f>IF(ISNA(VLOOKUP(D410,'[2]stock-take'!$M:$Q,3,FALSE)), 0, VLOOKUP(D410,'[2]stock-take'!$M:$Q,3,FALSE))</f>
        <v>0</v>
      </c>
      <c r="M410" s="48" t="str">
        <f t="shared" si="19"/>
        <v xml:space="preserve"> </v>
      </c>
      <c r="N410" s="39" t="str">
        <f t="shared" si="20"/>
        <v xml:space="preserve"> </v>
      </c>
    </row>
    <row r="411" spans="1:14">
      <c r="A411" s="37">
        <f t="shared" si="18"/>
        <v>400</v>
      </c>
      <c r="G411" s="48" t="str">
        <f>IF(F411=""," ",IF(ISNA(VLOOKUP(D411,'[2]stock-take'!$A:$E,4,FALSE)), "OUT OF STOCK", VLOOKUP(D411,'[2]stock-take'!$A:$E,4,FALSE)))</f>
        <v xml:space="preserve"> </v>
      </c>
      <c r="H411" s="48">
        <f>IF(ISNA(VLOOKUP(D411,'[2]stock-take'!$A:$E,3,FALSE)), 0, VLOOKUP(D411,'[2]stock-take'!$A:$E,3,FALSE))</f>
        <v>0</v>
      </c>
      <c r="I411" s="48" t="str">
        <f>IF(F411="", " ",IF(ISNA(VLOOKUP(D411,'[2]stock-take'!$G:$K,4,FALSE)), "OUT OF STOCK", VLOOKUP(D411,'[2]stock-take'!$G:$K,4,FALSE)))</f>
        <v xml:space="preserve"> </v>
      </c>
      <c r="J411" s="39">
        <f>IF(ISNA(VLOOKUP(D411,'[2]stock-take'!$G:$K,3,FALSE)), 0, VLOOKUP(D411,'[2]stock-take'!$G:$K,3,FALSE))</f>
        <v>0</v>
      </c>
      <c r="K411" s="49" t="str">
        <f>IF(F411="", " ", IF(ISNA(VLOOKUP(D411,'[2]stock-take'!$M:$Q,4,FALSE)), "OUT OF STOCK", VLOOKUP(D411,'[2]stock-take'!$M:$Q,4,FALSE)))</f>
        <v xml:space="preserve"> </v>
      </c>
      <c r="L411" s="47">
        <f>IF(ISNA(VLOOKUP(D411,'[2]stock-take'!$M:$Q,3,FALSE)), 0, VLOOKUP(D411,'[2]stock-take'!$M:$Q,3,FALSE))</f>
        <v>0</v>
      </c>
      <c r="M411" s="48" t="str">
        <f t="shared" si="19"/>
        <v xml:space="preserve"> </v>
      </c>
      <c r="N411" s="39" t="str">
        <f t="shared" si="20"/>
        <v xml:space="preserve"> </v>
      </c>
    </row>
    <row r="412" spans="1:14">
      <c r="A412" s="37">
        <f t="shared" si="18"/>
        <v>401</v>
      </c>
      <c r="G412" s="48" t="str">
        <f>IF(F412=""," ",IF(ISNA(VLOOKUP(D412,'[2]stock-take'!$A:$E,4,FALSE)), "OUT OF STOCK", VLOOKUP(D412,'[2]stock-take'!$A:$E,4,FALSE)))</f>
        <v xml:space="preserve"> </v>
      </c>
      <c r="H412" s="48">
        <f>IF(ISNA(VLOOKUP(D412,'[2]stock-take'!$A:$E,3,FALSE)), 0, VLOOKUP(D412,'[2]stock-take'!$A:$E,3,FALSE))</f>
        <v>0</v>
      </c>
      <c r="I412" s="48" t="str">
        <f>IF(F412="", " ",IF(ISNA(VLOOKUP(D412,'[2]stock-take'!$G:$K,4,FALSE)), "OUT OF STOCK", VLOOKUP(D412,'[2]stock-take'!$G:$K,4,FALSE)))</f>
        <v xml:space="preserve"> </v>
      </c>
      <c r="J412" s="39">
        <f>IF(ISNA(VLOOKUP(D412,'[2]stock-take'!$G:$K,3,FALSE)), 0, VLOOKUP(D412,'[2]stock-take'!$G:$K,3,FALSE))</f>
        <v>0</v>
      </c>
      <c r="K412" s="49" t="str">
        <f>IF(F412="", " ", IF(ISNA(VLOOKUP(D412,'[2]stock-take'!$M:$Q,4,FALSE)), "OUT OF STOCK", VLOOKUP(D412,'[2]stock-take'!$M:$Q,4,FALSE)))</f>
        <v xml:space="preserve"> </v>
      </c>
      <c r="L412" s="47">
        <f>IF(ISNA(VLOOKUP(D412,'[2]stock-take'!$M:$Q,3,FALSE)), 0, VLOOKUP(D412,'[2]stock-take'!$M:$Q,3,FALSE))</f>
        <v>0</v>
      </c>
      <c r="M412" s="48" t="str">
        <f t="shared" si="19"/>
        <v xml:space="preserve"> </v>
      </c>
      <c r="N412" s="39" t="str">
        <f t="shared" si="20"/>
        <v xml:space="preserve"> </v>
      </c>
    </row>
    <row r="413" spans="1:14">
      <c r="A413" s="37">
        <f t="shared" si="18"/>
        <v>402</v>
      </c>
      <c r="G413" s="48" t="str">
        <f>IF(F413=""," ",IF(ISNA(VLOOKUP(D413,'[2]stock-take'!$A:$E,4,FALSE)), "OUT OF STOCK", VLOOKUP(D413,'[2]stock-take'!$A:$E,4,FALSE)))</f>
        <v xml:space="preserve"> </v>
      </c>
      <c r="H413" s="48">
        <f>IF(ISNA(VLOOKUP(D413,'[2]stock-take'!$A:$E,3,FALSE)), 0, VLOOKUP(D413,'[2]stock-take'!$A:$E,3,FALSE))</f>
        <v>0</v>
      </c>
      <c r="I413" s="48" t="str">
        <f>IF(F413="", " ",IF(ISNA(VLOOKUP(D413,'[2]stock-take'!$G:$K,4,FALSE)), "OUT OF STOCK", VLOOKUP(D413,'[2]stock-take'!$G:$K,4,FALSE)))</f>
        <v xml:space="preserve"> </v>
      </c>
      <c r="J413" s="39">
        <f>IF(ISNA(VLOOKUP(D413,'[2]stock-take'!$G:$K,3,FALSE)), 0, VLOOKUP(D413,'[2]stock-take'!$G:$K,3,FALSE))</f>
        <v>0</v>
      </c>
      <c r="K413" s="49" t="str">
        <f>IF(F413="", " ", IF(ISNA(VLOOKUP(D413,'[2]stock-take'!$M:$Q,4,FALSE)), "OUT OF STOCK", VLOOKUP(D413,'[2]stock-take'!$M:$Q,4,FALSE)))</f>
        <v xml:space="preserve"> </v>
      </c>
      <c r="L413" s="47">
        <f>IF(ISNA(VLOOKUP(D413,'[2]stock-take'!$M:$Q,3,FALSE)), 0, VLOOKUP(D413,'[2]stock-take'!$M:$Q,3,FALSE))</f>
        <v>0</v>
      </c>
      <c r="M413" s="48" t="str">
        <f t="shared" si="19"/>
        <v xml:space="preserve"> </v>
      </c>
      <c r="N413" s="39" t="str">
        <f t="shared" si="20"/>
        <v xml:space="preserve"> </v>
      </c>
    </row>
    <row r="414" spans="1:14">
      <c r="A414" s="37">
        <f t="shared" si="18"/>
        <v>403</v>
      </c>
      <c r="G414" s="48" t="str">
        <f>IF(F414=""," ",IF(ISNA(VLOOKUP(D414,'[2]stock-take'!$A:$E,4,FALSE)), "OUT OF STOCK", VLOOKUP(D414,'[2]stock-take'!$A:$E,4,FALSE)))</f>
        <v xml:space="preserve"> </v>
      </c>
      <c r="H414" s="48">
        <f>IF(ISNA(VLOOKUP(D414,'[2]stock-take'!$A:$E,3,FALSE)), 0, VLOOKUP(D414,'[2]stock-take'!$A:$E,3,FALSE))</f>
        <v>0</v>
      </c>
      <c r="I414" s="48" t="str">
        <f>IF(F414="", " ",IF(ISNA(VLOOKUP(D414,'[2]stock-take'!$G:$K,4,FALSE)), "OUT OF STOCK", VLOOKUP(D414,'[2]stock-take'!$G:$K,4,FALSE)))</f>
        <v xml:space="preserve"> </v>
      </c>
      <c r="J414" s="39">
        <f>IF(ISNA(VLOOKUP(D414,'[2]stock-take'!$G:$K,3,FALSE)), 0, VLOOKUP(D414,'[2]stock-take'!$G:$K,3,FALSE))</f>
        <v>0</v>
      </c>
      <c r="K414" s="49" t="str">
        <f>IF(F414="", " ", IF(ISNA(VLOOKUP(D414,'[2]stock-take'!$M:$Q,4,FALSE)), "OUT OF STOCK", VLOOKUP(D414,'[2]stock-take'!$M:$Q,4,FALSE)))</f>
        <v xml:space="preserve"> </v>
      </c>
      <c r="L414" s="47">
        <f>IF(ISNA(VLOOKUP(D414,'[2]stock-take'!$M:$Q,3,FALSE)), 0, VLOOKUP(D414,'[2]stock-take'!$M:$Q,3,FALSE))</f>
        <v>0</v>
      </c>
      <c r="M414" s="48" t="str">
        <f t="shared" si="19"/>
        <v xml:space="preserve"> </v>
      </c>
      <c r="N414" s="39" t="str">
        <f t="shared" si="20"/>
        <v xml:space="preserve"> </v>
      </c>
    </row>
    <row r="415" spans="1:14">
      <c r="A415" s="37">
        <f t="shared" si="18"/>
        <v>404</v>
      </c>
      <c r="G415" s="48" t="str">
        <f>IF(F415=""," ",IF(ISNA(VLOOKUP(D415,'[2]stock-take'!$A:$E,4,FALSE)), "OUT OF STOCK", VLOOKUP(D415,'[2]stock-take'!$A:$E,4,FALSE)))</f>
        <v xml:space="preserve"> </v>
      </c>
      <c r="H415" s="48">
        <f>IF(ISNA(VLOOKUP(D415,'[2]stock-take'!$A:$E,3,FALSE)), 0, VLOOKUP(D415,'[2]stock-take'!$A:$E,3,FALSE))</f>
        <v>0</v>
      </c>
      <c r="I415" s="48" t="str">
        <f>IF(F415="", " ",IF(ISNA(VLOOKUP(D415,'[2]stock-take'!$G:$K,4,FALSE)), "OUT OF STOCK", VLOOKUP(D415,'[2]stock-take'!$G:$K,4,FALSE)))</f>
        <v xml:space="preserve"> </v>
      </c>
      <c r="J415" s="39">
        <f>IF(ISNA(VLOOKUP(D415,'[2]stock-take'!$G:$K,3,FALSE)), 0, VLOOKUP(D415,'[2]stock-take'!$G:$K,3,FALSE))</f>
        <v>0</v>
      </c>
      <c r="K415" s="49" t="str">
        <f>IF(F415="", " ", IF(ISNA(VLOOKUP(D415,'[2]stock-take'!$M:$Q,4,FALSE)), "OUT OF STOCK", VLOOKUP(D415,'[2]stock-take'!$M:$Q,4,FALSE)))</f>
        <v xml:space="preserve"> </v>
      </c>
      <c r="L415" s="47">
        <f>IF(ISNA(VLOOKUP(D415,'[2]stock-take'!$M:$Q,3,FALSE)), 0, VLOOKUP(D415,'[2]stock-take'!$M:$Q,3,FALSE))</f>
        <v>0</v>
      </c>
      <c r="M415" s="48" t="str">
        <f t="shared" si="19"/>
        <v xml:space="preserve"> </v>
      </c>
      <c r="N415" s="39" t="str">
        <f t="shared" si="20"/>
        <v xml:space="preserve"> </v>
      </c>
    </row>
    <row r="416" spans="1:14">
      <c r="A416" s="37">
        <f t="shared" si="18"/>
        <v>405</v>
      </c>
      <c r="G416" s="48" t="str">
        <f>IF(F416=""," ",IF(ISNA(VLOOKUP(D416,'[2]stock-take'!$A:$E,4,FALSE)), "OUT OF STOCK", VLOOKUP(D416,'[2]stock-take'!$A:$E,4,FALSE)))</f>
        <v xml:space="preserve"> </v>
      </c>
      <c r="H416" s="48">
        <f>IF(ISNA(VLOOKUP(D416,'[2]stock-take'!$A:$E,3,FALSE)), 0, VLOOKUP(D416,'[2]stock-take'!$A:$E,3,FALSE))</f>
        <v>0</v>
      </c>
      <c r="I416" s="48" t="str">
        <f>IF(F416="", " ",IF(ISNA(VLOOKUP(D416,'[2]stock-take'!$G:$K,4,FALSE)), "OUT OF STOCK", VLOOKUP(D416,'[2]stock-take'!$G:$K,4,FALSE)))</f>
        <v xml:space="preserve"> </v>
      </c>
      <c r="J416" s="39">
        <f>IF(ISNA(VLOOKUP(D416,'[2]stock-take'!$G:$K,3,FALSE)), 0, VLOOKUP(D416,'[2]stock-take'!$G:$K,3,FALSE))</f>
        <v>0</v>
      </c>
      <c r="K416" s="49" t="str">
        <f>IF(F416="", " ", IF(ISNA(VLOOKUP(D416,'[2]stock-take'!$M:$Q,4,FALSE)), "OUT OF STOCK", VLOOKUP(D416,'[2]stock-take'!$M:$Q,4,FALSE)))</f>
        <v xml:space="preserve"> </v>
      </c>
      <c r="L416" s="47">
        <f>IF(ISNA(VLOOKUP(D416,'[2]stock-take'!$M:$Q,3,FALSE)), 0, VLOOKUP(D416,'[2]stock-take'!$M:$Q,3,FALSE))</f>
        <v>0</v>
      </c>
      <c r="M416" s="48" t="str">
        <f t="shared" si="19"/>
        <v xml:space="preserve"> </v>
      </c>
      <c r="N416" s="39" t="str">
        <f t="shared" si="20"/>
        <v xml:space="preserve"> </v>
      </c>
    </row>
    <row r="417" spans="1:14">
      <c r="A417" s="37">
        <f t="shared" si="18"/>
        <v>406</v>
      </c>
      <c r="G417" s="48" t="str">
        <f>IF(F417=""," ",IF(ISNA(VLOOKUP(D417,'[2]stock-take'!$A:$E,4,FALSE)), "OUT OF STOCK", VLOOKUP(D417,'[2]stock-take'!$A:$E,4,FALSE)))</f>
        <v xml:space="preserve"> </v>
      </c>
      <c r="H417" s="48">
        <f>IF(ISNA(VLOOKUP(D417,'[2]stock-take'!$A:$E,3,FALSE)), 0, VLOOKUP(D417,'[2]stock-take'!$A:$E,3,FALSE))</f>
        <v>0</v>
      </c>
      <c r="I417" s="48" t="str">
        <f>IF(F417="", " ",IF(ISNA(VLOOKUP(D417,'[2]stock-take'!$G:$K,4,FALSE)), "OUT OF STOCK", VLOOKUP(D417,'[2]stock-take'!$G:$K,4,FALSE)))</f>
        <v xml:space="preserve"> </v>
      </c>
      <c r="J417" s="39">
        <f>IF(ISNA(VLOOKUP(D417,'[2]stock-take'!$G:$K,3,FALSE)), 0, VLOOKUP(D417,'[2]stock-take'!$G:$K,3,FALSE))</f>
        <v>0</v>
      </c>
      <c r="K417" s="49" t="str">
        <f>IF(F417="", " ", IF(ISNA(VLOOKUP(D417,'[2]stock-take'!$M:$Q,4,FALSE)), "OUT OF STOCK", VLOOKUP(D417,'[2]stock-take'!$M:$Q,4,FALSE)))</f>
        <v xml:space="preserve"> </v>
      </c>
      <c r="L417" s="47">
        <f>IF(ISNA(VLOOKUP(D417,'[2]stock-take'!$M:$Q,3,FALSE)), 0, VLOOKUP(D417,'[2]stock-take'!$M:$Q,3,FALSE))</f>
        <v>0</v>
      </c>
      <c r="M417" s="48" t="str">
        <f t="shared" si="19"/>
        <v xml:space="preserve"> </v>
      </c>
      <c r="N417" s="39" t="str">
        <f t="shared" si="20"/>
        <v xml:space="preserve"> </v>
      </c>
    </row>
    <row r="418" spans="1:14">
      <c r="A418" s="37">
        <f t="shared" si="18"/>
        <v>407</v>
      </c>
      <c r="G418" s="48" t="str">
        <f>IF(F418=""," ",IF(ISNA(VLOOKUP(D418,'[2]stock-take'!$A:$E,4,FALSE)), "OUT OF STOCK", VLOOKUP(D418,'[2]stock-take'!$A:$E,4,FALSE)))</f>
        <v xml:space="preserve"> </v>
      </c>
      <c r="H418" s="48">
        <f>IF(ISNA(VLOOKUP(D418,'[2]stock-take'!$A:$E,3,FALSE)), 0, VLOOKUP(D418,'[2]stock-take'!$A:$E,3,FALSE))</f>
        <v>0</v>
      </c>
      <c r="I418" s="48" t="str">
        <f>IF(F418="", " ",IF(ISNA(VLOOKUP(D418,'[2]stock-take'!$G:$K,4,FALSE)), "OUT OF STOCK", VLOOKUP(D418,'[2]stock-take'!$G:$K,4,FALSE)))</f>
        <v xml:space="preserve"> </v>
      </c>
      <c r="J418" s="39">
        <f>IF(ISNA(VLOOKUP(D418,'[2]stock-take'!$G:$K,3,FALSE)), 0, VLOOKUP(D418,'[2]stock-take'!$G:$K,3,FALSE))</f>
        <v>0</v>
      </c>
      <c r="K418" s="49" t="str">
        <f>IF(F418="", " ", IF(ISNA(VLOOKUP(D418,'[2]stock-take'!$M:$Q,4,FALSE)), "OUT OF STOCK", VLOOKUP(D418,'[2]stock-take'!$M:$Q,4,FALSE)))</f>
        <v xml:space="preserve"> </v>
      </c>
      <c r="L418" s="47">
        <f>IF(ISNA(VLOOKUP(D418,'[2]stock-take'!$M:$Q,3,FALSE)), 0, VLOOKUP(D418,'[2]stock-take'!$M:$Q,3,FALSE))</f>
        <v>0</v>
      </c>
      <c r="M418" s="48" t="str">
        <f t="shared" si="19"/>
        <v xml:space="preserve"> </v>
      </c>
      <c r="N418" s="39" t="str">
        <f t="shared" si="20"/>
        <v xml:space="preserve"> </v>
      </c>
    </row>
    <row r="419" spans="1:14">
      <c r="A419" s="37">
        <f t="shared" si="18"/>
        <v>408</v>
      </c>
      <c r="G419" s="48" t="str">
        <f>IF(F419=""," ",IF(ISNA(VLOOKUP(D419,'[2]stock-take'!$A:$E,4,FALSE)), "OUT OF STOCK", VLOOKUP(D419,'[2]stock-take'!$A:$E,4,FALSE)))</f>
        <v xml:space="preserve"> </v>
      </c>
      <c r="H419" s="48">
        <f>IF(ISNA(VLOOKUP(D419,'[2]stock-take'!$A:$E,3,FALSE)), 0, VLOOKUP(D419,'[2]stock-take'!$A:$E,3,FALSE))</f>
        <v>0</v>
      </c>
      <c r="I419" s="48" t="str">
        <f>IF(F419="", " ",IF(ISNA(VLOOKUP(D419,'[2]stock-take'!$G:$K,4,FALSE)), "OUT OF STOCK", VLOOKUP(D419,'[2]stock-take'!$G:$K,4,FALSE)))</f>
        <v xml:space="preserve"> </v>
      </c>
      <c r="J419" s="39">
        <f>IF(ISNA(VLOOKUP(D419,'[2]stock-take'!$G:$K,3,FALSE)), 0, VLOOKUP(D419,'[2]stock-take'!$G:$K,3,FALSE))</f>
        <v>0</v>
      </c>
      <c r="K419" s="49" t="str">
        <f>IF(F419="", " ", IF(ISNA(VLOOKUP(D419,'[2]stock-take'!$M:$Q,4,FALSE)), "OUT OF STOCK", VLOOKUP(D419,'[2]stock-take'!$M:$Q,4,FALSE)))</f>
        <v xml:space="preserve"> </v>
      </c>
      <c r="L419" s="47">
        <f>IF(ISNA(VLOOKUP(D419,'[2]stock-take'!$M:$Q,3,FALSE)), 0, VLOOKUP(D419,'[2]stock-take'!$M:$Q,3,FALSE))</f>
        <v>0</v>
      </c>
      <c r="M419" s="48" t="str">
        <f t="shared" si="19"/>
        <v xml:space="preserve"> </v>
      </c>
      <c r="N419" s="39" t="str">
        <f t="shared" si="20"/>
        <v xml:space="preserve"> </v>
      </c>
    </row>
    <row r="420" spans="1:14">
      <c r="A420" s="37">
        <f t="shared" si="18"/>
        <v>409</v>
      </c>
      <c r="G420" s="48" t="str">
        <f>IF(F420=""," ",IF(ISNA(VLOOKUP(D420,'[2]stock-take'!$A:$E,4,FALSE)), "OUT OF STOCK", VLOOKUP(D420,'[2]stock-take'!$A:$E,4,FALSE)))</f>
        <v xml:space="preserve"> </v>
      </c>
      <c r="H420" s="48">
        <f>IF(ISNA(VLOOKUP(D420,'[2]stock-take'!$A:$E,3,FALSE)), 0, VLOOKUP(D420,'[2]stock-take'!$A:$E,3,FALSE))</f>
        <v>0</v>
      </c>
      <c r="I420" s="48" t="str">
        <f>IF(F420="", " ",IF(ISNA(VLOOKUP(D420,'[2]stock-take'!$G:$K,4,FALSE)), "OUT OF STOCK", VLOOKUP(D420,'[2]stock-take'!$G:$K,4,FALSE)))</f>
        <v xml:space="preserve"> </v>
      </c>
      <c r="J420" s="39">
        <f>IF(ISNA(VLOOKUP(D420,'[2]stock-take'!$G:$K,3,FALSE)), 0, VLOOKUP(D420,'[2]stock-take'!$G:$K,3,FALSE))</f>
        <v>0</v>
      </c>
      <c r="K420" s="49" t="str">
        <f>IF(F420="", " ", IF(ISNA(VLOOKUP(D420,'[2]stock-take'!$M:$Q,4,FALSE)), "OUT OF STOCK", VLOOKUP(D420,'[2]stock-take'!$M:$Q,4,FALSE)))</f>
        <v xml:space="preserve"> </v>
      </c>
      <c r="L420" s="47">
        <f>IF(ISNA(VLOOKUP(D420,'[2]stock-take'!$M:$Q,3,FALSE)), 0, VLOOKUP(D420,'[2]stock-take'!$M:$Q,3,FALSE))</f>
        <v>0</v>
      </c>
      <c r="M420" s="48" t="str">
        <f t="shared" si="19"/>
        <v xml:space="preserve"> </v>
      </c>
      <c r="N420" s="39" t="str">
        <f t="shared" si="20"/>
        <v xml:space="preserve"> </v>
      </c>
    </row>
    <row r="421" spans="1:14">
      <c r="A421" s="37">
        <f t="shared" si="18"/>
        <v>410</v>
      </c>
      <c r="G421" s="48" t="str">
        <f>IF(F421=""," ",IF(ISNA(VLOOKUP(D421,'[2]stock-take'!$A:$E,4,FALSE)), "OUT OF STOCK", VLOOKUP(D421,'[2]stock-take'!$A:$E,4,FALSE)))</f>
        <v xml:space="preserve"> </v>
      </c>
      <c r="H421" s="48">
        <f>IF(ISNA(VLOOKUP(D421,'[2]stock-take'!$A:$E,3,FALSE)), 0, VLOOKUP(D421,'[2]stock-take'!$A:$E,3,FALSE))</f>
        <v>0</v>
      </c>
      <c r="I421" s="48" t="str">
        <f>IF(F421="", " ",IF(ISNA(VLOOKUP(D421,'[2]stock-take'!$G:$K,4,FALSE)), "OUT OF STOCK", VLOOKUP(D421,'[2]stock-take'!$G:$K,4,FALSE)))</f>
        <v xml:space="preserve"> </v>
      </c>
      <c r="J421" s="39">
        <f>IF(ISNA(VLOOKUP(D421,'[2]stock-take'!$G:$K,3,FALSE)), 0, VLOOKUP(D421,'[2]stock-take'!$G:$K,3,FALSE))</f>
        <v>0</v>
      </c>
      <c r="K421" s="49" t="str">
        <f>IF(F421="", " ", IF(ISNA(VLOOKUP(D421,'[2]stock-take'!$M:$Q,4,FALSE)), "OUT OF STOCK", VLOOKUP(D421,'[2]stock-take'!$M:$Q,4,FALSE)))</f>
        <v xml:space="preserve"> </v>
      </c>
      <c r="L421" s="47">
        <f>IF(ISNA(VLOOKUP(D421,'[2]stock-take'!$M:$Q,3,FALSE)), 0, VLOOKUP(D421,'[2]stock-take'!$M:$Q,3,FALSE))</f>
        <v>0</v>
      </c>
      <c r="M421" s="48" t="str">
        <f t="shared" si="19"/>
        <v xml:space="preserve"> </v>
      </c>
      <c r="N421" s="39" t="str">
        <f t="shared" si="20"/>
        <v xml:space="preserve"> </v>
      </c>
    </row>
    <row r="422" spans="1:14">
      <c r="A422" s="37">
        <f t="shared" si="18"/>
        <v>411</v>
      </c>
      <c r="G422" s="48" t="str">
        <f>IF(F422=""," ",IF(ISNA(VLOOKUP(D422,'[2]stock-take'!$A:$E,4,FALSE)), "OUT OF STOCK", VLOOKUP(D422,'[2]stock-take'!$A:$E,4,FALSE)))</f>
        <v xml:space="preserve"> </v>
      </c>
      <c r="H422" s="48">
        <f>IF(ISNA(VLOOKUP(D422,'[2]stock-take'!$A:$E,3,FALSE)), 0, VLOOKUP(D422,'[2]stock-take'!$A:$E,3,FALSE))</f>
        <v>0</v>
      </c>
      <c r="I422" s="48" t="str">
        <f>IF(F422="", " ",IF(ISNA(VLOOKUP(D422,'[2]stock-take'!$G:$K,4,FALSE)), "OUT OF STOCK", VLOOKUP(D422,'[2]stock-take'!$G:$K,4,FALSE)))</f>
        <v xml:space="preserve"> </v>
      </c>
      <c r="J422" s="39">
        <f>IF(ISNA(VLOOKUP(D422,'[2]stock-take'!$G:$K,3,FALSE)), 0, VLOOKUP(D422,'[2]stock-take'!$G:$K,3,FALSE))</f>
        <v>0</v>
      </c>
      <c r="K422" s="49" t="str">
        <f>IF(F422="", " ", IF(ISNA(VLOOKUP(D422,'[2]stock-take'!$M:$Q,4,FALSE)), "OUT OF STOCK", VLOOKUP(D422,'[2]stock-take'!$M:$Q,4,FALSE)))</f>
        <v xml:space="preserve"> </v>
      </c>
      <c r="L422" s="47">
        <f>IF(ISNA(VLOOKUP(D422,'[2]stock-take'!$M:$Q,3,FALSE)), 0, VLOOKUP(D422,'[2]stock-take'!$M:$Q,3,FALSE))</f>
        <v>0</v>
      </c>
      <c r="M422" s="48" t="str">
        <f t="shared" si="19"/>
        <v xml:space="preserve"> </v>
      </c>
      <c r="N422" s="39" t="str">
        <f t="shared" si="20"/>
        <v xml:space="preserve"> </v>
      </c>
    </row>
    <row r="423" spans="1:14">
      <c r="A423" s="37">
        <f t="shared" si="18"/>
        <v>412</v>
      </c>
      <c r="G423" s="48" t="str">
        <f>IF(F423=""," ",IF(ISNA(VLOOKUP(D423,'[2]stock-take'!$A:$E,4,FALSE)), "OUT OF STOCK", VLOOKUP(D423,'[2]stock-take'!$A:$E,4,FALSE)))</f>
        <v xml:space="preserve"> </v>
      </c>
      <c r="H423" s="48">
        <f>IF(ISNA(VLOOKUP(D423,'[2]stock-take'!$A:$E,3,FALSE)), 0, VLOOKUP(D423,'[2]stock-take'!$A:$E,3,FALSE))</f>
        <v>0</v>
      </c>
      <c r="I423" s="48" t="str">
        <f>IF(F423="", " ",IF(ISNA(VLOOKUP(D423,'[2]stock-take'!$G:$K,4,FALSE)), "OUT OF STOCK", VLOOKUP(D423,'[2]stock-take'!$G:$K,4,FALSE)))</f>
        <v xml:space="preserve"> </v>
      </c>
      <c r="J423" s="39">
        <f>IF(ISNA(VLOOKUP(D423,'[2]stock-take'!$G:$K,3,FALSE)), 0, VLOOKUP(D423,'[2]stock-take'!$G:$K,3,FALSE))</f>
        <v>0</v>
      </c>
      <c r="K423" s="49" t="str">
        <f>IF(F423="", " ", IF(ISNA(VLOOKUP(D423,'[2]stock-take'!$M:$Q,4,FALSE)), "OUT OF STOCK", VLOOKUP(D423,'[2]stock-take'!$M:$Q,4,FALSE)))</f>
        <v xml:space="preserve"> </v>
      </c>
      <c r="L423" s="47">
        <f>IF(ISNA(VLOOKUP(D423,'[2]stock-take'!$M:$Q,3,FALSE)), 0, VLOOKUP(D423,'[2]stock-take'!$M:$Q,3,FALSE))</f>
        <v>0</v>
      </c>
      <c r="M423" s="48" t="str">
        <f t="shared" si="19"/>
        <v xml:space="preserve"> </v>
      </c>
      <c r="N423" s="39" t="str">
        <f t="shared" si="20"/>
        <v xml:space="preserve"> </v>
      </c>
    </row>
    <row r="424" spans="1:14">
      <c r="A424" s="37">
        <f t="shared" si="18"/>
        <v>413</v>
      </c>
      <c r="G424" s="48" t="str">
        <f>IF(F424=""," ",IF(ISNA(VLOOKUP(D424,'[2]stock-take'!$A:$E,4,FALSE)), "OUT OF STOCK", VLOOKUP(D424,'[2]stock-take'!$A:$E,4,FALSE)))</f>
        <v xml:space="preserve"> </v>
      </c>
      <c r="H424" s="48">
        <f>IF(ISNA(VLOOKUP(D424,'[2]stock-take'!$A:$E,3,FALSE)), 0, VLOOKUP(D424,'[2]stock-take'!$A:$E,3,FALSE))</f>
        <v>0</v>
      </c>
      <c r="I424" s="48" t="str">
        <f>IF(F424="", " ",IF(ISNA(VLOOKUP(D424,'[2]stock-take'!$G:$K,4,FALSE)), "OUT OF STOCK", VLOOKUP(D424,'[2]stock-take'!$G:$K,4,FALSE)))</f>
        <v xml:space="preserve"> </v>
      </c>
      <c r="J424" s="39">
        <f>IF(ISNA(VLOOKUP(D424,'[2]stock-take'!$G:$K,3,FALSE)), 0, VLOOKUP(D424,'[2]stock-take'!$G:$K,3,FALSE))</f>
        <v>0</v>
      </c>
      <c r="K424" s="49" t="str">
        <f>IF(F424="", " ", IF(ISNA(VLOOKUP(D424,'[2]stock-take'!$M:$Q,4,FALSE)), "OUT OF STOCK", VLOOKUP(D424,'[2]stock-take'!$M:$Q,4,FALSE)))</f>
        <v xml:space="preserve"> </v>
      </c>
      <c r="L424" s="47">
        <f>IF(ISNA(VLOOKUP(D424,'[2]stock-take'!$M:$Q,3,FALSE)), 0, VLOOKUP(D424,'[2]stock-take'!$M:$Q,3,FALSE))</f>
        <v>0</v>
      </c>
      <c r="M424" s="48" t="str">
        <f t="shared" si="19"/>
        <v xml:space="preserve"> </v>
      </c>
      <c r="N424" s="39" t="str">
        <f t="shared" si="20"/>
        <v xml:space="preserve"> </v>
      </c>
    </row>
    <row r="425" spans="1:14">
      <c r="A425" s="37">
        <f t="shared" si="18"/>
        <v>414</v>
      </c>
      <c r="G425" s="48" t="str">
        <f>IF(F425=""," ",IF(ISNA(VLOOKUP(D425,'[2]stock-take'!$A:$E,4,FALSE)), "OUT OF STOCK", VLOOKUP(D425,'[2]stock-take'!$A:$E,4,FALSE)))</f>
        <v xml:space="preserve"> </v>
      </c>
      <c r="H425" s="48">
        <f>IF(ISNA(VLOOKUP(D425,'[2]stock-take'!$A:$E,3,FALSE)), 0, VLOOKUP(D425,'[2]stock-take'!$A:$E,3,FALSE))</f>
        <v>0</v>
      </c>
      <c r="I425" s="48" t="str">
        <f>IF(F425="", " ",IF(ISNA(VLOOKUP(D425,'[2]stock-take'!$G:$K,4,FALSE)), "OUT OF STOCK", VLOOKUP(D425,'[2]stock-take'!$G:$K,4,FALSE)))</f>
        <v xml:space="preserve"> </v>
      </c>
      <c r="J425" s="39">
        <f>IF(ISNA(VLOOKUP(D425,'[2]stock-take'!$G:$K,3,FALSE)), 0, VLOOKUP(D425,'[2]stock-take'!$G:$K,3,FALSE))</f>
        <v>0</v>
      </c>
      <c r="K425" s="49" t="str">
        <f>IF(F425="", " ", IF(ISNA(VLOOKUP(D425,'[2]stock-take'!$M:$Q,4,FALSE)), "OUT OF STOCK", VLOOKUP(D425,'[2]stock-take'!$M:$Q,4,FALSE)))</f>
        <v xml:space="preserve"> </v>
      </c>
      <c r="L425" s="47">
        <f>IF(ISNA(VLOOKUP(D425,'[2]stock-take'!$M:$Q,3,FALSE)), 0, VLOOKUP(D425,'[2]stock-take'!$M:$Q,3,FALSE))</f>
        <v>0</v>
      </c>
      <c r="M425" s="48" t="str">
        <f t="shared" si="19"/>
        <v xml:space="preserve"> </v>
      </c>
      <c r="N425" s="39" t="str">
        <f t="shared" si="20"/>
        <v xml:space="preserve"> </v>
      </c>
    </row>
    <row r="426" spans="1:14">
      <c r="A426" s="37">
        <f t="shared" si="18"/>
        <v>415</v>
      </c>
      <c r="G426" s="48" t="str">
        <f>IF(F426=""," ",IF(ISNA(VLOOKUP(D426,'[2]stock-take'!$A:$E,4,FALSE)), "OUT OF STOCK", VLOOKUP(D426,'[2]stock-take'!$A:$E,4,FALSE)))</f>
        <v xml:space="preserve"> </v>
      </c>
      <c r="H426" s="48">
        <f>IF(ISNA(VLOOKUP(D426,'[2]stock-take'!$A:$E,3,FALSE)), 0, VLOOKUP(D426,'[2]stock-take'!$A:$E,3,FALSE))</f>
        <v>0</v>
      </c>
      <c r="I426" s="48" t="str">
        <f>IF(F426="", " ",IF(ISNA(VLOOKUP(D426,'[2]stock-take'!$G:$K,4,FALSE)), "OUT OF STOCK", VLOOKUP(D426,'[2]stock-take'!$G:$K,4,FALSE)))</f>
        <v xml:space="preserve"> </v>
      </c>
      <c r="J426" s="39">
        <f>IF(ISNA(VLOOKUP(D426,'[2]stock-take'!$G:$K,3,FALSE)), 0, VLOOKUP(D426,'[2]stock-take'!$G:$K,3,FALSE))</f>
        <v>0</v>
      </c>
      <c r="K426" s="49" t="str">
        <f>IF(F426="", " ", IF(ISNA(VLOOKUP(D426,'[2]stock-take'!$M:$Q,4,FALSE)), "OUT OF STOCK", VLOOKUP(D426,'[2]stock-take'!$M:$Q,4,FALSE)))</f>
        <v xml:space="preserve"> </v>
      </c>
      <c r="L426" s="47">
        <f>IF(ISNA(VLOOKUP(D426,'[2]stock-take'!$M:$Q,3,FALSE)), 0, VLOOKUP(D426,'[2]stock-take'!$M:$Q,3,FALSE))</f>
        <v>0</v>
      </c>
      <c r="M426" s="48" t="str">
        <f t="shared" si="19"/>
        <v xml:space="preserve"> </v>
      </c>
      <c r="N426" s="39" t="str">
        <f t="shared" si="20"/>
        <v xml:space="preserve"> </v>
      </c>
    </row>
    <row r="427" spans="1:14">
      <c r="A427" s="37">
        <f t="shared" si="18"/>
        <v>416</v>
      </c>
      <c r="G427" s="48" t="str">
        <f>IF(F427=""," ",IF(ISNA(VLOOKUP(D427,'[2]stock-take'!$A:$E,4,FALSE)), "OUT OF STOCK", VLOOKUP(D427,'[2]stock-take'!$A:$E,4,FALSE)))</f>
        <v xml:space="preserve"> </v>
      </c>
      <c r="H427" s="48">
        <f>IF(ISNA(VLOOKUP(D427,'[2]stock-take'!$A:$E,3,FALSE)), 0, VLOOKUP(D427,'[2]stock-take'!$A:$E,3,FALSE))</f>
        <v>0</v>
      </c>
      <c r="I427" s="48" t="str">
        <f>IF(F427="", " ",IF(ISNA(VLOOKUP(D427,'[2]stock-take'!$G:$K,4,FALSE)), "OUT OF STOCK", VLOOKUP(D427,'[2]stock-take'!$G:$K,4,FALSE)))</f>
        <v xml:space="preserve"> </v>
      </c>
      <c r="J427" s="39">
        <f>IF(ISNA(VLOOKUP(D427,'[2]stock-take'!$G:$K,3,FALSE)), 0, VLOOKUP(D427,'[2]stock-take'!$G:$K,3,FALSE))</f>
        <v>0</v>
      </c>
      <c r="K427" s="49" t="str">
        <f>IF(F427="", " ", IF(ISNA(VLOOKUP(D427,'[2]stock-take'!$M:$Q,4,FALSE)), "OUT OF STOCK", VLOOKUP(D427,'[2]stock-take'!$M:$Q,4,FALSE)))</f>
        <v xml:space="preserve"> </v>
      </c>
      <c r="L427" s="47">
        <f>IF(ISNA(VLOOKUP(D427,'[2]stock-take'!$M:$Q,3,FALSE)), 0, VLOOKUP(D427,'[2]stock-take'!$M:$Q,3,FALSE))</f>
        <v>0</v>
      </c>
      <c r="M427" s="48" t="str">
        <f t="shared" si="19"/>
        <v xml:space="preserve"> </v>
      </c>
      <c r="N427" s="39" t="str">
        <f t="shared" si="20"/>
        <v xml:space="preserve"> </v>
      </c>
    </row>
    <row r="428" spans="1:14">
      <c r="A428" s="37">
        <f t="shared" si="18"/>
        <v>417</v>
      </c>
      <c r="G428" s="48" t="str">
        <f>IF(F428=""," ",IF(ISNA(VLOOKUP(D428,'[2]stock-take'!$A:$E,4,FALSE)), "OUT OF STOCK", VLOOKUP(D428,'[2]stock-take'!$A:$E,4,FALSE)))</f>
        <v xml:space="preserve"> </v>
      </c>
      <c r="H428" s="48">
        <f>IF(ISNA(VLOOKUP(D428,'[2]stock-take'!$A:$E,3,FALSE)), 0, VLOOKUP(D428,'[2]stock-take'!$A:$E,3,FALSE))</f>
        <v>0</v>
      </c>
      <c r="I428" s="48" t="str">
        <f>IF(F428="", " ",IF(ISNA(VLOOKUP(D428,'[2]stock-take'!$G:$K,4,FALSE)), "OUT OF STOCK", VLOOKUP(D428,'[2]stock-take'!$G:$K,4,FALSE)))</f>
        <v xml:space="preserve"> </v>
      </c>
      <c r="J428" s="39">
        <f>IF(ISNA(VLOOKUP(D428,'[2]stock-take'!$G:$K,3,FALSE)), 0, VLOOKUP(D428,'[2]stock-take'!$G:$K,3,FALSE))</f>
        <v>0</v>
      </c>
      <c r="K428" s="49" t="str">
        <f>IF(F428="", " ", IF(ISNA(VLOOKUP(D428,'[2]stock-take'!$M:$Q,4,FALSE)), "OUT OF STOCK", VLOOKUP(D428,'[2]stock-take'!$M:$Q,4,FALSE)))</f>
        <v xml:space="preserve"> </v>
      </c>
      <c r="L428" s="47">
        <f>IF(ISNA(VLOOKUP(D428,'[2]stock-take'!$M:$Q,3,FALSE)), 0, VLOOKUP(D428,'[2]stock-take'!$M:$Q,3,FALSE))</f>
        <v>0</v>
      </c>
      <c r="M428" s="48" t="str">
        <f t="shared" si="19"/>
        <v xml:space="preserve"> </v>
      </c>
      <c r="N428" s="39" t="str">
        <f t="shared" si="20"/>
        <v xml:space="preserve"> </v>
      </c>
    </row>
    <row r="429" spans="1:14">
      <c r="A429" s="37">
        <f t="shared" si="18"/>
        <v>418</v>
      </c>
      <c r="G429" s="48" t="str">
        <f>IF(F429=""," ",IF(ISNA(VLOOKUP(D429,'[2]stock-take'!$A:$E,4,FALSE)), "OUT OF STOCK", VLOOKUP(D429,'[2]stock-take'!$A:$E,4,FALSE)))</f>
        <v xml:space="preserve"> </v>
      </c>
      <c r="H429" s="48">
        <f>IF(ISNA(VLOOKUP(D429,'[2]stock-take'!$A:$E,3,FALSE)), 0, VLOOKUP(D429,'[2]stock-take'!$A:$E,3,FALSE))</f>
        <v>0</v>
      </c>
      <c r="I429" s="48" t="str">
        <f>IF(F429="", " ",IF(ISNA(VLOOKUP(D429,'[2]stock-take'!$G:$K,4,FALSE)), "OUT OF STOCK", VLOOKUP(D429,'[2]stock-take'!$G:$K,4,FALSE)))</f>
        <v xml:space="preserve"> </v>
      </c>
      <c r="J429" s="39">
        <f>IF(ISNA(VLOOKUP(D429,'[2]stock-take'!$G:$K,3,FALSE)), 0, VLOOKUP(D429,'[2]stock-take'!$G:$K,3,FALSE))</f>
        <v>0</v>
      </c>
      <c r="K429" s="49" t="str">
        <f>IF(F429="", " ", IF(ISNA(VLOOKUP(D429,'[2]stock-take'!$M:$Q,4,FALSE)), "OUT OF STOCK", VLOOKUP(D429,'[2]stock-take'!$M:$Q,4,FALSE)))</f>
        <v xml:space="preserve"> </v>
      </c>
      <c r="L429" s="47">
        <f>IF(ISNA(VLOOKUP(D429,'[2]stock-take'!$M:$Q,3,FALSE)), 0, VLOOKUP(D429,'[2]stock-take'!$M:$Q,3,FALSE))</f>
        <v>0</v>
      </c>
      <c r="M429" s="48" t="str">
        <f t="shared" si="19"/>
        <v xml:space="preserve"> </v>
      </c>
      <c r="N429" s="39" t="str">
        <f t="shared" si="20"/>
        <v xml:space="preserve"> </v>
      </c>
    </row>
    <row r="430" spans="1:14">
      <c r="A430" s="37">
        <f t="shared" si="18"/>
        <v>419</v>
      </c>
      <c r="G430" s="48" t="str">
        <f>IF(F430=""," ",IF(ISNA(VLOOKUP(D430,'[2]stock-take'!$A:$E,4,FALSE)), "OUT OF STOCK", VLOOKUP(D430,'[2]stock-take'!$A:$E,4,FALSE)))</f>
        <v xml:space="preserve"> </v>
      </c>
      <c r="H430" s="48">
        <f>IF(ISNA(VLOOKUP(D430,'[2]stock-take'!$A:$E,3,FALSE)), 0, VLOOKUP(D430,'[2]stock-take'!$A:$E,3,FALSE))</f>
        <v>0</v>
      </c>
      <c r="I430" s="48" t="str">
        <f>IF(F430="", " ",IF(ISNA(VLOOKUP(D430,'[2]stock-take'!$G:$K,4,FALSE)), "OUT OF STOCK", VLOOKUP(D430,'[2]stock-take'!$G:$K,4,FALSE)))</f>
        <v xml:space="preserve"> </v>
      </c>
      <c r="J430" s="39">
        <f>IF(ISNA(VLOOKUP(D430,'[2]stock-take'!$G:$K,3,FALSE)), 0, VLOOKUP(D430,'[2]stock-take'!$G:$K,3,FALSE))</f>
        <v>0</v>
      </c>
      <c r="K430" s="49" t="str">
        <f>IF(F430="", " ", IF(ISNA(VLOOKUP(D430,'[2]stock-take'!$M:$Q,4,FALSE)), "OUT OF STOCK", VLOOKUP(D430,'[2]stock-take'!$M:$Q,4,FALSE)))</f>
        <v xml:space="preserve"> </v>
      </c>
      <c r="L430" s="47">
        <f>IF(ISNA(VLOOKUP(D430,'[2]stock-take'!$M:$Q,3,FALSE)), 0, VLOOKUP(D430,'[2]stock-take'!$M:$Q,3,FALSE))</f>
        <v>0</v>
      </c>
      <c r="M430" s="48" t="str">
        <f t="shared" si="19"/>
        <v xml:space="preserve"> </v>
      </c>
      <c r="N430" s="39" t="str">
        <f t="shared" si="20"/>
        <v xml:space="preserve"> </v>
      </c>
    </row>
    <row r="431" spans="1:14">
      <c r="A431" s="37">
        <f t="shared" si="18"/>
        <v>420</v>
      </c>
      <c r="G431" s="48" t="str">
        <f>IF(F431=""," ",IF(ISNA(VLOOKUP(D431,'[2]stock-take'!$A:$E,4,FALSE)), "OUT OF STOCK", VLOOKUP(D431,'[2]stock-take'!$A:$E,4,FALSE)))</f>
        <v xml:space="preserve"> </v>
      </c>
      <c r="H431" s="48">
        <f>IF(ISNA(VLOOKUP(D431,'[2]stock-take'!$A:$E,3,FALSE)), 0, VLOOKUP(D431,'[2]stock-take'!$A:$E,3,FALSE))</f>
        <v>0</v>
      </c>
      <c r="I431" s="48" t="str">
        <f>IF(F431="", " ",IF(ISNA(VLOOKUP(D431,'[2]stock-take'!$G:$K,4,FALSE)), "OUT OF STOCK", VLOOKUP(D431,'[2]stock-take'!$G:$K,4,FALSE)))</f>
        <v xml:space="preserve"> </v>
      </c>
      <c r="J431" s="39">
        <f>IF(ISNA(VLOOKUP(D431,'[2]stock-take'!$G:$K,3,FALSE)), 0, VLOOKUP(D431,'[2]stock-take'!$G:$K,3,FALSE))</f>
        <v>0</v>
      </c>
      <c r="K431" s="49" t="str">
        <f>IF(F431="", " ", IF(ISNA(VLOOKUP(D431,'[2]stock-take'!$M:$Q,4,FALSE)), "OUT OF STOCK", VLOOKUP(D431,'[2]stock-take'!$M:$Q,4,FALSE)))</f>
        <v xml:space="preserve"> </v>
      </c>
      <c r="L431" s="47">
        <f>IF(ISNA(VLOOKUP(D431,'[2]stock-take'!$M:$Q,3,FALSE)), 0, VLOOKUP(D431,'[2]stock-take'!$M:$Q,3,FALSE))</f>
        <v>0</v>
      </c>
      <c r="M431" s="48" t="str">
        <f t="shared" si="19"/>
        <v xml:space="preserve"> </v>
      </c>
      <c r="N431" s="39" t="str">
        <f t="shared" si="20"/>
        <v xml:space="preserve"> </v>
      </c>
    </row>
    <row r="432" spans="1:14">
      <c r="A432" s="37">
        <f t="shared" si="18"/>
        <v>421</v>
      </c>
      <c r="G432" s="48" t="str">
        <f>IF(F432=""," ",IF(ISNA(VLOOKUP(D432,'[2]stock-take'!$A:$E,4,FALSE)), "OUT OF STOCK", VLOOKUP(D432,'[2]stock-take'!$A:$E,4,FALSE)))</f>
        <v xml:space="preserve"> </v>
      </c>
      <c r="H432" s="48">
        <f>IF(ISNA(VLOOKUP(D432,'[2]stock-take'!$A:$E,3,FALSE)), 0, VLOOKUP(D432,'[2]stock-take'!$A:$E,3,FALSE))</f>
        <v>0</v>
      </c>
      <c r="I432" s="48" t="str">
        <f>IF(F432="", " ",IF(ISNA(VLOOKUP(D432,'[2]stock-take'!$G:$K,4,FALSE)), "OUT OF STOCK", VLOOKUP(D432,'[2]stock-take'!$G:$K,4,FALSE)))</f>
        <v xml:space="preserve"> </v>
      </c>
      <c r="J432" s="39">
        <f>IF(ISNA(VLOOKUP(D432,'[2]stock-take'!$G:$K,3,FALSE)), 0, VLOOKUP(D432,'[2]stock-take'!$G:$K,3,FALSE))</f>
        <v>0</v>
      </c>
      <c r="K432" s="49" t="str">
        <f>IF(F432="", " ", IF(ISNA(VLOOKUP(D432,'[2]stock-take'!$M:$Q,4,FALSE)), "OUT OF STOCK", VLOOKUP(D432,'[2]stock-take'!$M:$Q,4,FALSE)))</f>
        <v xml:space="preserve"> </v>
      </c>
      <c r="L432" s="47">
        <f>IF(ISNA(VLOOKUP(D432,'[2]stock-take'!$M:$Q,3,FALSE)), 0, VLOOKUP(D432,'[2]stock-take'!$M:$Q,3,FALSE))</f>
        <v>0</v>
      </c>
      <c r="M432" s="48" t="str">
        <f t="shared" si="19"/>
        <v xml:space="preserve"> </v>
      </c>
      <c r="N432" s="39" t="str">
        <f t="shared" si="20"/>
        <v xml:space="preserve"> </v>
      </c>
    </row>
    <row r="433" spans="1:14">
      <c r="A433" s="37">
        <f t="shared" si="18"/>
        <v>422</v>
      </c>
      <c r="G433" s="48" t="str">
        <f>IF(F433=""," ",IF(ISNA(VLOOKUP(D433,'[2]stock-take'!$A:$E,4,FALSE)), "OUT OF STOCK", VLOOKUP(D433,'[2]stock-take'!$A:$E,4,FALSE)))</f>
        <v xml:space="preserve"> </v>
      </c>
      <c r="H433" s="48">
        <f>IF(ISNA(VLOOKUP(D433,'[2]stock-take'!$A:$E,3,FALSE)), 0, VLOOKUP(D433,'[2]stock-take'!$A:$E,3,FALSE))</f>
        <v>0</v>
      </c>
      <c r="I433" s="48" t="str">
        <f>IF(F433="", " ",IF(ISNA(VLOOKUP(D433,'[2]stock-take'!$G:$K,4,FALSE)), "OUT OF STOCK", VLOOKUP(D433,'[2]stock-take'!$G:$K,4,FALSE)))</f>
        <v xml:space="preserve"> </v>
      </c>
      <c r="J433" s="39">
        <f>IF(ISNA(VLOOKUP(D433,'[2]stock-take'!$G:$K,3,FALSE)), 0, VLOOKUP(D433,'[2]stock-take'!$G:$K,3,FALSE))</f>
        <v>0</v>
      </c>
      <c r="K433" s="49" t="str">
        <f>IF(F433="", " ", IF(ISNA(VLOOKUP(D433,'[2]stock-take'!$M:$Q,4,FALSE)), "OUT OF STOCK", VLOOKUP(D433,'[2]stock-take'!$M:$Q,4,FALSE)))</f>
        <v xml:space="preserve"> </v>
      </c>
      <c r="L433" s="47">
        <f>IF(ISNA(VLOOKUP(D433,'[2]stock-take'!$M:$Q,3,FALSE)), 0, VLOOKUP(D433,'[2]stock-take'!$M:$Q,3,FALSE))</f>
        <v>0</v>
      </c>
      <c r="M433" s="48" t="str">
        <f t="shared" si="19"/>
        <v xml:space="preserve"> </v>
      </c>
      <c r="N433" s="39" t="str">
        <f t="shared" si="20"/>
        <v xml:space="preserve"> </v>
      </c>
    </row>
    <row r="434" spans="1:14">
      <c r="A434" s="37">
        <f t="shared" si="18"/>
        <v>423</v>
      </c>
      <c r="G434" s="48" t="str">
        <f>IF(F434=""," ",IF(ISNA(VLOOKUP(D434,'[2]stock-take'!$A:$E,4,FALSE)), "OUT OF STOCK", VLOOKUP(D434,'[2]stock-take'!$A:$E,4,FALSE)))</f>
        <v xml:space="preserve"> </v>
      </c>
      <c r="H434" s="48">
        <f>IF(ISNA(VLOOKUP(D434,'[2]stock-take'!$A:$E,3,FALSE)), 0, VLOOKUP(D434,'[2]stock-take'!$A:$E,3,FALSE))</f>
        <v>0</v>
      </c>
      <c r="I434" s="48" t="str">
        <f>IF(F434="", " ",IF(ISNA(VLOOKUP(D434,'[2]stock-take'!$G:$K,4,FALSE)), "OUT OF STOCK", VLOOKUP(D434,'[2]stock-take'!$G:$K,4,FALSE)))</f>
        <v xml:space="preserve"> </v>
      </c>
      <c r="J434" s="39">
        <f>IF(ISNA(VLOOKUP(D434,'[2]stock-take'!$G:$K,3,FALSE)), 0, VLOOKUP(D434,'[2]stock-take'!$G:$K,3,FALSE))</f>
        <v>0</v>
      </c>
      <c r="K434" s="49" t="str">
        <f>IF(F434="", " ", IF(ISNA(VLOOKUP(D434,'[2]stock-take'!$M:$Q,4,FALSE)), "OUT OF STOCK", VLOOKUP(D434,'[2]stock-take'!$M:$Q,4,FALSE)))</f>
        <v xml:space="preserve"> </v>
      </c>
      <c r="L434" s="47">
        <f>IF(ISNA(VLOOKUP(D434,'[2]stock-take'!$M:$Q,3,FALSE)), 0, VLOOKUP(D434,'[2]stock-take'!$M:$Q,3,FALSE))</f>
        <v>0</v>
      </c>
      <c r="M434" s="48" t="str">
        <f t="shared" si="19"/>
        <v xml:space="preserve"> </v>
      </c>
      <c r="N434" s="39" t="str">
        <f t="shared" si="20"/>
        <v xml:space="preserve"> </v>
      </c>
    </row>
    <row r="435" spans="1:14">
      <c r="A435" s="37">
        <f t="shared" si="18"/>
        <v>424</v>
      </c>
      <c r="G435" s="48" t="str">
        <f>IF(F435=""," ",IF(ISNA(VLOOKUP(D435,'[2]stock-take'!$A:$E,4,FALSE)), "OUT OF STOCK", VLOOKUP(D435,'[2]stock-take'!$A:$E,4,FALSE)))</f>
        <v xml:space="preserve"> </v>
      </c>
      <c r="H435" s="48">
        <f>IF(ISNA(VLOOKUP(D435,'[2]stock-take'!$A:$E,3,FALSE)), 0, VLOOKUP(D435,'[2]stock-take'!$A:$E,3,FALSE))</f>
        <v>0</v>
      </c>
      <c r="I435" s="48" t="str">
        <f>IF(F435="", " ",IF(ISNA(VLOOKUP(D435,'[2]stock-take'!$G:$K,4,FALSE)), "OUT OF STOCK", VLOOKUP(D435,'[2]stock-take'!$G:$K,4,FALSE)))</f>
        <v xml:space="preserve"> </v>
      </c>
      <c r="J435" s="39">
        <f>IF(ISNA(VLOOKUP(D435,'[2]stock-take'!$G:$K,3,FALSE)), 0, VLOOKUP(D435,'[2]stock-take'!$G:$K,3,FALSE))</f>
        <v>0</v>
      </c>
      <c r="K435" s="49" t="str">
        <f>IF(F435="", " ", IF(ISNA(VLOOKUP(D435,'[2]stock-take'!$M:$Q,4,FALSE)), "OUT OF STOCK", VLOOKUP(D435,'[2]stock-take'!$M:$Q,4,FALSE)))</f>
        <v xml:space="preserve"> </v>
      </c>
      <c r="L435" s="47">
        <f>IF(ISNA(VLOOKUP(D435,'[2]stock-take'!$M:$Q,3,FALSE)), 0, VLOOKUP(D435,'[2]stock-take'!$M:$Q,3,FALSE))</f>
        <v>0</v>
      </c>
      <c r="M435" s="48" t="str">
        <f t="shared" si="19"/>
        <v xml:space="preserve"> </v>
      </c>
      <c r="N435" s="39" t="str">
        <f t="shared" si="20"/>
        <v xml:space="preserve"> </v>
      </c>
    </row>
    <row r="436" spans="1:14">
      <c r="A436" s="37">
        <f t="shared" si="18"/>
        <v>425</v>
      </c>
      <c r="G436" s="48" t="str">
        <f>IF(F436=""," ",IF(ISNA(VLOOKUP(D436,'[2]stock-take'!$A:$E,4,FALSE)), "OUT OF STOCK", VLOOKUP(D436,'[2]stock-take'!$A:$E,4,FALSE)))</f>
        <v xml:space="preserve"> </v>
      </c>
      <c r="H436" s="48">
        <f>IF(ISNA(VLOOKUP(D436,'[2]stock-take'!$A:$E,3,FALSE)), 0, VLOOKUP(D436,'[2]stock-take'!$A:$E,3,FALSE))</f>
        <v>0</v>
      </c>
      <c r="I436" s="48" t="str">
        <f>IF(F436="", " ",IF(ISNA(VLOOKUP(D436,'[2]stock-take'!$G:$K,4,FALSE)), "OUT OF STOCK", VLOOKUP(D436,'[2]stock-take'!$G:$K,4,FALSE)))</f>
        <v xml:space="preserve"> </v>
      </c>
      <c r="J436" s="39">
        <f>IF(ISNA(VLOOKUP(D436,'[2]stock-take'!$G:$K,3,FALSE)), 0, VLOOKUP(D436,'[2]stock-take'!$G:$K,3,FALSE))</f>
        <v>0</v>
      </c>
      <c r="K436" s="49" t="str">
        <f>IF(F436="", " ", IF(ISNA(VLOOKUP(D436,'[2]stock-take'!$M:$Q,4,FALSE)), "OUT OF STOCK", VLOOKUP(D436,'[2]stock-take'!$M:$Q,4,FALSE)))</f>
        <v xml:space="preserve"> </v>
      </c>
      <c r="L436" s="47">
        <f>IF(ISNA(VLOOKUP(D436,'[2]stock-take'!$M:$Q,3,FALSE)), 0, VLOOKUP(D436,'[2]stock-take'!$M:$Q,3,FALSE))</f>
        <v>0</v>
      </c>
      <c r="M436" s="48" t="str">
        <f t="shared" si="19"/>
        <v xml:space="preserve"> </v>
      </c>
      <c r="N436" s="39" t="str">
        <f t="shared" si="20"/>
        <v xml:space="preserve"> </v>
      </c>
    </row>
    <row r="437" spans="1:14">
      <c r="A437" s="37">
        <f t="shared" si="18"/>
        <v>426</v>
      </c>
      <c r="G437" s="48" t="str">
        <f>IF(F437=""," ",IF(ISNA(VLOOKUP(D437,'[2]stock-take'!$A:$E,4,FALSE)), "OUT OF STOCK", VLOOKUP(D437,'[2]stock-take'!$A:$E,4,FALSE)))</f>
        <v xml:space="preserve"> </v>
      </c>
      <c r="H437" s="48">
        <f>IF(ISNA(VLOOKUP(D437,'[2]stock-take'!$A:$E,3,FALSE)), 0, VLOOKUP(D437,'[2]stock-take'!$A:$E,3,FALSE))</f>
        <v>0</v>
      </c>
      <c r="I437" s="48" t="str">
        <f>IF(F437="", " ",IF(ISNA(VLOOKUP(D437,'[2]stock-take'!$G:$K,4,FALSE)), "OUT OF STOCK", VLOOKUP(D437,'[2]stock-take'!$G:$K,4,FALSE)))</f>
        <v xml:space="preserve"> </v>
      </c>
      <c r="J437" s="39">
        <f>IF(ISNA(VLOOKUP(D437,'[2]stock-take'!$G:$K,3,FALSE)), 0, VLOOKUP(D437,'[2]stock-take'!$G:$K,3,FALSE))</f>
        <v>0</v>
      </c>
      <c r="K437" s="49" t="str">
        <f>IF(F437="", " ", IF(ISNA(VLOOKUP(D437,'[2]stock-take'!$M:$Q,4,FALSE)), "OUT OF STOCK", VLOOKUP(D437,'[2]stock-take'!$M:$Q,4,FALSE)))</f>
        <v xml:space="preserve"> </v>
      </c>
      <c r="L437" s="47">
        <f>IF(ISNA(VLOOKUP(D437,'[2]stock-take'!$M:$Q,3,FALSE)), 0, VLOOKUP(D437,'[2]stock-take'!$M:$Q,3,FALSE))</f>
        <v>0</v>
      </c>
      <c r="M437" s="48" t="str">
        <f t="shared" si="19"/>
        <v xml:space="preserve"> </v>
      </c>
      <c r="N437" s="39" t="str">
        <f t="shared" si="20"/>
        <v xml:space="preserve"> </v>
      </c>
    </row>
    <row r="438" spans="1:14">
      <c r="A438" s="37">
        <f t="shared" si="18"/>
        <v>427</v>
      </c>
      <c r="G438" s="48" t="str">
        <f>IF(F438=""," ",IF(ISNA(VLOOKUP(D438,'[2]stock-take'!$A:$E,4,FALSE)), "OUT OF STOCK", VLOOKUP(D438,'[2]stock-take'!$A:$E,4,FALSE)))</f>
        <v xml:space="preserve"> </v>
      </c>
      <c r="H438" s="48">
        <f>IF(ISNA(VLOOKUP(D438,'[2]stock-take'!$A:$E,3,FALSE)), 0, VLOOKUP(D438,'[2]stock-take'!$A:$E,3,FALSE))</f>
        <v>0</v>
      </c>
      <c r="I438" s="48" t="str">
        <f>IF(F438="", " ",IF(ISNA(VLOOKUP(D438,'[2]stock-take'!$G:$K,4,FALSE)), "OUT OF STOCK", VLOOKUP(D438,'[2]stock-take'!$G:$K,4,FALSE)))</f>
        <v xml:space="preserve"> </v>
      </c>
      <c r="J438" s="39">
        <f>IF(ISNA(VLOOKUP(D438,'[2]stock-take'!$G:$K,3,FALSE)), 0, VLOOKUP(D438,'[2]stock-take'!$G:$K,3,FALSE))</f>
        <v>0</v>
      </c>
      <c r="K438" s="49" t="str">
        <f>IF(F438="", " ", IF(ISNA(VLOOKUP(D438,'[2]stock-take'!$M:$Q,4,FALSE)), "OUT OF STOCK", VLOOKUP(D438,'[2]stock-take'!$M:$Q,4,FALSE)))</f>
        <v xml:space="preserve"> </v>
      </c>
      <c r="L438" s="47">
        <f>IF(ISNA(VLOOKUP(D438,'[2]stock-take'!$M:$Q,3,FALSE)), 0, VLOOKUP(D438,'[2]stock-take'!$M:$Q,3,FALSE))</f>
        <v>0</v>
      </c>
      <c r="M438" s="48" t="str">
        <f t="shared" si="19"/>
        <v xml:space="preserve"> </v>
      </c>
      <c r="N438" s="39" t="str">
        <f t="shared" si="20"/>
        <v xml:space="preserve"> </v>
      </c>
    </row>
    <row r="439" spans="1:14">
      <c r="A439" s="37">
        <f t="shared" si="18"/>
        <v>428</v>
      </c>
      <c r="G439" s="48" t="str">
        <f>IF(F439=""," ",IF(ISNA(VLOOKUP(D439,'[2]stock-take'!$A:$E,4,FALSE)), "OUT OF STOCK", VLOOKUP(D439,'[2]stock-take'!$A:$E,4,FALSE)))</f>
        <v xml:space="preserve"> </v>
      </c>
      <c r="H439" s="48">
        <f>IF(ISNA(VLOOKUP(D439,'[2]stock-take'!$A:$E,3,FALSE)), 0, VLOOKUP(D439,'[2]stock-take'!$A:$E,3,FALSE))</f>
        <v>0</v>
      </c>
      <c r="I439" s="48" t="str">
        <f>IF(F439="", " ",IF(ISNA(VLOOKUP(D439,'[2]stock-take'!$G:$K,4,FALSE)), "OUT OF STOCK", VLOOKUP(D439,'[2]stock-take'!$G:$K,4,FALSE)))</f>
        <v xml:space="preserve"> </v>
      </c>
      <c r="J439" s="39">
        <f>IF(ISNA(VLOOKUP(D439,'[2]stock-take'!$G:$K,3,FALSE)), 0, VLOOKUP(D439,'[2]stock-take'!$G:$K,3,FALSE))</f>
        <v>0</v>
      </c>
      <c r="K439" s="49" t="str">
        <f>IF(F439="", " ", IF(ISNA(VLOOKUP(D439,'[2]stock-take'!$M:$Q,4,FALSE)), "OUT OF STOCK", VLOOKUP(D439,'[2]stock-take'!$M:$Q,4,FALSE)))</f>
        <v xml:space="preserve"> </v>
      </c>
      <c r="L439" s="47">
        <f>IF(ISNA(VLOOKUP(D439,'[2]stock-take'!$M:$Q,3,FALSE)), 0, VLOOKUP(D439,'[2]stock-take'!$M:$Q,3,FALSE))</f>
        <v>0</v>
      </c>
      <c r="M439" s="48" t="str">
        <f t="shared" si="19"/>
        <v xml:space="preserve"> </v>
      </c>
      <c r="N439" s="39" t="str">
        <f t="shared" si="20"/>
        <v xml:space="preserve"> </v>
      </c>
    </row>
    <row r="440" spans="1:14">
      <c r="A440" s="37">
        <f t="shared" si="18"/>
        <v>429</v>
      </c>
      <c r="G440" s="48" t="str">
        <f>IF(F440=""," ",IF(ISNA(VLOOKUP(D440,'[2]stock-take'!$A:$E,4,FALSE)), "OUT OF STOCK", VLOOKUP(D440,'[2]stock-take'!$A:$E,4,FALSE)))</f>
        <v xml:space="preserve"> </v>
      </c>
      <c r="H440" s="48">
        <f>IF(ISNA(VLOOKUP(D440,'[2]stock-take'!$A:$E,3,FALSE)), 0, VLOOKUP(D440,'[2]stock-take'!$A:$E,3,FALSE))</f>
        <v>0</v>
      </c>
      <c r="I440" s="48" t="str">
        <f>IF(F440="", " ",IF(ISNA(VLOOKUP(D440,'[2]stock-take'!$G:$K,4,FALSE)), "OUT OF STOCK", VLOOKUP(D440,'[2]stock-take'!$G:$K,4,FALSE)))</f>
        <v xml:space="preserve"> </v>
      </c>
      <c r="J440" s="39">
        <f>IF(ISNA(VLOOKUP(D440,'[2]stock-take'!$G:$K,3,FALSE)), 0, VLOOKUP(D440,'[2]stock-take'!$G:$K,3,FALSE))</f>
        <v>0</v>
      </c>
      <c r="K440" s="49" t="str">
        <f>IF(F440="", " ", IF(ISNA(VLOOKUP(D440,'[2]stock-take'!$M:$Q,4,FALSE)), "OUT OF STOCK", VLOOKUP(D440,'[2]stock-take'!$M:$Q,4,FALSE)))</f>
        <v xml:space="preserve"> </v>
      </c>
      <c r="L440" s="47">
        <f>IF(ISNA(VLOOKUP(D440,'[2]stock-take'!$M:$Q,3,FALSE)), 0, VLOOKUP(D440,'[2]stock-take'!$M:$Q,3,FALSE))</f>
        <v>0</v>
      </c>
      <c r="M440" s="48" t="str">
        <f t="shared" si="19"/>
        <v xml:space="preserve"> </v>
      </c>
      <c r="N440" s="39" t="str">
        <f t="shared" si="20"/>
        <v xml:space="preserve"> </v>
      </c>
    </row>
    <row r="441" spans="1:14">
      <c r="A441" s="37">
        <f t="shared" si="18"/>
        <v>430</v>
      </c>
      <c r="G441" s="48" t="str">
        <f>IF(F441=""," ",IF(ISNA(VLOOKUP(D441,'[2]stock-take'!$A:$E,4,FALSE)), "OUT OF STOCK", VLOOKUP(D441,'[2]stock-take'!$A:$E,4,FALSE)))</f>
        <v xml:space="preserve"> </v>
      </c>
      <c r="H441" s="48">
        <f>IF(ISNA(VLOOKUP(D441,'[2]stock-take'!$A:$E,3,FALSE)), 0, VLOOKUP(D441,'[2]stock-take'!$A:$E,3,FALSE))</f>
        <v>0</v>
      </c>
      <c r="I441" s="48" t="str">
        <f>IF(F441="", " ",IF(ISNA(VLOOKUP(D441,'[2]stock-take'!$G:$K,4,FALSE)), "OUT OF STOCK", VLOOKUP(D441,'[2]stock-take'!$G:$K,4,FALSE)))</f>
        <v xml:space="preserve"> </v>
      </c>
      <c r="J441" s="39">
        <f>IF(ISNA(VLOOKUP(D441,'[2]stock-take'!$G:$K,3,FALSE)), 0, VLOOKUP(D441,'[2]stock-take'!$G:$K,3,FALSE))</f>
        <v>0</v>
      </c>
      <c r="K441" s="49" t="str">
        <f>IF(F441="", " ", IF(ISNA(VLOOKUP(D441,'[2]stock-take'!$M:$Q,4,FALSE)), "OUT OF STOCK", VLOOKUP(D441,'[2]stock-take'!$M:$Q,4,FALSE)))</f>
        <v xml:space="preserve"> </v>
      </c>
      <c r="L441" s="47">
        <f>IF(ISNA(VLOOKUP(D441,'[2]stock-take'!$M:$Q,3,FALSE)), 0, VLOOKUP(D441,'[2]stock-take'!$M:$Q,3,FALSE))</f>
        <v>0</v>
      </c>
      <c r="M441" s="48" t="str">
        <f t="shared" si="19"/>
        <v xml:space="preserve"> </v>
      </c>
      <c r="N441" s="39" t="str">
        <f t="shared" si="20"/>
        <v xml:space="preserve"> </v>
      </c>
    </row>
    <row r="442" spans="1:14">
      <c r="A442" s="37">
        <f t="shared" si="18"/>
        <v>431</v>
      </c>
      <c r="G442" s="48" t="str">
        <f>IF(F442=""," ",IF(ISNA(VLOOKUP(D442,'[2]stock-take'!$A:$E,4,FALSE)), "OUT OF STOCK", VLOOKUP(D442,'[2]stock-take'!$A:$E,4,FALSE)))</f>
        <v xml:space="preserve"> </v>
      </c>
      <c r="H442" s="48">
        <f>IF(ISNA(VLOOKUP(D442,'[2]stock-take'!$A:$E,3,FALSE)), 0, VLOOKUP(D442,'[2]stock-take'!$A:$E,3,FALSE))</f>
        <v>0</v>
      </c>
      <c r="I442" s="48" t="str">
        <f>IF(F442="", " ",IF(ISNA(VLOOKUP(D442,'[2]stock-take'!$G:$K,4,FALSE)), "OUT OF STOCK", VLOOKUP(D442,'[2]stock-take'!$G:$K,4,FALSE)))</f>
        <v xml:space="preserve"> </v>
      </c>
      <c r="J442" s="39">
        <f>IF(ISNA(VLOOKUP(D442,'[2]stock-take'!$G:$K,3,FALSE)), 0, VLOOKUP(D442,'[2]stock-take'!$G:$K,3,FALSE))</f>
        <v>0</v>
      </c>
      <c r="K442" s="49" t="str">
        <f>IF(F442="", " ", IF(ISNA(VLOOKUP(D442,'[2]stock-take'!$M:$Q,4,FALSE)), "OUT OF STOCK", VLOOKUP(D442,'[2]stock-take'!$M:$Q,4,FALSE)))</f>
        <v xml:space="preserve"> </v>
      </c>
      <c r="L442" s="47">
        <f>IF(ISNA(VLOOKUP(D442,'[2]stock-take'!$M:$Q,3,FALSE)), 0, VLOOKUP(D442,'[2]stock-take'!$M:$Q,3,FALSE))</f>
        <v>0</v>
      </c>
      <c r="M442" s="48" t="str">
        <f t="shared" si="19"/>
        <v xml:space="preserve"> </v>
      </c>
      <c r="N442" s="39" t="str">
        <f t="shared" si="20"/>
        <v xml:space="preserve"> </v>
      </c>
    </row>
    <row r="443" spans="1:14">
      <c r="A443" s="37">
        <f t="shared" si="18"/>
        <v>432</v>
      </c>
      <c r="G443" s="48" t="str">
        <f>IF(F443=""," ",IF(ISNA(VLOOKUP(D443,'[2]stock-take'!$A:$E,4,FALSE)), "OUT OF STOCK", VLOOKUP(D443,'[2]stock-take'!$A:$E,4,FALSE)))</f>
        <v xml:space="preserve"> </v>
      </c>
      <c r="H443" s="48">
        <f>IF(ISNA(VLOOKUP(D443,'[2]stock-take'!$A:$E,3,FALSE)), 0, VLOOKUP(D443,'[2]stock-take'!$A:$E,3,FALSE))</f>
        <v>0</v>
      </c>
      <c r="I443" s="48" t="str">
        <f>IF(F443="", " ",IF(ISNA(VLOOKUP(D443,'[2]stock-take'!$G:$K,4,FALSE)), "OUT OF STOCK", VLOOKUP(D443,'[2]stock-take'!$G:$K,4,FALSE)))</f>
        <v xml:space="preserve"> </v>
      </c>
      <c r="J443" s="39">
        <f>IF(ISNA(VLOOKUP(D443,'[2]stock-take'!$G:$K,3,FALSE)), 0, VLOOKUP(D443,'[2]stock-take'!$G:$K,3,FALSE))</f>
        <v>0</v>
      </c>
      <c r="K443" s="49" t="str">
        <f>IF(F443="", " ", IF(ISNA(VLOOKUP(D443,'[2]stock-take'!$M:$Q,4,FALSE)), "OUT OF STOCK", VLOOKUP(D443,'[2]stock-take'!$M:$Q,4,FALSE)))</f>
        <v xml:space="preserve"> </v>
      </c>
      <c r="L443" s="47">
        <f>IF(ISNA(VLOOKUP(D443,'[2]stock-take'!$M:$Q,3,FALSE)), 0, VLOOKUP(D443,'[2]stock-take'!$M:$Q,3,FALSE))</f>
        <v>0</v>
      </c>
      <c r="M443" s="48" t="str">
        <f t="shared" si="19"/>
        <v xml:space="preserve"> </v>
      </c>
      <c r="N443" s="39" t="str">
        <f t="shared" si="20"/>
        <v xml:space="preserve"> </v>
      </c>
    </row>
    <row r="444" spans="1:14">
      <c r="A444" s="37">
        <f t="shared" si="18"/>
        <v>433</v>
      </c>
      <c r="G444" s="48" t="str">
        <f>IF(F444=""," ",IF(ISNA(VLOOKUP(D444,'[2]stock-take'!$A:$E,4,FALSE)), "OUT OF STOCK", VLOOKUP(D444,'[2]stock-take'!$A:$E,4,FALSE)))</f>
        <v xml:space="preserve"> </v>
      </c>
      <c r="H444" s="48">
        <f>IF(ISNA(VLOOKUP(D444,'[2]stock-take'!$A:$E,3,FALSE)), 0, VLOOKUP(D444,'[2]stock-take'!$A:$E,3,FALSE))</f>
        <v>0</v>
      </c>
      <c r="I444" s="48" t="str">
        <f>IF(F444="", " ",IF(ISNA(VLOOKUP(D444,'[2]stock-take'!$G:$K,4,FALSE)), "OUT OF STOCK", VLOOKUP(D444,'[2]stock-take'!$G:$K,4,FALSE)))</f>
        <v xml:space="preserve"> </v>
      </c>
      <c r="J444" s="39">
        <f>IF(ISNA(VLOOKUP(D444,'[2]stock-take'!$G:$K,3,FALSE)), 0, VLOOKUP(D444,'[2]stock-take'!$G:$K,3,FALSE))</f>
        <v>0</v>
      </c>
      <c r="K444" s="49" t="str">
        <f>IF(F444="", " ", IF(ISNA(VLOOKUP(D444,'[2]stock-take'!$M:$Q,4,FALSE)), "OUT OF STOCK", VLOOKUP(D444,'[2]stock-take'!$M:$Q,4,FALSE)))</f>
        <v xml:space="preserve"> </v>
      </c>
      <c r="L444" s="47">
        <f>IF(ISNA(VLOOKUP(D444,'[2]stock-take'!$M:$Q,3,FALSE)), 0, VLOOKUP(D444,'[2]stock-take'!$M:$Q,3,FALSE))</f>
        <v>0</v>
      </c>
      <c r="M444" s="48" t="str">
        <f t="shared" si="19"/>
        <v xml:space="preserve"> </v>
      </c>
      <c r="N444" s="39" t="str">
        <f t="shared" si="20"/>
        <v xml:space="preserve"> </v>
      </c>
    </row>
    <row r="445" spans="1:14">
      <c r="A445" s="37">
        <f t="shared" si="18"/>
        <v>434</v>
      </c>
      <c r="G445" s="48" t="str">
        <f>IF(F445=""," ",IF(ISNA(VLOOKUP(D445,'[2]stock-take'!$A:$E,4,FALSE)), "OUT OF STOCK", VLOOKUP(D445,'[2]stock-take'!$A:$E,4,FALSE)))</f>
        <v xml:space="preserve"> </v>
      </c>
      <c r="H445" s="48">
        <f>IF(ISNA(VLOOKUP(D445,'[2]stock-take'!$A:$E,3,FALSE)), 0, VLOOKUP(D445,'[2]stock-take'!$A:$E,3,FALSE))</f>
        <v>0</v>
      </c>
      <c r="I445" s="48" t="str">
        <f>IF(F445="", " ",IF(ISNA(VLOOKUP(D445,'[2]stock-take'!$G:$K,4,FALSE)), "OUT OF STOCK", VLOOKUP(D445,'[2]stock-take'!$G:$K,4,FALSE)))</f>
        <v xml:space="preserve"> </v>
      </c>
      <c r="J445" s="39">
        <f>IF(ISNA(VLOOKUP(D445,'[2]stock-take'!$G:$K,3,FALSE)), 0, VLOOKUP(D445,'[2]stock-take'!$G:$K,3,FALSE))</f>
        <v>0</v>
      </c>
      <c r="K445" s="49" t="str">
        <f>IF(F445="", " ", IF(ISNA(VLOOKUP(D445,'[2]stock-take'!$M:$Q,4,FALSE)), "OUT OF STOCK", VLOOKUP(D445,'[2]stock-take'!$M:$Q,4,FALSE)))</f>
        <v xml:space="preserve"> </v>
      </c>
      <c r="L445" s="47">
        <f>IF(ISNA(VLOOKUP(D445,'[2]stock-take'!$M:$Q,3,FALSE)), 0, VLOOKUP(D445,'[2]stock-take'!$M:$Q,3,FALSE))</f>
        <v>0</v>
      </c>
      <c r="M445" s="48" t="str">
        <f t="shared" si="19"/>
        <v xml:space="preserve"> </v>
      </c>
      <c r="N445" s="39" t="str">
        <f t="shared" si="20"/>
        <v xml:space="preserve"> </v>
      </c>
    </row>
    <row r="446" spans="1:14">
      <c r="A446" s="37">
        <f t="shared" si="18"/>
        <v>435</v>
      </c>
      <c r="G446" s="48" t="str">
        <f>IF(F446=""," ",IF(ISNA(VLOOKUP(D446,'[2]stock-take'!$A:$E,4,FALSE)), "OUT OF STOCK", VLOOKUP(D446,'[2]stock-take'!$A:$E,4,FALSE)))</f>
        <v xml:space="preserve"> </v>
      </c>
      <c r="H446" s="48">
        <f>IF(ISNA(VLOOKUP(D446,'[2]stock-take'!$A:$E,3,FALSE)), 0, VLOOKUP(D446,'[2]stock-take'!$A:$E,3,FALSE))</f>
        <v>0</v>
      </c>
      <c r="I446" s="48" t="str">
        <f>IF(F446="", " ",IF(ISNA(VLOOKUP(D446,'[2]stock-take'!$G:$K,4,FALSE)), "OUT OF STOCK", VLOOKUP(D446,'[2]stock-take'!$G:$K,4,FALSE)))</f>
        <v xml:space="preserve"> </v>
      </c>
      <c r="J446" s="39">
        <f>IF(ISNA(VLOOKUP(D446,'[2]stock-take'!$G:$K,3,FALSE)), 0, VLOOKUP(D446,'[2]stock-take'!$G:$K,3,FALSE))</f>
        <v>0</v>
      </c>
      <c r="K446" s="49" t="str">
        <f>IF(F446="", " ", IF(ISNA(VLOOKUP(D446,'[2]stock-take'!$M:$Q,4,FALSE)), "OUT OF STOCK", VLOOKUP(D446,'[2]stock-take'!$M:$Q,4,FALSE)))</f>
        <v xml:space="preserve"> </v>
      </c>
      <c r="L446" s="47">
        <f>IF(ISNA(VLOOKUP(D446,'[2]stock-take'!$M:$Q,3,FALSE)), 0, VLOOKUP(D446,'[2]stock-take'!$M:$Q,3,FALSE))</f>
        <v>0</v>
      </c>
      <c r="M446" s="48" t="str">
        <f t="shared" si="19"/>
        <v xml:space="preserve"> </v>
      </c>
      <c r="N446" s="39" t="str">
        <f t="shared" si="20"/>
        <v xml:space="preserve"> </v>
      </c>
    </row>
    <row r="447" spans="1:14">
      <c r="A447" s="37">
        <f t="shared" si="18"/>
        <v>436</v>
      </c>
      <c r="G447" s="48" t="str">
        <f>IF(F447=""," ",IF(ISNA(VLOOKUP(D447,'[2]stock-take'!$A:$E,4,FALSE)), "OUT OF STOCK", VLOOKUP(D447,'[2]stock-take'!$A:$E,4,FALSE)))</f>
        <v xml:space="preserve"> </v>
      </c>
      <c r="H447" s="48">
        <f>IF(ISNA(VLOOKUP(D447,'[2]stock-take'!$A:$E,3,FALSE)), 0, VLOOKUP(D447,'[2]stock-take'!$A:$E,3,FALSE))</f>
        <v>0</v>
      </c>
      <c r="I447" s="48" t="str">
        <f>IF(F447="", " ",IF(ISNA(VLOOKUP(D447,'[2]stock-take'!$G:$K,4,FALSE)), "OUT OF STOCK", VLOOKUP(D447,'[2]stock-take'!$G:$K,4,FALSE)))</f>
        <v xml:space="preserve"> </v>
      </c>
      <c r="J447" s="39">
        <f>IF(ISNA(VLOOKUP(D447,'[2]stock-take'!$G:$K,3,FALSE)), 0, VLOOKUP(D447,'[2]stock-take'!$G:$K,3,FALSE))</f>
        <v>0</v>
      </c>
      <c r="K447" s="49" t="str">
        <f>IF(F447="", " ", IF(ISNA(VLOOKUP(D447,'[2]stock-take'!$M:$Q,4,FALSE)), "OUT OF STOCK", VLOOKUP(D447,'[2]stock-take'!$M:$Q,4,FALSE)))</f>
        <v xml:space="preserve"> </v>
      </c>
      <c r="L447" s="47">
        <f>IF(ISNA(VLOOKUP(D447,'[2]stock-take'!$M:$Q,3,FALSE)), 0, VLOOKUP(D447,'[2]stock-take'!$M:$Q,3,FALSE))</f>
        <v>0</v>
      </c>
      <c r="M447" s="48" t="str">
        <f t="shared" si="19"/>
        <v xml:space="preserve"> </v>
      </c>
      <c r="N447" s="39" t="str">
        <f t="shared" si="20"/>
        <v xml:space="preserve"> </v>
      </c>
    </row>
    <row r="448" spans="1:14">
      <c r="A448" s="37">
        <f t="shared" si="18"/>
        <v>437</v>
      </c>
      <c r="G448" s="48" t="str">
        <f>IF(F448=""," ",IF(ISNA(VLOOKUP(D448,'[2]stock-take'!$A:$E,4,FALSE)), "OUT OF STOCK", VLOOKUP(D448,'[2]stock-take'!$A:$E,4,FALSE)))</f>
        <v xml:space="preserve"> </v>
      </c>
      <c r="H448" s="48">
        <f>IF(ISNA(VLOOKUP(D448,'[2]stock-take'!$A:$E,3,FALSE)), 0, VLOOKUP(D448,'[2]stock-take'!$A:$E,3,FALSE))</f>
        <v>0</v>
      </c>
      <c r="I448" s="48" t="str">
        <f>IF(F448="", " ",IF(ISNA(VLOOKUP(D448,'[2]stock-take'!$G:$K,4,FALSE)), "OUT OF STOCK", VLOOKUP(D448,'[2]stock-take'!$G:$K,4,FALSE)))</f>
        <v xml:space="preserve"> </v>
      </c>
      <c r="J448" s="39">
        <f>IF(ISNA(VLOOKUP(D448,'[2]stock-take'!$G:$K,3,FALSE)), 0, VLOOKUP(D448,'[2]stock-take'!$G:$K,3,FALSE))</f>
        <v>0</v>
      </c>
      <c r="K448" s="49" t="str">
        <f>IF(F448="", " ", IF(ISNA(VLOOKUP(D448,'[2]stock-take'!$M:$Q,4,FALSE)), "OUT OF STOCK", VLOOKUP(D448,'[2]stock-take'!$M:$Q,4,FALSE)))</f>
        <v xml:space="preserve"> </v>
      </c>
      <c r="L448" s="47">
        <f>IF(ISNA(VLOOKUP(D448,'[2]stock-take'!$M:$Q,3,FALSE)), 0, VLOOKUP(D448,'[2]stock-take'!$M:$Q,3,FALSE))</f>
        <v>0</v>
      </c>
      <c r="M448" s="48" t="str">
        <f t="shared" si="19"/>
        <v xml:space="preserve"> </v>
      </c>
      <c r="N448" s="39" t="str">
        <f t="shared" si="20"/>
        <v xml:space="preserve"> </v>
      </c>
    </row>
    <row r="449" spans="1:14">
      <c r="A449" s="37">
        <f t="shared" si="18"/>
        <v>438</v>
      </c>
      <c r="G449" s="48" t="str">
        <f>IF(F449=""," ",IF(ISNA(VLOOKUP(D449,'[2]stock-take'!$A:$E,4,FALSE)), "OUT OF STOCK", VLOOKUP(D449,'[2]stock-take'!$A:$E,4,FALSE)))</f>
        <v xml:space="preserve"> </v>
      </c>
      <c r="H449" s="48">
        <f>IF(ISNA(VLOOKUP(D449,'[2]stock-take'!$A:$E,3,FALSE)), 0, VLOOKUP(D449,'[2]stock-take'!$A:$E,3,FALSE))</f>
        <v>0</v>
      </c>
      <c r="I449" s="48" t="str">
        <f>IF(F449="", " ",IF(ISNA(VLOOKUP(D449,'[2]stock-take'!$G:$K,4,FALSE)), "OUT OF STOCK", VLOOKUP(D449,'[2]stock-take'!$G:$K,4,FALSE)))</f>
        <v xml:space="preserve"> </v>
      </c>
      <c r="J449" s="39">
        <f>IF(ISNA(VLOOKUP(D449,'[2]stock-take'!$G:$K,3,FALSE)), 0, VLOOKUP(D449,'[2]stock-take'!$G:$K,3,FALSE))</f>
        <v>0</v>
      </c>
      <c r="K449" s="49" t="str">
        <f>IF(F449="", " ", IF(ISNA(VLOOKUP(D449,'[2]stock-take'!$M:$Q,4,FALSE)), "OUT OF STOCK", VLOOKUP(D449,'[2]stock-take'!$M:$Q,4,FALSE)))</f>
        <v xml:space="preserve"> </v>
      </c>
      <c r="L449" s="47">
        <f>IF(ISNA(VLOOKUP(D449,'[2]stock-take'!$M:$Q,3,FALSE)), 0, VLOOKUP(D449,'[2]stock-take'!$M:$Q,3,FALSE))</f>
        <v>0</v>
      </c>
      <c r="M449" s="48" t="str">
        <f t="shared" si="19"/>
        <v xml:space="preserve"> </v>
      </c>
      <c r="N449" s="39" t="str">
        <f t="shared" si="20"/>
        <v xml:space="preserve"> </v>
      </c>
    </row>
    <row r="450" spans="1:14">
      <c r="A450" s="37">
        <f t="shared" si="18"/>
        <v>439</v>
      </c>
      <c r="G450" s="48" t="str">
        <f>IF(F450=""," ",IF(ISNA(VLOOKUP(D450,'[2]stock-take'!$A:$E,4,FALSE)), "OUT OF STOCK", VLOOKUP(D450,'[2]stock-take'!$A:$E,4,FALSE)))</f>
        <v xml:space="preserve"> </v>
      </c>
      <c r="H450" s="48">
        <f>IF(ISNA(VLOOKUP(D450,'[2]stock-take'!$A:$E,3,FALSE)), 0, VLOOKUP(D450,'[2]stock-take'!$A:$E,3,FALSE))</f>
        <v>0</v>
      </c>
      <c r="I450" s="48" t="str">
        <f>IF(F450="", " ",IF(ISNA(VLOOKUP(D450,'[2]stock-take'!$G:$K,4,FALSE)), "OUT OF STOCK", VLOOKUP(D450,'[2]stock-take'!$G:$K,4,FALSE)))</f>
        <v xml:space="preserve"> </v>
      </c>
      <c r="J450" s="39">
        <f>IF(ISNA(VLOOKUP(D450,'[2]stock-take'!$G:$K,3,FALSE)), 0, VLOOKUP(D450,'[2]stock-take'!$G:$K,3,FALSE))</f>
        <v>0</v>
      </c>
      <c r="K450" s="49" t="str">
        <f>IF(F450="", " ", IF(ISNA(VLOOKUP(D450,'[2]stock-take'!$M:$Q,4,FALSE)), "OUT OF STOCK", VLOOKUP(D450,'[2]stock-take'!$M:$Q,4,FALSE)))</f>
        <v xml:space="preserve"> </v>
      </c>
      <c r="L450" s="47">
        <f>IF(ISNA(VLOOKUP(D450,'[2]stock-take'!$M:$Q,3,FALSE)), 0, VLOOKUP(D450,'[2]stock-take'!$M:$Q,3,FALSE))</f>
        <v>0</v>
      </c>
      <c r="M450" s="48" t="str">
        <f t="shared" si="19"/>
        <v xml:space="preserve"> </v>
      </c>
      <c r="N450" s="39" t="str">
        <f t="shared" si="20"/>
        <v xml:space="preserve"> </v>
      </c>
    </row>
    <row r="451" spans="1:14">
      <c r="A451" s="37">
        <f t="shared" si="18"/>
        <v>440</v>
      </c>
      <c r="G451" s="48" t="str">
        <f>IF(F451=""," ",IF(ISNA(VLOOKUP(D451,'[2]stock-take'!$A:$E,4,FALSE)), "OUT OF STOCK", VLOOKUP(D451,'[2]stock-take'!$A:$E,4,FALSE)))</f>
        <v xml:space="preserve"> </v>
      </c>
      <c r="H451" s="48">
        <f>IF(ISNA(VLOOKUP(D451,'[2]stock-take'!$A:$E,3,FALSE)), 0, VLOOKUP(D451,'[2]stock-take'!$A:$E,3,FALSE))</f>
        <v>0</v>
      </c>
      <c r="I451" s="48" t="str">
        <f>IF(F451="", " ",IF(ISNA(VLOOKUP(D451,'[2]stock-take'!$G:$K,4,FALSE)), "OUT OF STOCK", VLOOKUP(D451,'[2]stock-take'!$G:$K,4,FALSE)))</f>
        <v xml:space="preserve"> </v>
      </c>
      <c r="J451" s="39">
        <f>IF(ISNA(VLOOKUP(D451,'[2]stock-take'!$G:$K,3,FALSE)), 0, VLOOKUP(D451,'[2]stock-take'!$G:$K,3,FALSE))</f>
        <v>0</v>
      </c>
      <c r="K451" s="49" t="str">
        <f>IF(F451="", " ", IF(ISNA(VLOOKUP(D451,'[2]stock-take'!$M:$Q,4,FALSE)), "OUT OF STOCK", VLOOKUP(D451,'[2]stock-take'!$M:$Q,4,FALSE)))</f>
        <v xml:space="preserve"> </v>
      </c>
      <c r="L451" s="47">
        <f>IF(ISNA(VLOOKUP(D451,'[2]stock-take'!$M:$Q,3,FALSE)), 0, VLOOKUP(D451,'[2]stock-take'!$M:$Q,3,FALSE))</f>
        <v>0</v>
      </c>
      <c r="M451" s="48" t="str">
        <f t="shared" si="19"/>
        <v xml:space="preserve"> </v>
      </c>
      <c r="N451" s="39" t="str">
        <f t="shared" si="20"/>
        <v xml:space="preserve"> </v>
      </c>
    </row>
    <row r="452" spans="1:14">
      <c r="A452" s="37">
        <f t="shared" si="18"/>
        <v>441</v>
      </c>
      <c r="G452" s="48" t="str">
        <f>IF(F452=""," ",IF(ISNA(VLOOKUP(D452,'[2]stock-take'!$A:$E,4,FALSE)), "OUT OF STOCK", VLOOKUP(D452,'[2]stock-take'!$A:$E,4,FALSE)))</f>
        <v xml:space="preserve"> </v>
      </c>
      <c r="H452" s="48">
        <f>IF(ISNA(VLOOKUP(D452,'[2]stock-take'!$A:$E,3,FALSE)), 0, VLOOKUP(D452,'[2]stock-take'!$A:$E,3,FALSE))</f>
        <v>0</v>
      </c>
      <c r="I452" s="48" t="str">
        <f>IF(F452="", " ",IF(ISNA(VLOOKUP(D452,'[2]stock-take'!$G:$K,4,FALSE)), "OUT OF STOCK", VLOOKUP(D452,'[2]stock-take'!$G:$K,4,FALSE)))</f>
        <v xml:space="preserve"> </v>
      </c>
      <c r="J452" s="39">
        <f>IF(ISNA(VLOOKUP(D452,'[2]stock-take'!$G:$K,3,FALSE)), 0, VLOOKUP(D452,'[2]stock-take'!$G:$K,3,FALSE))</f>
        <v>0</v>
      </c>
      <c r="K452" s="49" t="str">
        <f>IF(F452="", " ", IF(ISNA(VLOOKUP(D452,'[2]stock-take'!$M:$Q,4,FALSE)), "OUT OF STOCK", VLOOKUP(D452,'[2]stock-take'!$M:$Q,4,FALSE)))</f>
        <v xml:space="preserve"> </v>
      </c>
      <c r="L452" s="47">
        <f>IF(ISNA(VLOOKUP(D452,'[2]stock-take'!$M:$Q,3,FALSE)), 0, VLOOKUP(D452,'[2]stock-take'!$M:$Q,3,FALSE))</f>
        <v>0</v>
      </c>
      <c r="M452" s="48" t="str">
        <f t="shared" si="19"/>
        <v xml:space="preserve"> </v>
      </c>
      <c r="N452" s="39" t="str">
        <f t="shared" si="20"/>
        <v xml:space="preserve"> </v>
      </c>
    </row>
    <row r="453" spans="1:14">
      <c r="A453" s="37">
        <f t="shared" si="18"/>
        <v>442</v>
      </c>
      <c r="G453" s="48" t="str">
        <f>IF(F453=""," ",IF(ISNA(VLOOKUP(D453,'[2]stock-take'!$A:$E,4,FALSE)), "OUT OF STOCK", VLOOKUP(D453,'[2]stock-take'!$A:$E,4,FALSE)))</f>
        <v xml:space="preserve"> </v>
      </c>
      <c r="H453" s="48">
        <f>IF(ISNA(VLOOKUP(D453,'[2]stock-take'!$A:$E,3,FALSE)), 0, VLOOKUP(D453,'[2]stock-take'!$A:$E,3,FALSE))</f>
        <v>0</v>
      </c>
      <c r="I453" s="48" t="str">
        <f>IF(F453="", " ",IF(ISNA(VLOOKUP(D453,'[2]stock-take'!$G:$K,4,FALSE)), "OUT OF STOCK", VLOOKUP(D453,'[2]stock-take'!$G:$K,4,FALSE)))</f>
        <v xml:space="preserve"> </v>
      </c>
      <c r="J453" s="39">
        <f>IF(ISNA(VLOOKUP(D453,'[2]stock-take'!$G:$K,3,FALSE)), 0, VLOOKUP(D453,'[2]stock-take'!$G:$K,3,FALSE))</f>
        <v>0</v>
      </c>
      <c r="K453" s="49" t="str">
        <f>IF(F453="", " ", IF(ISNA(VLOOKUP(D453,'[2]stock-take'!$M:$Q,4,FALSE)), "OUT OF STOCK", VLOOKUP(D453,'[2]stock-take'!$M:$Q,4,FALSE)))</f>
        <v xml:space="preserve"> </v>
      </c>
      <c r="L453" s="47">
        <f>IF(ISNA(VLOOKUP(D453,'[2]stock-take'!$M:$Q,3,FALSE)), 0, VLOOKUP(D453,'[2]stock-take'!$M:$Q,3,FALSE))</f>
        <v>0</v>
      </c>
      <c r="M453" s="48" t="str">
        <f t="shared" si="19"/>
        <v xml:space="preserve"> </v>
      </c>
      <c r="N453" s="39" t="str">
        <f t="shared" si="20"/>
        <v xml:space="preserve"> </v>
      </c>
    </row>
    <row r="454" spans="1:14">
      <c r="A454" s="37">
        <f t="shared" si="18"/>
        <v>443</v>
      </c>
      <c r="G454" s="48" t="str">
        <f>IF(F454=""," ",IF(ISNA(VLOOKUP(D454,'[2]stock-take'!$A:$E,4,FALSE)), "OUT OF STOCK", VLOOKUP(D454,'[2]stock-take'!$A:$E,4,FALSE)))</f>
        <v xml:space="preserve"> </v>
      </c>
      <c r="H454" s="48">
        <f>IF(ISNA(VLOOKUP(D454,'[2]stock-take'!$A:$E,3,FALSE)), 0, VLOOKUP(D454,'[2]stock-take'!$A:$E,3,FALSE))</f>
        <v>0</v>
      </c>
      <c r="I454" s="48" t="str">
        <f>IF(F454="", " ",IF(ISNA(VLOOKUP(D454,'[2]stock-take'!$G:$K,4,FALSE)), "OUT OF STOCK", VLOOKUP(D454,'[2]stock-take'!$G:$K,4,FALSE)))</f>
        <v xml:space="preserve"> </v>
      </c>
      <c r="J454" s="39">
        <f>IF(ISNA(VLOOKUP(D454,'[2]stock-take'!$G:$K,3,FALSE)), 0, VLOOKUP(D454,'[2]stock-take'!$G:$K,3,FALSE))</f>
        <v>0</v>
      </c>
      <c r="K454" s="49" t="str">
        <f>IF(F454="", " ", IF(ISNA(VLOOKUP(D454,'[2]stock-take'!$M:$Q,4,FALSE)), "OUT OF STOCK", VLOOKUP(D454,'[2]stock-take'!$M:$Q,4,FALSE)))</f>
        <v xml:space="preserve"> </v>
      </c>
      <c r="L454" s="47">
        <f>IF(ISNA(VLOOKUP(D454,'[2]stock-take'!$M:$Q,3,FALSE)), 0, VLOOKUP(D454,'[2]stock-take'!$M:$Q,3,FALSE))</f>
        <v>0</v>
      </c>
      <c r="M454" s="48" t="str">
        <f t="shared" si="19"/>
        <v xml:space="preserve"> </v>
      </c>
      <c r="N454" s="39" t="str">
        <f t="shared" si="20"/>
        <v xml:space="preserve"> </v>
      </c>
    </row>
    <row r="455" spans="1:14">
      <c r="A455" s="37">
        <f t="shared" si="18"/>
        <v>444</v>
      </c>
      <c r="G455" s="48" t="str">
        <f>IF(F455=""," ",IF(ISNA(VLOOKUP(D455,'[2]stock-take'!$A:$E,4,FALSE)), "OUT OF STOCK", VLOOKUP(D455,'[2]stock-take'!$A:$E,4,FALSE)))</f>
        <v xml:space="preserve"> </v>
      </c>
      <c r="H455" s="48">
        <f>IF(ISNA(VLOOKUP(D455,'[2]stock-take'!$A:$E,3,FALSE)), 0, VLOOKUP(D455,'[2]stock-take'!$A:$E,3,FALSE))</f>
        <v>0</v>
      </c>
      <c r="I455" s="48" t="str">
        <f>IF(F455="", " ",IF(ISNA(VLOOKUP(D455,'[2]stock-take'!$G:$K,4,FALSE)), "OUT OF STOCK", VLOOKUP(D455,'[2]stock-take'!$G:$K,4,FALSE)))</f>
        <v xml:space="preserve"> </v>
      </c>
      <c r="J455" s="39">
        <f>IF(ISNA(VLOOKUP(D455,'[2]stock-take'!$G:$K,3,FALSE)), 0, VLOOKUP(D455,'[2]stock-take'!$G:$K,3,FALSE))</f>
        <v>0</v>
      </c>
      <c r="K455" s="49" t="str">
        <f>IF(F455="", " ", IF(ISNA(VLOOKUP(D455,'[2]stock-take'!$M:$Q,4,FALSE)), "OUT OF STOCK", VLOOKUP(D455,'[2]stock-take'!$M:$Q,4,FALSE)))</f>
        <v xml:space="preserve"> </v>
      </c>
      <c r="L455" s="47">
        <f>IF(ISNA(VLOOKUP(D455,'[2]stock-take'!$M:$Q,3,FALSE)), 0, VLOOKUP(D455,'[2]stock-take'!$M:$Q,3,FALSE))</f>
        <v>0</v>
      </c>
      <c r="M455" s="48" t="str">
        <f t="shared" si="19"/>
        <v xml:space="preserve"> </v>
      </c>
      <c r="N455" s="39" t="str">
        <f t="shared" si="20"/>
        <v xml:space="preserve"> </v>
      </c>
    </row>
    <row r="456" spans="1:14">
      <c r="A456" s="37">
        <f t="shared" si="18"/>
        <v>445</v>
      </c>
      <c r="G456" s="48" t="str">
        <f>IF(F456=""," ",IF(ISNA(VLOOKUP(D456,'[2]stock-take'!$A:$E,4,FALSE)), "OUT OF STOCK", VLOOKUP(D456,'[2]stock-take'!$A:$E,4,FALSE)))</f>
        <v xml:space="preserve"> </v>
      </c>
      <c r="H456" s="48">
        <f>IF(ISNA(VLOOKUP(D456,'[2]stock-take'!$A:$E,3,FALSE)), 0, VLOOKUP(D456,'[2]stock-take'!$A:$E,3,FALSE))</f>
        <v>0</v>
      </c>
      <c r="I456" s="48" t="str">
        <f>IF(F456="", " ",IF(ISNA(VLOOKUP(D456,'[2]stock-take'!$G:$K,4,FALSE)), "OUT OF STOCK", VLOOKUP(D456,'[2]stock-take'!$G:$K,4,FALSE)))</f>
        <v xml:space="preserve"> </v>
      </c>
      <c r="J456" s="39">
        <f>IF(ISNA(VLOOKUP(D456,'[2]stock-take'!$G:$K,3,FALSE)), 0, VLOOKUP(D456,'[2]stock-take'!$G:$K,3,FALSE))</f>
        <v>0</v>
      </c>
      <c r="K456" s="49" t="str">
        <f>IF(F456="", " ", IF(ISNA(VLOOKUP(D456,'[2]stock-take'!$M:$Q,4,FALSE)), "OUT OF STOCK", VLOOKUP(D456,'[2]stock-take'!$M:$Q,4,FALSE)))</f>
        <v xml:space="preserve"> </v>
      </c>
      <c r="L456" s="47">
        <f>IF(ISNA(VLOOKUP(D456,'[2]stock-take'!$M:$Q,3,FALSE)), 0, VLOOKUP(D456,'[2]stock-take'!$M:$Q,3,FALSE))</f>
        <v>0</v>
      </c>
      <c r="M456" s="48" t="str">
        <f t="shared" si="19"/>
        <v xml:space="preserve"> </v>
      </c>
      <c r="N456" s="39" t="str">
        <f t="shared" si="20"/>
        <v xml:space="preserve"> </v>
      </c>
    </row>
    <row r="457" spans="1:14">
      <c r="A457" s="37">
        <f t="shared" si="18"/>
        <v>446</v>
      </c>
      <c r="G457" s="48" t="str">
        <f>IF(F457=""," ",IF(ISNA(VLOOKUP(D457,'[2]stock-take'!$A:$E,4,FALSE)), "OUT OF STOCK", VLOOKUP(D457,'[2]stock-take'!$A:$E,4,FALSE)))</f>
        <v xml:space="preserve"> </v>
      </c>
      <c r="H457" s="48">
        <f>IF(ISNA(VLOOKUP(D457,'[2]stock-take'!$A:$E,3,FALSE)), 0, VLOOKUP(D457,'[2]stock-take'!$A:$E,3,FALSE))</f>
        <v>0</v>
      </c>
      <c r="I457" s="48" t="str">
        <f>IF(F457="", " ",IF(ISNA(VLOOKUP(D457,'[2]stock-take'!$G:$K,4,FALSE)), "OUT OF STOCK", VLOOKUP(D457,'[2]stock-take'!$G:$K,4,FALSE)))</f>
        <v xml:space="preserve"> </v>
      </c>
      <c r="J457" s="39">
        <f>IF(ISNA(VLOOKUP(D457,'[2]stock-take'!$G:$K,3,FALSE)), 0, VLOOKUP(D457,'[2]stock-take'!$G:$K,3,FALSE))</f>
        <v>0</v>
      </c>
      <c r="K457" s="49" t="str">
        <f>IF(F457="", " ", IF(ISNA(VLOOKUP(D457,'[2]stock-take'!$M:$Q,4,FALSE)), "OUT OF STOCK", VLOOKUP(D457,'[2]stock-take'!$M:$Q,4,FALSE)))</f>
        <v xml:space="preserve"> </v>
      </c>
      <c r="L457" s="47">
        <f>IF(ISNA(VLOOKUP(D457,'[2]stock-take'!$M:$Q,3,FALSE)), 0, VLOOKUP(D457,'[2]stock-take'!$M:$Q,3,FALSE))</f>
        <v>0</v>
      </c>
      <c r="M457" s="48" t="str">
        <f t="shared" si="19"/>
        <v xml:space="preserve"> </v>
      </c>
      <c r="N457" s="39" t="str">
        <f t="shared" si="20"/>
        <v xml:space="preserve"> </v>
      </c>
    </row>
    <row r="458" spans="1:14">
      <c r="A458" s="37">
        <f t="shared" si="18"/>
        <v>447</v>
      </c>
      <c r="G458" s="48" t="str">
        <f>IF(F458=""," ",IF(ISNA(VLOOKUP(D458,'[2]stock-take'!$A:$E,4,FALSE)), "OUT OF STOCK", VLOOKUP(D458,'[2]stock-take'!$A:$E,4,FALSE)))</f>
        <v xml:space="preserve"> </v>
      </c>
      <c r="H458" s="48">
        <f>IF(ISNA(VLOOKUP(D458,'[2]stock-take'!$A:$E,3,FALSE)), 0, VLOOKUP(D458,'[2]stock-take'!$A:$E,3,FALSE))</f>
        <v>0</v>
      </c>
      <c r="I458" s="48" t="str">
        <f>IF(F458="", " ",IF(ISNA(VLOOKUP(D458,'[2]stock-take'!$G:$K,4,FALSE)), "OUT OF STOCK", VLOOKUP(D458,'[2]stock-take'!$G:$K,4,FALSE)))</f>
        <v xml:space="preserve"> </v>
      </c>
      <c r="J458" s="39">
        <f>IF(ISNA(VLOOKUP(D458,'[2]stock-take'!$G:$K,3,FALSE)), 0, VLOOKUP(D458,'[2]stock-take'!$G:$K,3,FALSE))</f>
        <v>0</v>
      </c>
      <c r="K458" s="49" t="str">
        <f>IF(F458="", " ", IF(ISNA(VLOOKUP(D458,'[2]stock-take'!$M:$Q,4,FALSE)), "OUT OF STOCK", VLOOKUP(D458,'[2]stock-take'!$M:$Q,4,FALSE)))</f>
        <v xml:space="preserve"> </v>
      </c>
      <c r="L458" s="47">
        <f>IF(ISNA(VLOOKUP(D458,'[2]stock-take'!$M:$Q,3,FALSE)), 0, VLOOKUP(D458,'[2]stock-take'!$M:$Q,3,FALSE))</f>
        <v>0</v>
      </c>
      <c r="M458" s="48" t="str">
        <f t="shared" si="19"/>
        <v xml:space="preserve"> </v>
      </c>
      <c r="N458" s="39" t="str">
        <f t="shared" si="20"/>
        <v xml:space="preserve"> </v>
      </c>
    </row>
    <row r="459" spans="1:14">
      <c r="A459" s="37">
        <f t="shared" si="18"/>
        <v>448</v>
      </c>
      <c r="G459" s="48" t="str">
        <f>IF(F459=""," ",IF(ISNA(VLOOKUP(D459,'[2]stock-take'!$A:$E,4,FALSE)), "OUT OF STOCK", VLOOKUP(D459,'[2]stock-take'!$A:$E,4,FALSE)))</f>
        <v xml:space="preserve"> </v>
      </c>
      <c r="H459" s="48">
        <f>IF(ISNA(VLOOKUP(D459,'[2]stock-take'!$A:$E,3,FALSE)), 0, VLOOKUP(D459,'[2]stock-take'!$A:$E,3,FALSE))</f>
        <v>0</v>
      </c>
      <c r="I459" s="48" t="str">
        <f>IF(F459="", " ",IF(ISNA(VLOOKUP(D459,'[2]stock-take'!$G:$K,4,FALSE)), "OUT OF STOCK", VLOOKUP(D459,'[2]stock-take'!$G:$K,4,FALSE)))</f>
        <v xml:space="preserve"> </v>
      </c>
      <c r="J459" s="39">
        <f>IF(ISNA(VLOOKUP(D459,'[2]stock-take'!$G:$K,3,FALSE)), 0, VLOOKUP(D459,'[2]stock-take'!$G:$K,3,FALSE))</f>
        <v>0</v>
      </c>
      <c r="K459" s="49" t="str">
        <f>IF(F459="", " ", IF(ISNA(VLOOKUP(D459,'[2]stock-take'!$M:$Q,4,FALSE)), "OUT OF STOCK", VLOOKUP(D459,'[2]stock-take'!$M:$Q,4,FALSE)))</f>
        <v xml:space="preserve"> </v>
      </c>
      <c r="L459" s="47">
        <f>IF(ISNA(VLOOKUP(D459,'[2]stock-take'!$M:$Q,3,FALSE)), 0, VLOOKUP(D459,'[2]stock-take'!$M:$Q,3,FALSE))</f>
        <v>0</v>
      </c>
      <c r="M459" s="48" t="str">
        <f t="shared" si="19"/>
        <v xml:space="preserve"> </v>
      </c>
      <c r="N459" s="39" t="str">
        <f t="shared" si="20"/>
        <v xml:space="preserve"> </v>
      </c>
    </row>
    <row r="460" spans="1:14">
      <c r="A460" s="37">
        <f t="shared" ref="A460:A523" si="21">ROW(A460)-11</f>
        <v>449</v>
      </c>
      <c r="G460" s="48" t="str">
        <f>IF(F460=""," ",IF(ISNA(VLOOKUP(D460,'[2]stock-take'!$A:$E,4,FALSE)), "OUT OF STOCK", VLOOKUP(D460,'[2]stock-take'!$A:$E,4,FALSE)))</f>
        <v xml:space="preserve"> </v>
      </c>
      <c r="H460" s="48">
        <f>IF(ISNA(VLOOKUP(D460,'[2]stock-take'!$A:$E,3,FALSE)), 0, VLOOKUP(D460,'[2]stock-take'!$A:$E,3,FALSE))</f>
        <v>0</v>
      </c>
      <c r="I460" s="48" t="str">
        <f>IF(F460="", " ",IF(ISNA(VLOOKUP(D460,'[2]stock-take'!$G:$K,4,FALSE)), "OUT OF STOCK", VLOOKUP(D460,'[2]stock-take'!$G:$K,4,FALSE)))</f>
        <v xml:space="preserve"> </v>
      </c>
      <c r="J460" s="39">
        <f>IF(ISNA(VLOOKUP(D460,'[2]stock-take'!$G:$K,3,FALSE)), 0, VLOOKUP(D460,'[2]stock-take'!$G:$K,3,FALSE))</f>
        <v>0</v>
      </c>
      <c r="K460" s="49" t="str">
        <f>IF(F460="", " ", IF(ISNA(VLOOKUP(D460,'[2]stock-take'!$M:$Q,4,FALSE)), "OUT OF STOCK", VLOOKUP(D460,'[2]stock-take'!$M:$Q,4,FALSE)))</f>
        <v xml:space="preserve"> </v>
      </c>
      <c r="L460" s="47">
        <f>IF(ISNA(VLOOKUP(D460,'[2]stock-take'!$M:$Q,3,FALSE)), 0, VLOOKUP(D460,'[2]stock-take'!$M:$Q,3,FALSE))</f>
        <v>0</v>
      </c>
      <c r="M460" s="48" t="str">
        <f t="shared" si="19"/>
        <v xml:space="preserve"> </v>
      </c>
      <c r="N460" s="39" t="str">
        <f t="shared" si="20"/>
        <v xml:space="preserve"> </v>
      </c>
    </row>
    <row r="461" spans="1:14">
      <c r="A461" s="37">
        <f t="shared" si="21"/>
        <v>450</v>
      </c>
      <c r="G461" s="48" t="str">
        <f>IF(F461=""," ",IF(ISNA(VLOOKUP(D461,'[2]stock-take'!$A:$E,4,FALSE)), "OUT OF STOCK", VLOOKUP(D461,'[2]stock-take'!$A:$E,4,FALSE)))</f>
        <v xml:space="preserve"> </v>
      </c>
      <c r="H461" s="48">
        <f>IF(ISNA(VLOOKUP(D461,'[2]stock-take'!$A:$E,3,FALSE)), 0, VLOOKUP(D461,'[2]stock-take'!$A:$E,3,FALSE))</f>
        <v>0</v>
      </c>
      <c r="I461" s="48" t="str">
        <f>IF(F461="", " ",IF(ISNA(VLOOKUP(D461,'[2]stock-take'!$G:$K,4,FALSE)), "OUT OF STOCK", VLOOKUP(D461,'[2]stock-take'!$G:$K,4,FALSE)))</f>
        <v xml:space="preserve"> </v>
      </c>
      <c r="J461" s="39">
        <f>IF(ISNA(VLOOKUP(D461,'[2]stock-take'!$G:$K,3,FALSE)), 0, VLOOKUP(D461,'[2]stock-take'!$G:$K,3,FALSE))</f>
        <v>0</v>
      </c>
      <c r="K461" s="49" t="str">
        <f>IF(F461="", " ", IF(ISNA(VLOOKUP(D461,'[2]stock-take'!$M:$Q,4,FALSE)), "OUT OF STOCK", VLOOKUP(D461,'[2]stock-take'!$M:$Q,4,FALSE)))</f>
        <v xml:space="preserve"> </v>
      </c>
      <c r="L461" s="47">
        <f>IF(ISNA(VLOOKUP(D461,'[2]stock-take'!$M:$Q,3,FALSE)), 0, VLOOKUP(D461,'[2]stock-take'!$M:$Q,3,FALSE))</f>
        <v>0</v>
      </c>
      <c r="M461" s="48" t="str">
        <f t="shared" ref="M461:M524" si="22">IF(F461=""," ",IF(H461&gt;=F461,"Y",IF(J461&gt;=F461,"Y",IF(L461&gt;=F461,"Y",IF(SUM(H461,J461,L461)&gt;=F461,"Y","N")))))</f>
        <v xml:space="preserve"> </v>
      </c>
      <c r="N461" s="39" t="str">
        <f t="shared" ref="N461:N524" si="23">IF(F461=""," ",IF(H461&gt;=F461,"ILOOM",IF(J461&gt;=F461,"NO.6",IF(L461&gt;=F461,"RMD",IF(SUM(H461,J461,L461)&gt;=F461,"MULTI","LACK")))))</f>
        <v xml:space="preserve"> </v>
      </c>
    </row>
    <row r="462" spans="1:14">
      <c r="A462" s="37">
        <f t="shared" si="21"/>
        <v>451</v>
      </c>
      <c r="G462" s="48" t="str">
        <f>IF(F462=""," ",IF(ISNA(VLOOKUP(D462,'[2]stock-take'!$A:$E,4,FALSE)), "OUT OF STOCK", VLOOKUP(D462,'[2]stock-take'!$A:$E,4,FALSE)))</f>
        <v xml:space="preserve"> </v>
      </c>
      <c r="H462" s="48">
        <f>IF(ISNA(VLOOKUP(D462,'[2]stock-take'!$A:$E,3,FALSE)), 0, VLOOKUP(D462,'[2]stock-take'!$A:$E,3,FALSE))</f>
        <v>0</v>
      </c>
      <c r="I462" s="48" t="str">
        <f>IF(F462="", " ",IF(ISNA(VLOOKUP(D462,'[2]stock-take'!$G:$K,4,FALSE)), "OUT OF STOCK", VLOOKUP(D462,'[2]stock-take'!$G:$K,4,FALSE)))</f>
        <v xml:space="preserve"> </v>
      </c>
      <c r="J462" s="39">
        <f>IF(ISNA(VLOOKUP(D462,'[2]stock-take'!$G:$K,3,FALSE)), 0, VLOOKUP(D462,'[2]stock-take'!$G:$K,3,FALSE))</f>
        <v>0</v>
      </c>
      <c r="K462" s="49" t="str">
        <f>IF(F462="", " ", IF(ISNA(VLOOKUP(D462,'[2]stock-take'!$M:$Q,4,FALSE)), "OUT OF STOCK", VLOOKUP(D462,'[2]stock-take'!$M:$Q,4,FALSE)))</f>
        <v xml:space="preserve"> </v>
      </c>
      <c r="L462" s="47">
        <f>IF(ISNA(VLOOKUP(D462,'[2]stock-take'!$M:$Q,3,FALSE)), 0, VLOOKUP(D462,'[2]stock-take'!$M:$Q,3,FALSE))</f>
        <v>0</v>
      </c>
      <c r="M462" s="48" t="str">
        <f t="shared" si="22"/>
        <v xml:space="preserve"> </v>
      </c>
      <c r="N462" s="39" t="str">
        <f t="shared" si="23"/>
        <v xml:space="preserve"> </v>
      </c>
    </row>
    <row r="463" spans="1:14">
      <c r="A463" s="37">
        <f t="shared" si="21"/>
        <v>452</v>
      </c>
      <c r="G463" s="48" t="str">
        <f>IF(F463=""," ",IF(ISNA(VLOOKUP(D463,'[2]stock-take'!$A:$E,4,FALSE)), "OUT OF STOCK", VLOOKUP(D463,'[2]stock-take'!$A:$E,4,FALSE)))</f>
        <v xml:space="preserve"> </v>
      </c>
      <c r="H463" s="48">
        <f>IF(ISNA(VLOOKUP(D463,'[2]stock-take'!$A:$E,3,FALSE)), 0, VLOOKUP(D463,'[2]stock-take'!$A:$E,3,FALSE))</f>
        <v>0</v>
      </c>
      <c r="I463" s="48" t="str">
        <f>IF(F463="", " ",IF(ISNA(VLOOKUP(D463,'[2]stock-take'!$G:$K,4,FALSE)), "OUT OF STOCK", VLOOKUP(D463,'[2]stock-take'!$G:$K,4,FALSE)))</f>
        <v xml:space="preserve"> </v>
      </c>
      <c r="J463" s="39">
        <f>IF(ISNA(VLOOKUP(D463,'[2]stock-take'!$G:$K,3,FALSE)), 0, VLOOKUP(D463,'[2]stock-take'!$G:$K,3,FALSE))</f>
        <v>0</v>
      </c>
      <c r="K463" s="49" t="str">
        <f>IF(F463="", " ", IF(ISNA(VLOOKUP(D463,'[2]stock-take'!$M:$Q,4,FALSE)), "OUT OF STOCK", VLOOKUP(D463,'[2]stock-take'!$M:$Q,4,FALSE)))</f>
        <v xml:space="preserve"> </v>
      </c>
      <c r="L463" s="47">
        <f>IF(ISNA(VLOOKUP(D463,'[2]stock-take'!$M:$Q,3,FALSE)), 0, VLOOKUP(D463,'[2]stock-take'!$M:$Q,3,FALSE))</f>
        <v>0</v>
      </c>
      <c r="M463" s="48" t="str">
        <f t="shared" si="22"/>
        <v xml:space="preserve"> </v>
      </c>
      <c r="N463" s="39" t="str">
        <f t="shared" si="23"/>
        <v xml:space="preserve"> </v>
      </c>
    </row>
    <row r="464" spans="1:14">
      <c r="A464" s="37">
        <f t="shared" si="21"/>
        <v>453</v>
      </c>
      <c r="G464" s="48" t="str">
        <f>IF(F464=""," ",IF(ISNA(VLOOKUP(D464,'[2]stock-take'!$A:$E,4,FALSE)), "OUT OF STOCK", VLOOKUP(D464,'[2]stock-take'!$A:$E,4,FALSE)))</f>
        <v xml:space="preserve"> </v>
      </c>
      <c r="H464" s="48">
        <f>IF(ISNA(VLOOKUP(D464,'[2]stock-take'!$A:$E,3,FALSE)), 0, VLOOKUP(D464,'[2]stock-take'!$A:$E,3,FALSE))</f>
        <v>0</v>
      </c>
      <c r="I464" s="48" t="str">
        <f>IF(F464="", " ",IF(ISNA(VLOOKUP(D464,'[2]stock-take'!$G:$K,4,FALSE)), "OUT OF STOCK", VLOOKUP(D464,'[2]stock-take'!$G:$K,4,FALSE)))</f>
        <v xml:space="preserve"> </v>
      </c>
      <c r="J464" s="39">
        <f>IF(ISNA(VLOOKUP(D464,'[2]stock-take'!$G:$K,3,FALSE)), 0, VLOOKUP(D464,'[2]stock-take'!$G:$K,3,FALSE))</f>
        <v>0</v>
      </c>
      <c r="K464" s="49" t="str">
        <f>IF(F464="", " ", IF(ISNA(VLOOKUP(D464,'[2]stock-take'!$M:$Q,4,FALSE)), "OUT OF STOCK", VLOOKUP(D464,'[2]stock-take'!$M:$Q,4,FALSE)))</f>
        <v xml:space="preserve"> </v>
      </c>
      <c r="L464" s="47">
        <f>IF(ISNA(VLOOKUP(D464,'[2]stock-take'!$M:$Q,3,FALSE)), 0, VLOOKUP(D464,'[2]stock-take'!$M:$Q,3,FALSE))</f>
        <v>0</v>
      </c>
      <c r="M464" s="48" t="str">
        <f t="shared" si="22"/>
        <v xml:space="preserve"> </v>
      </c>
      <c r="N464" s="39" t="str">
        <f t="shared" si="23"/>
        <v xml:space="preserve"> </v>
      </c>
    </row>
    <row r="465" spans="1:14">
      <c r="A465" s="37">
        <f t="shared" si="21"/>
        <v>454</v>
      </c>
      <c r="G465" s="48" t="str">
        <f>IF(F465=""," ",IF(ISNA(VLOOKUP(D465,'[2]stock-take'!$A:$E,4,FALSE)), "OUT OF STOCK", VLOOKUP(D465,'[2]stock-take'!$A:$E,4,FALSE)))</f>
        <v xml:space="preserve"> </v>
      </c>
      <c r="H465" s="48">
        <f>IF(ISNA(VLOOKUP(D465,'[2]stock-take'!$A:$E,3,FALSE)), 0, VLOOKUP(D465,'[2]stock-take'!$A:$E,3,FALSE))</f>
        <v>0</v>
      </c>
      <c r="I465" s="48" t="str">
        <f>IF(F465="", " ",IF(ISNA(VLOOKUP(D465,'[2]stock-take'!$G:$K,4,FALSE)), "OUT OF STOCK", VLOOKUP(D465,'[2]stock-take'!$G:$K,4,FALSE)))</f>
        <v xml:space="preserve"> </v>
      </c>
      <c r="J465" s="39">
        <f>IF(ISNA(VLOOKUP(D465,'[2]stock-take'!$G:$K,3,FALSE)), 0, VLOOKUP(D465,'[2]stock-take'!$G:$K,3,FALSE))</f>
        <v>0</v>
      </c>
      <c r="K465" s="49" t="str">
        <f>IF(F465="", " ", IF(ISNA(VLOOKUP(D465,'[2]stock-take'!$M:$Q,4,FALSE)), "OUT OF STOCK", VLOOKUP(D465,'[2]stock-take'!$M:$Q,4,FALSE)))</f>
        <v xml:space="preserve"> </v>
      </c>
      <c r="L465" s="47">
        <f>IF(ISNA(VLOOKUP(D465,'[2]stock-take'!$M:$Q,3,FALSE)), 0, VLOOKUP(D465,'[2]stock-take'!$M:$Q,3,FALSE))</f>
        <v>0</v>
      </c>
      <c r="M465" s="48" t="str">
        <f t="shared" si="22"/>
        <v xml:space="preserve"> </v>
      </c>
      <c r="N465" s="39" t="str">
        <f t="shared" si="23"/>
        <v xml:space="preserve"> </v>
      </c>
    </row>
    <row r="466" spans="1:14">
      <c r="A466" s="37">
        <f t="shared" si="21"/>
        <v>455</v>
      </c>
      <c r="G466" s="48" t="str">
        <f>IF(F466=""," ",IF(ISNA(VLOOKUP(D466,'[2]stock-take'!$A:$E,4,FALSE)), "OUT OF STOCK", VLOOKUP(D466,'[2]stock-take'!$A:$E,4,FALSE)))</f>
        <v xml:space="preserve"> </v>
      </c>
      <c r="H466" s="48">
        <f>IF(ISNA(VLOOKUP(D466,'[2]stock-take'!$A:$E,3,FALSE)), 0, VLOOKUP(D466,'[2]stock-take'!$A:$E,3,FALSE))</f>
        <v>0</v>
      </c>
      <c r="I466" s="48" t="str">
        <f>IF(F466="", " ",IF(ISNA(VLOOKUP(D466,'[2]stock-take'!$G:$K,4,FALSE)), "OUT OF STOCK", VLOOKUP(D466,'[2]stock-take'!$G:$K,4,FALSE)))</f>
        <v xml:space="preserve"> </v>
      </c>
      <c r="J466" s="39">
        <f>IF(ISNA(VLOOKUP(D466,'[2]stock-take'!$G:$K,3,FALSE)), 0, VLOOKUP(D466,'[2]stock-take'!$G:$K,3,FALSE))</f>
        <v>0</v>
      </c>
      <c r="K466" s="49" t="str">
        <f>IF(F466="", " ", IF(ISNA(VLOOKUP(D466,'[2]stock-take'!$M:$Q,4,FALSE)), "OUT OF STOCK", VLOOKUP(D466,'[2]stock-take'!$M:$Q,4,FALSE)))</f>
        <v xml:space="preserve"> </v>
      </c>
      <c r="L466" s="47">
        <f>IF(ISNA(VLOOKUP(D466,'[2]stock-take'!$M:$Q,3,FALSE)), 0, VLOOKUP(D466,'[2]stock-take'!$M:$Q,3,FALSE))</f>
        <v>0</v>
      </c>
      <c r="M466" s="48" t="str">
        <f t="shared" si="22"/>
        <v xml:space="preserve"> </v>
      </c>
      <c r="N466" s="39" t="str">
        <f t="shared" si="23"/>
        <v xml:space="preserve"> </v>
      </c>
    </row>
    <row r="467" spans="1:14">
      <c r="A467" s="37">
        <f t="shared" si="21"/>
        <v>456</v>
      </c>
      <c r="G467" s="48" t="str">
        <f>IF(F467=""," ",IF(ISNA(VLOOKUP(D467,'[2]stock-take'!$A:$E,4,FALSE)), "OUT OF STOCK", VLOOKUP(D467,'[2]stock-take'!$A:$E,4,FALSE)))</f>
        <v xml:space="preserve"> </v>
      </c>
      <c r="H467" s="48">
        <f>IF(ISNA(VLOOKUP(D467,'[2]stock-take'!$A:$E,3,FALSE)), 0, VLOOKUP(D467,'[2]stock-take'!$A:$E,3,FALSE))</f>
        <v>0</v>
      </c>
      <c r="I467" s="48" t="str">
        <f>IF(F467="", " ",IF(ISNA(VLOOKUP(D467,'[2]stock-take'!$G:$K,4,FALSE)), "OUT OF STOCK", VLOOKUP(D467,'[2]stock-take'!$G:$K,4,FALSE)))</f>
        <v xml:space="preserve"> </v>
      </c>
      <c r="J467" s="39">
        <f>IF(ISNA(VLOOKUP(D467,'[2]stock-take'!$G:$K,3,FALSE)), 0, VLOOKUP(D467,'[2]stock-take'!$G:$K,3,FALSE))</f>
        <v>0</v>
      </c>
      <c r="K467" s="49" t="str">
        <f>IF(F467="", " ", IF(ISNA(VLOOKUP(D467,'[2]stock-take'!$M:$Q,4,FALSE)), "OUT OF STOCK", VLOOKUP(D467,'[2]stock-take'!$M:$Q,4,FALSE)))</f>
        <v xml:space="preserve"> </v>
      </c>
      <c r="L467" s="47">
        <f>IF(ISNA(VLOOKUP(D467,'[2]stock-take'!$M:$Q,3,FALSE)), 0, VLOOKUP(D467,'[2]stock-take'!$M:$Q,3,FALSE))</f>
        <v>0</v>
      </c>
      <c r="M467" s="48" t="str">
        <f t="shared" si="22"/>
        <v xml:space="preserve"> </v>
      </c>
      <c r="N467" s="39" t="str">
        <f t="shared" si="23"/>
        <v xml:space="preserve"> </v>
      </c>
    </row>
    <row r="468" spans="1:14">
      <c r="A468" s="37">
        <f t="shared" si="21"/>
        <v>457</v>
      </c>
      <c r="G468" s="48" t="str">
        <f>IF(F468=""," ",IF(ISNA(VLOOKUP(D468,'[2]stock-take'!$A:$E,4,FALSE)), "OUT OF STOCK", VLOOKUP(D468,'[2]stock-take'!$A:$E,4,FALSE)))</f>
        <v xml:space="preserve"> </v>
      </c>
      <c r="H468" s="48">
        <f>IF(ISNA(VLOOKUP(D468,'[2]stock-take'!$A:$E,3,FALSE)), 0, VLOOKUP(D468,'[2]stock-take'!$A:$E,3,FALSE))</f>
        <v>0</v>
      </c>
      <c r="I468" s="48" t="str">
        <f>IF(F468="", " ",IF(ISNA(VLOOKUP(D468,'[2]stock-take'!$G:$K,4,FALSE)), "OUT OF STOCK", VLOOKUP(D468,'[2]stock-take'!$G:$K,4,FALSE)))</f>
        <v xml:space="preserve"> </v>
      </c>
      <c r="J468" s="39">
        <f>IF(ISNA(VLOOKUP(D468,'[2]stock-take'!$G:$K,3,FALSE)), 0, VLOOKUP(D468,'[2]stock-take'!$G:$K,3,FALSE))</f>
        <v>0</v>
      </c>
      <c r="K468" s="49" t="str">
        <f>IF(F468="", " ", IF(ISNA(VLOOKUP(D468,'[2]stock-take'!$M:$Q,4,FALSE)), "OUT OF STOCK", VLOOKUP(D468,'[2]stock-take'!$M:$Q,4,FALSE)))</f>
        <v xml:space="preserve"> </v>
      </c>
      <c r="L468" s="47">
        <f>IF(ISNA(VLOOKUP(D468,'[2]stock-take'!$M:$Q,3,FALSE)), 0, VLOOKUP(D468,'[2]stock-take'!$M:$Q,3,FALSE))</f>
        <v>0</v>
      </c>
      <c r="M468" s="48" t="str">
        <f t="shared" si="22"/>
        <v xml:space="preserve"> </v>
      </c>
      <c r="N468" s="39" t="str">
        <f t="shared" si="23"/>
        <v xml:space="preserve"> </v>
      </c>
    </row>
    <row r="469" spans="1:14">
      <c r="A469" s="37">
        <f t="shared" si="21"/>
        <v>458</v>
      </c>
      <c r="G469" s="48" t="str">
        <f>IF(F469=""," ",IF(ISNA(VLOOKUP(D469,'[2]stock-take'!$A:$E,4,FALSE)), "OUT OF STOCK", VLOOKUP(D469,'[2]stock-take'!$A:$E,4,FALSE)))</f>
        <v xml:space="preserve"> </v>
      </c>
      <c r="H469" s="48">
        <f>IF(ISNA(VLOOKUP(D469,'[2]stock-take'!$A:$E,3,FALSE)), 0, VLOOKUP(D469,'[2]stock-take'!$A:$E,3,FALSE))</f>
        <v>0</v>
      </c>
      <c r="I469" s="48" t="str">
        <f>IF(F469="", " ",IF(ISNA(VLOOKUP(D469,'[2]stock-take'!$G:$K,4,FALSE)), "OUT OF STOCK", VLOOKUP(D469,'[2]stock-take'!$G:$K,4,FALSE)))</f>
        <v xml:space="preserve"> </v>
      </c>
      <c r="J469" s="39">
        <f>IF(ISNA(VLOOKUP(D469,'[2]stock-take'!$G:$K,3,FALSE)), 0, VLOOKUP(D469,'[2]stock-take'!$G:$K,3,FALSE))</f>
        <v>0</v>
      </c>
      <c r="K469" s="49" t="str">
        <f>IF(F469="", " ", IF(ISNA(VLOOKUP(D469,'[2]stock-take'!$M:$Q,4,FALSE)), "OUT OF STOCK", VLOOKUP(D469,'[2]stock-take'!$M:$Q,4,FALSE)))</f>
        <v xml:space="preserve"> </v>
      </c>
      <c r="L469" s="47">
        <f>IF(ISNA(VLOOKUP(D469,'[2]stock-take'!$M:$Q,3,FALSE)), 0, VLOOKUP(D469,'[2]stock-take'!$M:$Q,3,FALSE))</f>
        <v>0</v>
      </c>
      <c r="M469" s="48" t="str">
        <f t="shared" si="22"/>
        <v xml:space="preserve"> </v>
      </c>
      <c r="N469" s="39" t="str">
        <f t="shared" si="23"/>
        <v xml:space="preserve"> </v>
      </c>
    </row>
    <row r="470" spans="1:14">
      <c r="A470" s="37">
        <f t="shared" si="21"/>
        <v>459</v>
      </c>
      <c r="G470" s="48" t="str">
        <f>IF(F470=""," ",IF(ISNA(VLOOKUP(D470,'[2]stock-take'!$A:$E,4,FALSE)), "OUT OF STOCK", VLOOKUP(D470,'[2]stock-take'!$A:$E,4,FALSE)))</f>
        <v xml:space="preserve"> </v>
      </c>
      <c r="H470" s="48">
        <f>IF(ISNA(VLOOKUP(D470,'[2]stock-take'!$A:$E,3,FALSE)), 0, VLOOKUP(D470,'[2]stock-take'!$A:$E,3,FALSE))</f>
        <v>0</v>
      </c>
      <c r="I470" s="48" t="str">
        <f>IF(F470="", " ",IF(ISNA(VLOOKUP(D470,'[2]stock-take'!$G:$K,4,FALSE)), "OUT OF STOCK", VLOOKUP(D470,'[2]stock-take'!$G:$K,4,FALSE)))</f>
        <v xml:space="preserve"> </v>
      </c>
      <c r="J470" s="39">
        <f>IF(ISNA(VLOOKUP(D470,'[2]stock-take'!$G:$K,3,FALSE)), 0, VLOOKUP(D470,'[2]stock-take'!$G:$K,3,FALSE))</f>
        <v>0</v>
      </c>
      <c r="K470" s="49" t="str">
        <f>IF(F470="", " ", IF(ISNA(VLOOKUP(D470,'[2]stock-take'!$M:$Q,4,FALSE)), "OUT OF STOCK", VLOOKUP(D470,'[2]stock-take'!$M:$Q,4,FALSE)))</f>
        <v xml:space="preserve"> </v>
      </c>
      <c r="L470" s="47">
        <f>IF(ISNA(VLOOKUP(D470,'[2]stock-take'!$M:$Q,3,FALSE)), 0, VLOOKUP(D470,'[2]stock-take'!$M:$Q,3,FALSE))</f>
        <v>0</v>
      </c>
      <c r="M470" s="48" t="str">
        <f t="shared" si="22"/>
        <v xml:space="preserve"> </v>
      </c>
      <c r="N470" s="39" t="str">
        <f t="shared" si="23"/>
        <v xml:space="preserve"> </v>
      </c>
    </row>
    <row r="471" spans="1:14">
      <c r="A471" s="37">
        <f t="shared" si="21"/>
        <v>460</v>
      </c>
      <c r="G471" s="48" t="str">
        <f>IF(F471=""," ",IF(ISNA(VLOOKUP(D471,'[2]stock-take'!$A:$E,4,FALSE)), "OUT OF STOCK", VLOOKUP(D471,'[2]stock-take'!$A:$E,4,FALSE)))</f>
        <v xml:space="preserve"> </v>
      </c>
      <c r="H471" s="48">
        <f>IF(ISNA(VLOOKUP(D471,'[2]stock-take'!$A:$E,3,FALSE)), 0, VLOOKUP(D471,'[2]stock-take'!$A:$E,3,FALSE))</f>
        <v>0</v>
      </c>
      <c r="I471" s="48" t="str">
        <f>IF(F471="", " ",IF(ISNA(VLOOKUP(D471,'[2]stock-take'!$G:$K,4,FALSE)), "OUT OF STOCK", VLOOKUP(D471,'[2]stock-take'!$G:$K,4,FALSE)))</f>
        <v xml:space="preserve"> </v>
      </c>
      <c r="J471" s="39">
        <f>IF(ISNA(VLOOKUP(D471,'[2]stock-take'!$G:$K,3,FALSE)), 0, VLOOKUP(D471,'[2]stock-take'!$G:$K,3,FALSE))</f>
        <v>0</v>
      </c>
      <c r="K471" s="49" t="str">
        <f>IF(F471="", " ", IF(ISNA(VLOOKUP(D471,'[2]stock-take'!$M:$Q,4,FALSE)), "OUT OF STOCK", VLOOKUP(D471,'[2]stock-take'!$M:$Q,4,FALSE)))</f>
        <v xml:space="preserve"> </v>
      </c>
      <c r="L471" s="47">
        <f>IF(ISNA(VLOOKUP(D471,'[2]stock-take'!$M:$Q,3,FALSE)), 0, VLOOKUP(D471,'[2]stock-take'!$M:$Q,3,FALSE))</f>
        <v>0</v>
      </c>
      <c r="M471" s="48" t="str">
        <f t="shared" si="22"/>
        <v xml:space="preserve"> </v>
      </c>
      <c r="N471" s="39" t="str">
        <f t="shared" si="23"/>
        <v xml:space="preserve"> </v>
      </c>
    </row>
    <row r="472" spans="1:14">
      <c r="A472" s="37">
        <f t="shared" si="21"/>
        <v>461</v>
      </c>
      <c r="G472" s="48" t="str">
        <f>IF(F472=""," ",IF(ISNA(VLOOKUP(D472,'[2]stock-take'!$A:$E,4,FALSE)), "OUT OF STOCK", VLOOKUP(D472,'[2]stock-take'!$A:$E,4,FALSE)))</f>
        <v xml:space="preserve"> </v>
      </c>
      <c r="H472" s="48">
        <f>IF(ISNA(VLOOKUP(D472,'[2]stock-take'!$A:$E,3,FALSE)), 0, VLOOKUP(D472,'[2]stock-take'!$A:$E,3,FALSE))</f>
        <v>0</v>
      </c>
      <c r="I472" s="48" t="str">
        <f>IF(F472="", " ",IF(ISNA(VLOOKUP(D472,'[2]stock-take'!$G:$K,4,FALSE)), "OUT OF STOCK", VLOOKUP(D472,'[2]stock-take'!$G:$K,4,FALSE)))</f>
        <v xml:space="preserve"> </v>
      </c>
      <c r="J472" s="39">
        <f>IF(ISNA(VLOOKUP(D472,'[2]stock-take'!$G:$K,3,FALSE)), 0, VLOOKUP(D472,'[2]stock-take'!$G:$K,3,FALSE))</f>
        <v>0</v>
      </c>
      <c r="K472" s="49" t="str">
        <f>IF(F472="", " ", IF(ISNA(VLOOKUP(D472,'[2]stock-take'!$M:$Q,4,FALSE)), "OUT OF STOCK", VLOOKUP(D472,'[2]stock-take'!$M:$Q,4,FALSE)))</f>
        <v xml:space="preserve"> </v>
      </c>
      <c r="L472" s="47">
        <f>IF(ISNA(VLOOKUP(D472,'[2]stock-take'!$M:$Q,3,FALSE)), 0, VLOOKUP(D472,'[2]stock-take'!$M:$Q,3,FALSE))</f>
        <v>0</v>
      </c>
      <c r="M472" s="48" t="str">
        <f t="shared" si="22"/>
        <v xml:space="preserve"> </v>
      </c>
      <c r="N472" s="39" t="str">
        <f t="shared" si="23"/>
        <v xml:space="preserve"> </v>
      </c>
    </row>
    <row r="473" spans="1:14">
      <c r="A473" s="37">
        <f t="shared" si="21"/>
        <v>462</v>
      </c>
      <c r="G473" s="48" t="str">
        <f>IF(F473=""," ",IF(ISNA(VLOOKUP(D473,'[2]stock-take'!$A:$E,4,FALSE)), "OUT OF STOCK", VLOOKUP(D473,'[2]stock-take'!$A:$E,4,FALSE)))</f>
        <v xml:space="preserve"> </v>
      </c>
      <c r="H473" s="48">
        <f>IF(ISNA(VLOOKUP(D473,'[2]stock-take'!$A:$E,3,FALSE)), 0, VLOOKUP(D473,'[2]stock-take'!$A:$E,3,FALSE))</f>
        <v>0</v>
      </c>
      <c r="I473" s="48" t="str">
        <f>IF(F473="", " ",IF(ISNA(VLOOKUP(D473,'[2]stock-take'!$G:$K,4,FALSE)), "OUT OF STOCK", VLOOKUP(D473,'[2]stock-take'!$G:$K,4,FALSE)))</f>
        <v xml:space="preserve"> </v>
      </c>
      <c r="J473" s="39">
        <f>IF(ISNA(VLOOKUP(D473,'[2]stock-take'!$G:$K,3,FALSE)), 0, VLOOKUP(D473,'[2]stock-take'!$G:$K,3,FALSE))</f>
        <v>0</v>
      </c>
      <c r="K473" s="49" t="str">
        <f>IF(F473="", " ", IF(ISNA(VLOOKUP(D473,'[2]stock-take'!$M:$Q,4,FALSE)), "OUT OF STOCK", VLOOKUP(D473,'[2]stock-take'!$M:$Q,4,FALSE)))</f>
        <v xml:space="preserve"> </v>
      </c>
      <c r="L473" s="47">
        <f>IF(ISNA(VLOOKUP(D473,'[2]stock-take'!$M:$Q,3,FALSE)), 0, VLOOKUP(D473,'[2]stock-take'!$M:$Q,3,FALSE))</f>
        <v>0</v>
      </c>
      <c r="M473" s="48" t="str">
        <f t="shared" si="22"/>
        <v xml:space="preserve"> </v>
      </c>
      <c r="N473" s="39" t="str">
        <f t="shared" si="23"/>
        <v xml:space="preserve"> </v>
      </c>
    </row>
    <row r="474" spans="1:14">
      <c r="A474" s="37">
        <f t="shared" si="21"/>
        <v>463</v>
      </c>
      <c r="G474" s="48" t="str">
        <f>IF(F474=""," ",IF(ISNA(VLOOKUP(D474,'[2]stock-take'!$A:$E,4,FALSE)), "OUT OF STOCK", VLOOKUP(D474,'[2]stock-take'!$A:$E,4,FALSE)))</f>
        <v xml:space="preserve"> </v>
      </c>
      <c r="H474" s="48">
        <f>IF(ISNA(VLOOKUP(D474,'[2]stock-take'!$A:$E,3,FALSE)), 0, VLOOKUP(D474,'[2]stock-take'!$A:$E,3,FALSE))</f>
        <v>0</v>
      </c>
      <c r="I474" s="48" t="str">
        <f>IF(F474="", " ",IF(ISNA(VLOOKUP(D474,'[2]stock-take'!$G:$K,4,FALSE)), "OUT OF STOCK", VLOOKUP(D474,'[2]stock-take'!$G:$K,4,FALSE)))</f>
        <v xml:space="preserve"> </v>
      </c>
      <c r="J474" s="39">
        <f>IF(ISNA(VLOOKUP(D474,'[2]stock-take'!$G:$K,3,FALSE)), 0, VLOOKUP(D474,'[2]stock-take'!$G:$K,3,FALSE))</f>
        <v>0</v>
      </c>
      <c r="K474" s="49" t="str">
        <f>IF(F474="", " ", IF(ISNA(VLOOKUP(D474,'[2]stock-take'!$M:$Q,4,FALSE)), "OUT OF STOCK", VLOOKUP(D474,'[2]stock-take'!$M:$Q,4,FALSE)))</f>
        <v xml:space="preserve"> </v>
      </c>
      <c r="L474" s="47">
        <f>IF(ISNA(VLOOKUP(D474,'[2]stock-take'!$M:$Q,3,FALSE)), 0, VLOOKUP(D474,'[2]stock-take'!$M:$Q,3,FALSE))</f>
        <v>0</v>
      </c>
      <c r="M474" s="48" t="str">
        <f t="shared" si="22"/>
        <v xml:space="preserve"> </v>
      </c>
      <c r="N474" s="39" t="str">
        <f t="shared" si="23"/>
        <v xml:space="preserve"> </v>
      </c>
    </row>
    <row r="475" spans="1:14">
      <c r="A475" s="37">
        <f t="shared" si="21"/>
        <v>464</v>
      </c>
      <c r="G475" s="48" t="str">
        <f>IF(F475=""," ",IF(ISNA(VLOOKUP(D475,'[2]stock-take'!$A:$E,4,FALSE)), "OUT OF STOCK", VLOOKUP(D475,'[2]stock-take'!$A:$E,4,FALSE)))</f>
        <v xml:space="preserve"> </v>
      </c>
      <c r="H475" s="48">
        <f>IF(ISNA(VLOOKUP(D475,'[2]stock-take'!$A:$E,3,FALSE)), 0, VLOOKUP(D475,'[2]stock-take'!$A:$E,3,FALSE))</f>
        <v>0</v>
      </c>
      <c r="I475" s="48" t="str">
        <f>IF(F475="", " ",IF(ISNA(VLOOKUP(D475,'[2]stock-take'!$G:$K,4,FALSE)), "OUT OF STOCK", VLOOKUP(D475,'[2]stock-take'!$G:$K,4,FALSE)))</f>
        <v xml:space="preserve"> </v>
      </c>
      <c r="J475" s="39">
        <f>IF(ISNA(VLOOKUP(D475,'[2]stock-take'!$G:$K,3,FALSE)), 0, VLOOKUP(D475,'[2]stock-take'!$G:$K,3,FALSE))</f>
        <v>0</v>
      </c>
      <c r="K475" s="49" t="str">
        <f>IF(F475="", " ", IF(ISNA(VLOOKUP(D475,'[2]stock-take'!$M:$Q,4,FALSE)), "OUT OF STOCK", VLOOKUP(D475,'[2]stock-take'!$M:$Q,4,FALSE)))</f>
        <v xml:space="preserve"> </v>
      </c>
      <c r="L475" s="47">
        <f>IF(ISNA(VLOOKUP(D475,'[2]stock-take'!$M:$Q,3,FALSE)), 0, VLOOKUP(D475,'[2]stock-take'!$M:$Q,3,FALSE))</f>
        <v>0</v>
      </c>
      <c r="M475" s="48" t="str">
        <f t="shared" si="22"/>
        <v xml:space="preserve"> </v>
      </c>
      <c r="N475" s="39" t="str">
        <f t="shared" si="23"/>
        <v xml:space="preserve"> </v>
      </c>
    </row>
    <row r="476" spans="1:14">
      <c r="A476" s="37">
        <f t="shared" si="21"/>
        <v>465</v>
      </c>
      <c r="G476" s="48" t="str">
        <f>IF(F476=""," ",IF(ISNA(VLOOKUP(D476,'[2]stock-take'!$A:$E,4,FALSE)), "OUT OF STOCK", VLOOKUP(D476,'[2]stock-take'!$A:$E,4,FALSE)))</f>
        <v xml:space="preserve"> </v>
      </c>
      <c r="H476" s="48">
        <f>IF(ISNA(VLOOKUP(D476,'[2]stock-take'!$A:$E,3,FALSE)), 0, VLOOKUP(D476,'[2]stock-take'!$A:$E,3,FALSE))</f>
        <v>0</v>
      </c>
      <c r="I476" s="48" t="str">
        <f>IF(F476="", " ",IF(ISNA(VLOOKUP(D476,'[2]stock-take'!$G:$K,4,FALSE)), "OUT OF STOCK", VLOOKUP(D476,'[2]stock-take'!$G:$K,4,FALSE)))</f>
        <v xml:space="preserve"> </v>
      </c>
      <c r="J476" s="39">
        <f>IF(ISNA(VLOOKUP(D476,'[2]stock-take'!$G:$K,3,FALSE)), 0, VLOOKUP(D476,'[2]stock-take'!$G:$K,3,FALSE))</f>
        <v>0</v>
      </c>
      <c r="K476" s="49" t="str">
        <f>IF(F476="", " ", IF(ISNA(VLOOKUP(D476,'[2]stock-take'!$M:$Q,4,FALSE)), "OUT OF STOCK", VLOOKUP(D476,'[2]stock-take'!$M:$Q,4,FALSE)))</f>
        <v xml:space="preserve"> </v>
      </c>
      <c r="L476" s="47">
        <f>IF(ISNA(VLOOKUP(D476,'[2]stock-take'!$M:$Q,3,FALSE)), 0, VLOOKUP(D476,'[2]stock-take'!$M:$Q,3,FALSE))</f>
        <v>0</v>
      </c>
      <c r="M476" s="48" t="str">
        <f t="shared" si="22"/>
        <v xml:space="preserve"> </v>
      </c>
      <c r="N476" s="39" t="str">
        <f t="shared" si="23"/>
        <v xml:space="preserve"> </v>
      </c>
    </row>
    <row r="477" spans="1:14">
      <c r="A477" s="37">
        <f t="shared" si="21"/>
        <v>466</v>
      </c>
      <c r="G477" s="48" t="str">
        <f>IF(F477=""," ",IF(ISNA(VLOOKUP(D477,'[2]stock-take'!$A:$E,4,FALSE)), "OUT OF STOCK", VLOOKUP(D477,'[2]stock-take'!$A:$E,4,FALSE)))</f>
        <v xml:space="preserve"> </v>
      </c>
      <c r="H477" s="48">
        <f>IF(ISNA(VLOOKUP(D477,'[2]stock-take'!$A:$E,3,FALSE)), 0, VLOOKUP(D477,'[2]stock-take'!$A:$E,3,FALSE))</f>
        <v>0</v>
      </c>
      <c r="I477" s="48" t="str">
        <f>IF(F477="", " ",IF(ISNA(VLOOKUP(D477,'[2]stock-take'!$G:$K,4,FALSE)), "OUT OF STOCK", VLOOKUP(D477,'[2]stock-take'!$G:$K,4,FALSE)))</f>
        <v xml:space="preserve"> </v>
      </c>
      <c r="J477" s="39">
        <f>IF(ISNA(VLOOKUP(D477,'[2]stock-take'!$G:$K,3,FALSE)), 0, VLOOKUP(D477,'[2]stock-take'!$G:$K,3,FALSE))</f>
        <v>0</v>
      </c>
      <c r="K477" s="49" t="str">
        <f>IF(F477="", " ", IF(ISNA(VLOOKUP(D477,'[2]stock-take'!$M:$Q,4,FALSE)), "OUT OF STOCK", VLOOKUP(D477,'[2]stock-take'!$M:$Q,4,FALSE)))</f>
        <v xml:space="preserve"> </v>
      </c>
      <c r="L477" s="47">
        <f>IF(ISNA(VLOOKUP(D477,'[2]stock-take'!$M:$Q,3,FALSE)), 0, VLOOKUP(D477,'[2]stock-take'!$M:$Q,3,FALSE))</f>
        <v>0</v>
      </c>
      <c r="M477" s="48" t="str">
        <f t="shared" si="22"/>
        <v xml:space="preserve"> </v>
      </c>
      <c r="N477" s="39" t="str">
        <f t="shared" si="23"/>
        <v xml:space="preserve"> </v>
      </c>
    </row>
    <row r="478" spans="1:14">
      <c r="A478" s="37">
        <f t="shared" si="21"/>
        <v>467</v>
      </c>
      <c r="G478" s="48" t="str">
        <f>IF(F478=""," ",IF(ISNA(VLOOKUP(D478,'[2]stock-take'!$A:$E,4,FALSE)), "OUT OF STOCK", VLOOKUP(D478,'[2]stock-take'!$A:$E,4,FALSE)))</f>
        <v xml:space="preserve"> </v>
      </c>
      <c r="H478" s="48">
        <f>IF(ISNA(VLOOKUP(D478,'[2]stock-take'!$A:$E,3,FALSE)), 0, VLOOKUP(D478,'[2]stock-take'!$A:$E,3,FALSE))</f>
        <v>0</v>
      </c>
      <c r="I478" s="48" t="str">
        <f>IF(F478="", " ",IF(ISNA(VLOOKUP(D478,'[2]stock-take'!$G:$K,4,FALSE)), "OUT OF STOCK", VLOOKUP(D478,'[2]stock-take'!$G:$K,4,FALSE)))</f>
        <v xml:space="preserve"> </v>
      </c>
      <c r="J478" s="39">
        <f>IF(ISNA(VLOOKUP(D478,'[2]stock-take'!$G:$K,3,FALSE)), 0, VLOOKUP(D478,'[2]stock-take'!$G:$K,3,FALSE))</f>
        <v>0</v>
      </c>
      <c r="K478" s="49" t="str">
        <f>IF(F478="", " ", IF(ISNA(VLOOKUP(D478,'[2]stock-take'!$M:$Q,4,FALSE)), "OUT OF STOCK", VLOOKUP(D478,'[2]stock-take'!$M:$Q,4,FALSE)))</f>
        <v xml:space="preserve"> </v>
      </c>
      <c r="L478" s="47">
        <f>IF(ISNA(VLOOKUP(D478,'[2]stock-take'!$M:$Q,3,FALSE)), 0, VLOOKUP(D478,'[2]stock-take'!$M:$Q,3,FALSE))</f>
        <v>0</v>
      </c>
      <c r="M478" s="48" t="str">
        <f t="shared" si="22"/>
        <v xml:space="preserve"> </v>
      </c>
      <c r="N478" s="39" t="str">
        <f t="shared" si="23"/>
        <v xml:space="preserve"> </v>
      </c>
    </row>
    <row r="479" spans="1:14">
      <c r="A479" s="37">
        <f t="shared" si="21"/>
        <v>468</v>
      </c>
      <c r="G479" s="48" t="str">
        <f>IF(F479=""," ",IF(ISNA(VLOOKUP(D479,'[2]stock-take'!$A:$E,4,FALSE)), "OUT OF STOCK", VLOOKUP(D479,'[2]stock-take'!$A:$E,4,FALSE)))</f>
        <v xml:space="preserve"> </v>
      </c>
      <c r="H479" s="48">
        <f>IF(ISNA(VLOOKUP(D479,'[2]stock-take'!$A:$E,3,FALSE)), 0, VLOOKUP(D479,'[2]stock-take'!$A:$E,3,FALSE))</f>
        <v>0</v>
      </c>
      <c r="I479" s="48" t="str">
        <f>IF(F479="", " ",IF(ISNA(VLOOKUP(D479,'[2]stock-take'!$G:$K,4,FALSE)), "OUT OF STOCK", VLOOKUP(D479,'[2]stock-take'!$G:$K,4,FALSE)))</f>
        <v xml:space="preserve"> </v>
      </c>
      <c r="J479" s="39">
        <f>IF(ISNA(VLOOKUP(D479,'[2]stock-take'!$G:$K,3,FALSE)), 0, VLOOKUP(D479,'[2]stock-take'!$G:$K,3,FALSE))</f>
        <v>0</v>
      </c>
      <c r="K479" s="49" t="str">
        <f>IF(F479="", " ", IF(ISNA(VLOOKUP(D479,'[2]stock-take'!$M:$Q,4,FALSE)), "OUT OF STOCK", VLOOKUP(D479,'[2]stock-take'!$M:$Q,4,FALSE)))</f>
        <v xml:space="preserve"> </v>
      </c>
      <c r="L479" s="47">
        <f>IF(ISNA(VLOOKUP(D479,'[2]stock-take'!$M:$Q,3,FALSE)), 0, VLOOKUP(D479,'[2]stock-take'!$M:$Q,3,FALSE))</f>
        <v>0</v>
      </c>
      <c r="M479" s="48" t="str">
        <f t="shared" si="22"/>
        <v xml:space="preserve"> </v>
      </c>
      <c r="N479" s="39" t="str">
        <f t="shared" si="23"/>
        <v xml:space="preserve"> </v>
      </c>
    </row>
    <row r="480" spans="1:14">
      <c r="A480" s="37">
        <f t="shared" si="21"/>
        <v>469</v>
      </c>
      <c r="G480" s="48" t="str">
        <f>IF(F480=""," ",IF(ISNA(VLOOKUP(D480,'[2]stock-take'!$A:$E,4,FALSE)), "OUT OF STOCK", VLOOKUP(D480,'[2]stock-take'!$A:$E,4,FALSE)))</f>
        <v xml:space="preserve"> </v>
      </c>
      <c r="H480" s="48">
        <f>IF(ISNA(VLOOKUP(D480,'[2]stock-take'!$A:$E,3,FALSE)), 0, VLOOKUP(D480,'[2]stock-take'!$A:$E,3,FALSE))</f>
        <v>0</v>
      </c>
      <c r="I480" s="48" t="str">
        <f>IF(F480="", " ",IF(ISNA(VLOOKUP(D480,'[2]stock-take'!$G:$K,4,FALSE)), "OUT OF STOCK", VLOOKUP(D480,'[2]stock-take'!$G:$K,4,FALSE)))</f>
        <v xml:space="preserve"> </v>
      </c>
      <c r="J480" s="39">
        <f>IF(ISNA(VLOOKUP(D480,'[2]stock-take'!$G:$K,3,FALSE)), 0, VLOOKUP(D480,'[2]stock-take'!$G:$K,3,FALSE))</f>
        <v>0</v>
      </c>
      <c r="K480" s="49" t="str">
        <f>IF(F480="", " ", IF(ISNA(VLOOKUP(D480,'[2]stock-take'!$M:$Q,4,FALSE)), "OUT OF STOCK", VLOOKUP(D480,'[2]stock-take'!$M:$Q,4,FALSE)))</f>
        <v xml:space="preserve"> </v>
      </c>
      <c r="L480" s="47">
        <f>IF(ISNA(VLOOKUP(D480,'[2]stock-take'!$M:$Q,3,FALSE)), 0, VLOOKUP(D480,'[2]stock-take'!$M:$Q,3,FALSE))</f>
        <v>0</v>
      </c>
      <c r="M480" s="48" t="str">
        <f t="shared" si="22"/>
        <v xml:space="preserve"> </v>
      </c>
      <c r="N480" s="39" t="str">
        <f t="shared" si="23"/>
        <v xml:space="preserve"> </v>
      </c>
    </row>
    <row r="481" spans="1:14">
      <c r="A481" s="37">
        <f t="shared" si="21"/>
        <v>470</v>
      </c>
      <c r="G481" s="48" t="str">
        <f>IF(F481=""," ",IF(ISNA(VLOOKUP(D481,'[2]stock-take'!$A:$E,4,FALSE)), "OUT OF STOCK", VLOOKUP(D481,'[2]stock-take'!$A:$E,4,FALSE)))</f>
        <v xml:space="preserve"> </v>
      </c>
      <c r="H481" s="48">
        <f>IF(ISNA(VLOOKUP(D481,'[2]stock-take'!$A:$E,3,FALSE)), 0, VLOOKUP(D481,'[2]stock-take'!$A:$E,3,FALSE))</f>
        <v>0</v>
      </c>
      <c r="I481" s="48" t="str">
        <f>IF(F481="", " ",IF(ISNA(VLOOKUP(D481,'[2]stock-take'!$G:$K,4,FALSE)), "OUT OF STOCK", VLOOKUP(D481,'[2]stock-take'!$G:$K,4,FALSE)))</f>
        <v xml:space="preserve"> </v>
      </c>
      <c r="J481" s="39">
        <f>IF(ISNA(VLOOKUP(D481,'[2]stock-take'!$G:$K,3,FALSE)), 0, VLOOKUP(D481,'[2]stock-take'!$G:$K,3,FALSE))</f>
        <v>0</v>
      </c>
      <c r="K481" s="49" t="str">
        <f>IF(F481="", " ", IF(ISNA(VLOOKUP(D481,'[2]stock-take'!$M:$Q,4,FALSE)), "OUT OF STOCK", VLOOKUP(D481,'[2]stock-take'!$M:$Q,4,FALSE)))</f>
        <v xml:space="preserve"> </v>
      </c>
      <c r="L481" s="47">
        <f>IF(ISNA(VLOOKUP(D481,'[2]stock-take'!$M:$Q,3,FALSE)), 0, VLOOKUP(D481,'[2]stock-take'!$M:$Q,3,FALSE))</f>
        <v>0</v>
      </c>
      <c r="M481" s="48" t="str">
        <f t="shared" si="22"/>
        <v xml:space="preserve"> </v>
      </c>
      <c r="N481" s="39" t="str">
        <f t="shared" si="23"/>
        <v xml:space="preserve"> </v>
      </c>
    </row>
    <row r="482" spans="1:14">
      <c r="A482" s="37">
        <f t="shared" si="21"/>
        <v>471</v>
      </c>
      <c r="G482" s="48" t="str">
        <f>IF(F482=""," ",IF(ISNA(VLOOKUP(D482,'[2]stock-take'!$A:$E,4,FALSE)), "OUT OF STOCK", VLOOKUP(D482,'[2]stock-take'!$A:$E,4,FALSE)))</f>
        <v xml:space="preserve"> </v>
      </c>
      <c r="H482" s="48">
        <f>IF(ISNA(VLOOKUP(D482,'[2]stock-take'!$A:$E,3,FALSE)), 0, VLOOKUP(D482,'[2]stock-take'!$A:$E,3,FALSE))</f>
        <v>0</v>
      </c>
      <c r="I482" s="48" t="str">
        <f>IF(F482="", " ",IF(ISNA(VLOOKUP(D482,'[2]stock-take'!$G:$K,4,FALSE)), "OUT OF STOCK", VLOOKUP(D482,'[2]stock-take'!$G:$K,4,FALSE)))</f>
        <v xml:space="preserve"> </v>
      </c>
      <c r="J482" s="39">
        <f>IF(ISNA(VLOOKUP(D482,'[2]stock-take'!$G:$K,3,FALSE)), 0, VLOOKUP(D482,'[2]stock-take'!$G:$K,3,FALSE))</f>
        <v>0</v>
      </c>
      <c r="K482" s="49" t="str">
        <f>IF(F482="", " ", IF(ISNA(VLOOKUP(D482,'[2]stock-take'!$M:$Q,4,FALSE)), "OUT OF STOCK", VLOOKUP(D482,'[2]stock-take'!$M:$Q,4,FALSE)))</f>
        <v xml:space="preserve"> </v>
      </c>
      <c r="L482" s="47">
        <f>IF(ISNA(VLOOKUP(D482,'[2]stock-take'!$M:$Q,3,FALSE)), 0, VLOOKUP(D482,'[2]stock-take'!$M:$Q,3,FALSE))</f>
        <v>0</v>
      </c>
      <c r="M482" s="48" t="str">
        <f t="shared" si="22"/>
        <v xml:space="preserve"> </v>
      </c>
      <c r="N482" s="39" t="str">
        <f t="shared" si="23"/>
        <v xml:space="preserve"> </v>
      </c>
    </row>
    <row r="483" spans="1:14">
      <c r="A483" s="37">
        <f t="shared" si="21"/>
        <v>472</v>
      </c>
      <c r="G483" s="48" t="str">
        <f>IF(F483=""," ",IF(ISNA(VLOOKUP(D483,'[2]stock-take'!$A:$E,4,FALSE)), "OUT OF STOCK", VLOOKUP(D483,'[2]stock-take'!$A:$E,4,FALSE)))</f>
        <v xml:space="preserve"> </v>
      </c>
      <c r="H483" s="48">
        <f>IF(ISNA(VLOOKUP(D483,'[2]stock-take'!$A:$E,3,FALSE)), 0, VLOOKUP(D483,'[2]stock-take'!$A:$E,3,FALSE))</f>
        <v>0</v>
      </c>
      <c r="I483" s="48" t="str">
        <f>IF(F483="", " ",IF(ISNA(VLOOKUP(D483,'[2]stock-take'!$G:$K,4,FALSE)), "OUT OF STOCK", VLOOKUP(D483,'[2]stock-take'!$G:$K,4,FALSE)))</f>
        <v xml:space="preserve"> </v>
      </c>
      <c r="J483" s="39">
        <f>IF(ISNA(VLOOKUP(D483,'[2]stock-take'!$G:$K,3,FALSE)), 0, VLOOKUP(D483,'[2]stock-take'!$G:$K,3,FALSE))</f>
        <v>0</v>
      </c>
      <c r="K483" s="49" t="str">
        <f>IF(F483="", " ", IF(ISNA(VLOOKUP(D483,'[2]stock-take'!$M:$Q,4,FALSE)), "OUT OF STOCK", VLOOKUP(D483,'[2]stock-take'!$M:$Q,4,FALSE)))</f>
        <v xml:space="preserve"> </v>
      </c>
      <c r="L483" s="47">
        <f>IF(ISNA(VLOOKUP(D483,'[2]stock-take'!$M:$Q,3,FALSE)), 0, VLOOKUP(D483,'[2]stock-take'!$M:$Q,3,FALSE))</f>
        <v>0</v>
      </c>
      <c r="M483" s="48" t="str">
        <f t="shared" si="22"/>
        <v xml:space="preserve"> </v>
      </c>
      <c r="N483" s="39" t="str">
        <f t="shared" si="23"/>
        <v xml:space="preserve"> </v>
      </c>
    </row>
    <row r="484" spans="1:14">
      <c r="A484" s="37">
        <f t="shared" si="21"/>
        <v>473</v>
      </c>
      <c r="G484" s="48" t="str">
        <f>IF(F484=""," ",IF(ISNA(VLOOKUP(D484,'[2]stock-take'!$A:$E,4,FALSE)), "OUT OF STOCK", VLOOKUP(D484,'[2]stock-take'!$A:$E,4,FALSE)))</f>
        <v xml:space="preserve"> </v>
      </c>
      <c r="H484" s="48">
        <f>IF(ISNA(VLOOKUP(D484,'[2]stock-take'!$A:$E,3,FALSE)), 0, VLOOKUP(D484,'[2]stock-take'!$A:$E,3,FALSE))</f>
        <v>0</v>
      </c>
      <c r="I484" s="48" t="str">
        <f>IF(F484="", " ",IF(ISNA(VLOOKUP(D484,'[2]stock-take'!$G:$K,4,FALSE)), "OUT OF STOCK", VLOOKUP(D484,'[2]stock-take'!$G:$K,4,FALSE)))</f>
        <v xml:space="preserve"> </v>
      </c>
      <c r="J484" s="39">
        <f>IF(ISNA(VLOOKUP(D484,'[2]stock-take'!$G:$K,3,FALSE)), 0, VLOOKUP(D484,'[2]stock-take'!$G:$K,3,FALSE))</f>
        <v>0</v>
      </c>
      <c r="K484" s="49" t="str">
        <f>IF(F484="", " ", IF(ISNA(VLOOKUP(D484,'[2]stock-take'!$M:$Q,4,FALSE)), "OUT OF STOCK", VLOOKUP(D484,'[2]stock-take'!$M:$Q,4,FALSE)))</f>
        <v xml:space="preserve"> </v>
      </c>
      <c r="L484" s="47">
        <f>IF(ISNA(VLOOKUP(D484,'[2]stock-take'!$M:$Q,3,FALSE)), 0, VLOOKUP(D484,'[2]stock-take'!$M:$Q,3,FALSE))</f>
        <v>0</v>
      </c>
      <c r="M484" s="48" t="str">
        <f t="shared" si="22"/>
        <v xml:space="preserve"> </v>
      </c>
      <c r="N484" s="39" t="str">
        <f t="shared" si="23"/>
        <v xml:space="preserve"> </v>
      </c>
    </row>
    <row r="485" spans="1:14">
      <c r="A485" s="37">
        <f t="shared" si="21"/>
        <v>474</v>
      </c>
      <c r="G485" s="48" t="str">
        <f>IF(F485=""," ",IF(ISNA(VLOOKUP(D485,'[2]stock-take'!$A:$E,4,FALSE)), "OUT OF STOCK", VLOOKUP(D485,'[2]stock-take'!$A:$E,4,FALSE)))</f>
        <v xml:space="preserve"> </v>
      </c>
      <c r="H485" s="48">
        <f>IF(ISNA(VLOOKUP(D485,'[2]stock-take'!$A:$E,3,FALSE)), 0, VLOOKUP(D485,'[2]stock-take'!$A:$E,3,FALSE))</f>
        <v>0</v>
      </c>
      <c r="I485" s="48" t="str">
        <f>IF(F485="", " ",IF(ISNA(VLOOKUP(D485,'[2]stock-take'!$G:$K,4,FALSE)), "OUT OF STOCK", VLOOKUP(D485,'[2]stock-take'!$G:$K,4,FALSE)))</f>
        <v xml:space="preserve"> </v>
      </c>
      <c r="J485" s="39">
        <f>IF(ISNA(VLOOKUP(D485,'[2]stock-take'!$G:$K,3,FALSE)), 0, VLOOKUP(D485,'[2]stock-take'!$G:$K,3,FALSE))</f>
        <v>0</v>
      </c>
      <c r="K485" s="49" t="str">
        <f>IF(F485="", " ", IF(ISNA(VLOOKUP(D485,'[2]stock-take'!$M:$Q,4,FALSE)), "OUT OF STOCK", VLOOKUP(D485,'[2]stock-take'!$M:$Q,4,FALSE)))</f>
        <v xml:space="preserve"> </v>
      </c>
      <c r="L485" s="47">
        <f>IF(ISNA(VLOOKUP(D485,'[2]stock-take'!$M:$Q,3,FALSE)), 0, VLOOKUP(D485,'[2]stock-take'!$M:$Q,3,FALSE))</f>
        <v>0</v>
      </c>
      <c r="M485" s="48" t="str">
        <f t="shared" si="22"/>
        <v xml:space="preserve"> </v>
      </c>
      <c r="N485" s="39" t="str">
        <f t="shared" si="23"/>
        <v xml:space="preserve"> </v>
      </c>
    </row>
    <row r="486" spans="1:14">
      <c r="A486" s="37">
        <f t="shared" si="21"/>
        <v>475</v>
      </c>
      <c r="G486" s="48" t="str">
        <f>IF(F486=""," ",IF(ISNA(VLOOKUP(D486,'[2]stock-take'!$A:$E,4,FALSE)), "OUT OF STOCK", VLOOKUP(D486,'[2]stock-take'!$A:$E,4,FALSE)))</f>
        <v xml:space="preserve"> </v>
      </c>
      <c r="H486" s="48">
        <f>IF(ISNA(VLOOKUP(D486,'[2]stock-take'!$A:$E,3,FALSE)), 0, VLOOKUP(D486,'[2]stock-take'!$A:$E,3,FALSE))</f>
        <v>0</v>
      </c>
      <c r="I486" s="48" t="str">
        <f>IF(F486="", " ",IF(ISNA(VLOOKUP(D486,'[2]stock-take'!$G:$K,4,FALSE)), "OUT OF STOCK", VLOOKUP(D486,'[2]stock-take'!$G:$K,4,FALSE)))</f>
        <v xml:space="preserve"> </v>
      </c>
      <c r="J486" s="39">
        <f>IF(ISNA(VLOOKUP(D486,'[2]stock-take'!$G:$K,3,FALSE)), 0, VLOOKUP(D486,'[2]stock-take'!$G:$K,3,FALSE))</f>
        <v>0</v>
      </c>
      <c r="K486" s="49" t="str">
        <f>IF(F486="", " ", IF(ISNA(VLOOKUP(D486,'[2]stock-take'!$M:$Q,4,FALSE)), "OUT OF STOCK", VLOOKUP(D486,'[2]stock-take'!$M:$Q,4,FALSE)))</f>
        <v xml:space="preserve"> </v>
      </c>
      <c r="L486" s="47">
        <f>IF(ISNA(VLOOKUP(D486,'[2]stock-take'!$M:$Q,3,FALSE)), 0, VLOOKUP(D486,'[2]stock-take'!$M:$Q,3,FALSE))</f>
        <v>0</v>
      </c>
      <c r="M486" s="48" t="str">
        <f t="shared" si="22"/>
        <v xml:space="preserve"> </v>
      </c>
      <c r="N486" s="39" t="str">
        <f t="shared" si="23"/>
        <v xml:space="preserve"> </v>
      </c>
    </row>
    <row r="487" spans="1:14">
      <c r="A487" s="37">
        <f t="shared" si="21"/>
        <v>476</v>
      </c>
      <c r="G487" s="48" t="str">
        <f>IF(F487=""," ",IF(ISNA(VLOOKUP(D487,'[2]stock-take'!$A:$E,4,FALSE)), "OUT OF STOCK", VLOOKUP(D487,'[2]stock-take'!$A:$E,4,FALSE)))</f>
        <v xml:space="preserve"> </v>
      </c>
      <c r="H487" s="48">
        <f>IF(ISNA(VLOOKUP(D487,'[2]stock-take'!$A:$E,3,FALSE)), 0, VLOOKUP(D487,'[2]stock-take'!$A:$E,3,FALSE))</f>
        <v>0</v>
      </c>
      <c r="I487" s="48" t="str">
        <f>IF(F487="", " ",IF(ISNA(VLOOKUP(D487,'[2]stock-take'!$G:$K,4,FALSE)), "OUT OF STOCK", VLOOKUP(D487,'[2]stock-take'!$G:$K,4,FALSE)))</f>
        <v xml:space="preserve"> </v>
      </c>
      <c r="J487" s="39">
        <f>IF(ISNA(VLOOKUP(D487,'[2]stock-take'!$G:$K,3,FALSE)), 0, VLOOKUP(D487,'[2]stock-take'!$G:$K,3,FALSE))</f>
        <v>0</v>
      </c>
      <c r="K487" s="49" t="str">
        <f>IF(F487="", " ", IF(ISNA(VLOOKUP(D487,'[2]stock-take'!$M:$Q,4,FALSE)), "OUT OF STOCK", VLOOKUP(D487,'[2]stock-take'!$M:$Q,4,FALSE)))</f>
        <v xml:space="preserve"> </v>
      </c>
      <c r="L487" s="47">
        <f>IF(ISNA(VLOOKUP(D487,'[2]stock-take'!$M:$Q,3,FALSE)), 0, VLOOKUP(D487,'[2]stock-take'!$M:$Q,3,FALSE))</f>
        <v>0</v>
      </c>
      <c r="M487" s="48" t="str">
        <f t="shared" si="22"/>
        <v xml:space="preserve"> </v>
      </c>
      <c r="N487" s="39" t="str">
        <f t="shared" si="23"/>
        <v xml:space="preserve"> </v>
      </c>
    </row>
    <row r="488" spans="1:14">
      <c r="A488" s="37">
        <f t="shared" si="21"/>
        <v>477</v>
      </c>
      <c r="G488" s="48" t="str">
        <f>IF(F488=""," ",IF(ISNA(VLOOKUP(D488,'[2]stock-take'!$A:$E,4,FALSE)), "OUT OF STOCK", VLOOKUP(D488,'[2]stock-take'!$A:$E,4,FALSE)))</f>
        <v xml:space="preserve"> </v>
      </c>
      <c r="H488" s="48">
        <f>IF(ISNA(VLOOKUP(D488,'[2]stock-take'!$A:$E,3,FALSE)), 0, VLOOKUP(D488,'[2]stock-take'!$A:$E,3,FALSE))</f>
        <v>0</v>
      </c>
      <c r="I488" s="48" t="str">
        <f>IF(F488="", " ",IF(ISNA(VLOOKUP(D488,'[2]stock-take'!$G:$K,4,FALSE)), "OUT OF STOCK", VLOOKUP(D488,'[2]stock-take'!$G:$K,4,FALSE)))</f>
        <v xml:space="preserve"> </v>
      </c>
      <c r="J488" s="39">
        <f>IF(ISNA(VLOOKUP(D488,'[2]stock-take'!$G:$K,3,FALSE)), 0, VLOOKUP(D488,'[2]stock-take'!$G:$K,3,FALSE))</f>
        <v>0</v>
      </c>
      <c r="K488" s="49" t="str">
        <f>IF(F488="", " ", IF(ISNA(VLOOKUP(D488,'[2]stock-take'!$M:$Q,4,FALSE)), "OUT OF STOCK", VLOOKUP(D488,'[2]stock-take'!$M:$Q,4,FALSE)))</f>
        <v xml:space="preserve"> </v>
      </c>
      <c r="L488" s="47">
        <f>IF(ISNA(VLOOKUP(D488,'[2]stock-take'!$M:$Q,3,FALSE)), 0, VLOOKUP(D488,'[2]stock-take'!$M:$Q,3,FALSE))</f>
        <v>0</v>
      </c>
      <c r="M488" s="48" t="str">
        <f t="shared" si="22"/>
        <v xml:space="preserve"> </v>
      </c>
      <c r="N488" s="39" t="str">
        <f t="shared" si="23"/>
        <v xml:space="preserve"> </v>
      </c>
    </row>
    <row r="489" spans="1:14">
      <c r="A489" s="37">
        <f t="shared" si="21"/>
        <v>478</v>
      </c>
      <c r="G489" s="48" t="str">
        <f>IF(F489=""," ",IF(ISNA(VLOOKUP(D489,'[2]stock-take'!$A:$E,4,FALSE)), "OUT OF STOCK", VLOOKUP(D489,'[2]stock-take'!$A:$E,4,FALSE)))</f>
        <v xml:space="preserve"> </v>
      </c>
      <c r="H489" s="48">
        <f>IF(ISNA(VLOOKUP(D489,'[2]stock-take'!$A:$E,3,FALSE)), 0, VLOOKUP(D489,'[2]stock-take'!$A:$E,3,FALSE))</f>
        <v>0</v>
      </c>
      <c r="I489" s="48" t="str">
        <f>IF(F489="", " ",IF(ISNA(VLOOKUP(D489,'[2]stock-take'!$G:$K,4,FALSE)), "OUT OF STOCK", VLOOKUP(D489,'[2]stock-take'!$G:$K,4,FALSE)))</f>
        <v xml:space="preserve"> </v>
      </c>
      <c r="J489" s="39">
        <f>IF(ISNA(VLOOKUP(D489,'[2]stock-take'!$G:$K,3,FALSE)), 0, VLOOKUP(D489,'[2]stock-take'!$G:$K,3,FALSE))</f>
        <v>0</v>
      </c>
      <c r="K489" s="49" t="str">
        <f>IF(F489="", " ", IF(ISNA(VLOOKUP(D489,'[2]stock-take'!$M:$Q,4,FALSE)), "OUT OF STOCK", VLOOKUP(D489,'[2]stock-take'!$M:$Q,4,FALSE)))</f>
        <v xml:space="preserve"> </v>
      </c>
      <c r="L489" s="47">
        <f>IF(ISNA(VLOOKUP(D489,'[2]stock-take'!$M:$Q,3,FALSE)), 0, VLOOKUP(D489,'[2]stock-take'!$M:$Q,3,FALSE))</f>
        <v>0</v>
      </c>
      <c r="M489" s="48" t="str">
        <f t="shared" si="22"/>
        <v xml:space="preserve"> </v>
      </c>
      <c r="N489" s="39" t="str">
        <f t="shared" si="23"/>
        <v xml:space="preserve"> </v>
      </c>
    </row>
    <row r="490" spans="1:14">
      <c r="A490" s="37">
        <f t="shared" si="21"/>
        <v>479</v>
      </c>
      <c r="G490" s="48" t="str">
        <f>IF(F490=""," ",IF(ISNA(VLOOKUP(D490,'[2]stock-take'!$A:$E,4,FALSE)), "OUT OF STOCK", VLOOKUP(D490,'[2]stock-take'!$A:$E,4,FALSE)))</f>
        <v xml:space="preserve"> </v>
      </c>
      <c r="H490" s="48">
        <f>IF(ISNA(VLOOKUP(D490,'[2]stock-take'!$A:$E,3,FALSE)), 0, VLOOKUP(D490,'[2]stock-take'!$A:$E,3,FALSE))</f>
        <v>0</v>
      </c>
      <c r="I490" s="48" t="str">
        <f>IF(F490="", " ",IF(ISNA(VLOOKUP(D490,'[2]stock-take'!$G:$K,4,FALSE)), "OUT OF STOCK", VLOOKUP(D490,'[2]stock-take'!$G:$K,4,FALSE)))</f>
        <v xml:space="preserve"> </v>
      </c>
      <c r="J490" s="39">
        <f>IF(ISNA(VLOOKUP(D490,'[2]stock-take'!$G:$K,3,FALSE)), 0, VLOOKUP(D490,'[2]stock-take'!$G:$K,3,FALSE))</f>
        <v>0</v>
      </c>
      <c r="K490" s="49" t="str">
        <f>IF(F490="", " ", IF(ISNA(VLOOKUP(D490,'[2]stock-take'!$M:$Q,4,FALSE)), "OUT OF STOCK", VLOOKUP(D490,'[2]stock-take'!$M:$Q,4,FALSE)))</f>
        <v xml:space="preserve"> </v>
      </c>
      <c r="L490" s="47">
        <f>IF(ISNA(VLOOKUP(D490,'[2]stock-take'!$M:$Q,3,FALSE)), 0, VLOOKUP(D490,'[2]stock-take'!$M:$Q,3,FALSE))</f>
        <v>0</v>
      </c>
      <c r="M490" s="48" t="str">
        <f t="shared" si="22"/>
        <v xml:space="preserve"> </v>
      </c>
      <c r="N490" s="39" t="str">
        <f t="shared" si="23"/>
        <v xml:space="preserve"> </v>
      </c>
    </row>
    <row r="491" spans="1:14">
      <c r="A491" s="37">
        <f t="shared" si="21"/>
        <v>480</v>
      </c>
      <c r="G491" s="48" t="str">
        <f>IF(F491=""," ",IF(ISNA(VLOOKUP(D491,'[2]stock-take'!$A:$E,4,FALSE)), "OUT OF STOCK", VLOOKUP(D491,'[2]stock-take'!$A:$E,4,FALSE)))</f>
        <v xml:space="preserve"> </v>
      </c>
      <c r="H491" s="48">
        <f>IF(ISNA(VLOOKUP(D491,'[2]stock-take'!$A:$E,3,FALSE)), 0, VLOOKUP(D491,'[2]stock-take'!$A:$E,3,FALSE))</f>
        <v>0</v>
      </c>
      <c r="I491" s="48" t="str">
        <f>IF(F491="", " ",IF(ISNA(VLOOKUP(D491,'[2]stock-take'!$G:$K,4,FALSE)), "OUT OF STOCK", VLOOKUP(D491,'[2]stock-take'!$G:$K,4,FALSE)))</f>
        <v xml:space="preserve"> </v>
      </c>
      <c r="J491" s="39">
        <f>IF(ISNA(VLOOKUP(D491,'[2]stock-take'!$G:$K,3,FALSE)), 0, VLOOKUP(D491,'[2]stock-take'!$G:$K,3,FALSE))</f>
        <v>0</v>
      </c>
      <c r="K491" s="49" t="str">
        <f>IF(F491="", " ", IF(ISNA(VLOOKUP(D491,'[2]stock-take'!$M:$Q,4,FALSE)), "OUT OF STOCK", VLOOKUP(D491,'[2]stock-take'!$M:$Q,4,FALSE)))</f>
        <v xml:space="preserve"> </v>
      </c>
      <c r="L491" s="47">
        <f>IF(ISNA(VLOOKUP(D491,'[2]stock-take'!$M:$Q,3,FALSE)), 0, VLOOKUP(D491,'[2]stock-take'!$M:$Q,3,FALSE))</f>
        <v>0</v>
      </c>
      <c r="M491" s="48" t="str">
        <f t="shared" si="22"/>
        <v xml:space="preserve"> </v>
      </c>
      <c r="N491" s="39" t="str">
        <f t="shared" si="23"/>
        <v xml:space="preserve"> </v>
      </c>
    </row>
    <row r="492" spans="1:14">
      <c r="A492" s="37">
        <f t="shared" si="21"/>
        <v>481</v>
      </c>
      <c r="G492" s="48" t="str">
        <f>IF(F492=""," ",IF(ISNA(VLOOKUP(D492,'[2]stock-take'!$A:$E,4,FALSE)), "OUT OF STOCK", VLOOKUP(D492,'[2]stock-take'!$A:$E,4,FALSE)))</f>
        <v xml:space="preserve"> </v>
      </c>
      <c r="H492" s="48">
        <f>IF(ISNA(VLOOKUP(D492,'[2]stock-take'!$A:$E,3,FALSE)), 0, VLOOKUP(D492,'[2]stock-take'!$A:$E,3,FALSE))</f>
        <v>0</v>
      </c>
      <c r="I492" s="48" t="str">
        <f>IF(F492="", " ",IF(ISNA(VLOOKUP(D492,'[2]stock-take'!$G:$K,4,FALSE)), "OUT OF STOCK", VLOOKUP(D492,'[2]stock-take'!$G:$K,4,FALSE)))</f>
        <v xml:space="preserve"> </v>
      </c>
      <c r="J492" s="39">
        <f>IF(ISNA(VLOOKUP(D492,'[2]stock-take'!$G:$K,3,FALSE)), 0, VLOOKUP(D492,'[2]stock-take'!$G:$K,3,FALSE))</f>
        <v>0</v>
      </c>
      <c r="K492" s="49" t="str">
        <f>IF(F492="", " ", IF(ISNA(VLOOKUP(D492,'[2]stock-take'!$M:$Q,4,FALSE)), "OUT OF STOCK", VLOOKUP(D492,'[2]stock-take'!$M:$Q,4,FALSE)))</f>
        <v xml:space="preserve"> </v>
      </c>
      <c r="L492" s="47">
        <f>IF(ISNA(VLOOKUP(D492,'[2]stock-take'!$M:$Q,3,FALSE)), 0, VLOOKUP(D492,'[2]stock-take'!$M:$Q,3,FALSE))</f>
        <v>0</v>
      </c>
      <c r="M492" s="48" t="str">
        <f t="shared" si="22"/>
        <v xml:space="preserve"> </v>
      </c>
      <c r="N492" s="39" t="str">
        <f t="shared" si="23"/>
        <v xml:space="preserve"> </v>
      </c>
    </row>
    <row r="493" spans="1:14">
      <c r="A493" s="37">
        <f t="shared" si="21"/>
        <v>482</v>
      </c>
      <c r="G493" s="48" t="str">
        <f>IF(F493=""," ",IF(ISNA(VLOOKUP(D493,'[2]stock-take'!$A:$E,4,FALSE)), "OUT OF STOCK", VLOOKUP(D493,'[2]stock-take'!$A:$E,4,FALSE)))</f>
        <v xml:space="preserve"> </v>
      </c>
      <c r="H493" s="48">
        <f>IF(ISNA(VLOOKUP(D493,'[2]stock-take'!$A:$E,3,FALSE)), 0, VLOOKUP(D493,'[2]stock-take'!$A:$E,3,FALSE))</f>
        <v>0</v>
      </c>
      <c r="I493" s="48" t="str">
        <f>IF(F493="", " ",IF(ISNA(VLOOKUP(D493,'[2]stock-take'!$G:$K,4,FALSE)), "OUT OF STOCK", VLOOKUP(D493,'[2]stock-take'!$G:$K,4,FALSE)))</f>
        <v xml:space="preserve"> </v>
      </c>
      <c r="J493" s="39">
        <f>IF(ISNA(VLOOKUP(D493,'[2]stock-take'!$G:$K,3,FALSE)), 0, VLOOKUP(D493,'[2]stock-take'!$G:$K,3,FALSE))</f>
        <v>0</v>
      </c>
      <c r="K493" s="49" t="str">
        <f>IF(F493="", " ", IF(ISNA(VLOOKUP(D493,'[2]stock-take'!$M:$Q,4,FALSE)), "OUT OF STOCK", VLOOKUP(D493,'[2]stock-take'!$M:$Q,4,FALSE)))</f>
        <v xml:space="preserve"> </v>
      </c>
      <c r="L493" s="47">
        <f>IF(ISNA(VLOOKUP(D493,'[2]stock-take'!$M:$Q,3,FALSE)), 0, VLOOKUP(D493,'[2]stock-take'!$M:$Q,3,FALSE))</f>
        <v>0</v>
      </c>
      <c r="M493" s="48" t="str">
        <f t="shared" si="22"/>
        <v xml:space="preserve"> </v>
      </c>
      <c r="N493" s="39" t="str">
        <f t="shared" si="23"/>
        <v xml:space="preserve"> </v>
      </c>
    </row>
    <row r="494" spans="1:14">
      <c r="A494" s="37">
        <f t="shared" si="21"/>
        <v>483</v>
      </c>
      <c r="G494" s="48" t="str">
        <f>IF(F494=""," ",IF(ISNA(VLOOKUP(D494,'[2]stock-take'!$A:$E,4,FALSE)), "OUT OF STOCK", VLOOKUP(D494,'[2]stock-take'!$A:$E,4,FALSE)))</f>
        <v xml:space="preserve"> </v>
      </c>
      <c r="H494" s="48">
        <f>IF(ISNA(VLOOKUP(D494,'[2]stock-take'!$A:$E,3,FALSE)), 0, VLOOKUP(D494,'[2]stock-take'!$A:$E,3,FALSE))</f>
        <v>0</v>
      </c>
      <c r="I494" s="48" t="str">
        <f>IF(F494="", " ",IF(ISNA(VLOOKUP(D494,'[2]stock-take'!$G:$K,4,FALSE)), "OUT OF STOCK", VLOOKUP(D494,'[2]stock-take'!$G:$K,4,FALSE)))</f>
        <v xml:space="preserve"> </v>
      </c>
      <c r="J494" s="39">
        <f>IF(ISNA(VLOOKUP(D494,'[2]stock-take'!$G:$K,3,FALSE)), 0, VLOOKUP(D494,'[2]stock-take'!$G:$K,3,FALSE))</f>
        <v>0</v>
      </c>
      <c r="K494" s="49" t="str">
        <f>IF(F494="", " ", IF(ISNA(VLOOKUP(D494,'[2]stock-take'!$M:$Q,4,FALSE)), "OUT OF STOCK", VLOOKUP(D494,'[2]stock-take'!$M:$Q,4,FALSE)))</f>
        <v xml:space="preserve"> </v>
      </c>
      <c r="L494" s="47">
        <f>IF(ISNA(VLOOKUP(D494,'[2]stock-take'!$M:$Q,3,FALSE)), 0, VLOOKUP(D494,'[2]stock-take'!$M:$Q,3,FALSE))</f>
        <v>0</v>
      </c>
      <c r="M494" s="48" t="str">
        <f t="shared" si="22"/>
        <v xml:space="preserve"> </v>
      </c>
      <c r="N494" s="39" t="str">
        <f t="shared" si="23"/>
        <v xml:space="preserve"> </v>
      </c>
    </row>
    <row r="495" spans="1:14">
      <c r="A495" s="37">
        <f t="shared" si="21"/>
        <v>484</v>
      </c>
      <c r="G495" s="48" t="str">
        <f>IF(F495=""," ",IF(ISNA(VLOOKUP(D495,'[2]stock-take'!$A:$E,4,FALSE)), "OUT OF STOCK", VLOOKUP(D495,'[2]stock-take'!$A:$E,4,FALSE)))</f>
        <v xml:space="preserve"> </v>
      </c>
      <c r="H495" s="48">
        <f>IF(ISNA(VLOOKUP(D495,'[2]stock-take'!$A:$E,3,FALSE)), 0, VLOOKUP(D495,'[2]stock-take'!$A:$E,3,FALSE))</f>
        <v>0</v>
      </c>
      <c r="I495" s="48" t="str">
        <f>IF(F495="", " ",IF(ISNA(VLOOKUP(D495,'[2]stock-take'!$G:$K,4,FALSE)), "OUT OF STOCK", VLOOKUP(D495,'[2]stock-take'!$G:$K,4,FALSE)))</f>
        <v xml:space="preserve"> </v>
      </c>
      <c r="J495" s="39">
        <f>IF(ISNA(VLOOKUP(D495,'[2]stock-take'!$G:$K,3,FALSE)), 0, VLOOKUP(D495,'[2]stock-take'!$G:$K,3,FALSE))</f>
        <v>0</v>
      </c>
      <c r="K495" s="49" t="str">
        <f>IF(F495="", " ", IF(ISNA(VLOOKUP(D495,'[2]stock-take'!$M:$Q,4,FALSE)), "OUT OF STOCK", VLOOKUP(D495,'[2]stock-take'!$M:$Q,4,FALSE)))</f>
        <v xml:space="preserve"> </v>
      </c>
      <c r="L495" s="47">
        <f>IF(ISNA(VLOOKUP(D495,'[2]stock-take'!$M:$Q,3,FALSE)), 0, VLOOKUP(D495,'[2]stock-take'!$M:$Q,3,FALSE))</f>
        <v>0</v>
      </c>
      <c r="M495" s="48" t="str">
        <f t="shared" si="22"/>
        <v xml:space="preserve"> </v>
      </c>
      <c r="N495" s="39" t="str">
        <f t="shared" si="23"/>
        <v xml:space="preserve"> </v>
      </c>
    </row>
    <row r="496" spans="1:14">
      <c r="A496" s="37">
        <f t="shared" si="21"/>
        <v>485</v>
      </c>
      <c r="G496" s="48" t="str">
        <f>IF(F496=""," ",IF(ISNA(VLOOKUP(D496,'[2]stock-take'!$A:$E,4,FALSE)), "OUT OF STOCK", VLOOKUP(D496,'[2]stock-take'!$A:$E,4,FALSE)))</f>
        <v xml:space="preserve"> </v>
      </c>
      <c r="H496" s="48">
        <f>IF(ISNA(VLOOKUP(D496,'[2]stock-take'!$A:$E,3,FALSE)), 0, VLOOKUP(D496,'[2]stock-take'!$A:$E,3,FALSE))</f>
        <v>0</v>
      </c>
      <c r="I496" s="48" t="str">
        <f>IF(F496="", " ",IF(ISNA(VLOOKUP(D496,'[2]stock-take'!$G:$K,4,FALSE)), "OUT OF STOCK", VLOOKUP(D496,'[2]stock-take'!$G:$K,4,FALSE)))</f>
        <v xml:space="preserve"> </v>
      </c>
      <c r="J496" s="39">
        <f>IF(ISNA(VLOOKUP(D496,'[2]stock-take'!$G:$K,3,FALSE)), 0, VLOOKUP(D496,'[2]stock-take'!$G:$K,3,FALSE))</f>
        <v>0</v>
      </c>
      <c r="K496" s="49" t="str">
        <f>IF(F496="", " ", IF(ISNA(VLOOKUP(D496,'[2]stock-take'!$M:$Q,4,FALSE)), "OUT OF STOCK", VLOOKUP(D496,'[2]stock-take'!$M:$Q,4,FALSE)))</f>
        <v xml:space="preserve"> </v>
      </c>
      <c r="L496" s="47">
        <f>IF(ISNA(VLOOKUP(D496,'[2]stock-take'!$M:$Q,3,FALSE)), 0, VLOOKUP(D496,'[2]stock-take'!$M:$Q,3,FALSE))</f>
        <v>0</v>
      </c>
      <c r="M496" s="48" t="str">
        <f t="shared" si="22"/>
        <v xml:space="preserve"> </v>
      </c>
      <c r="N496" s="39" t="str">
        <f t="shared" si="23"/>
        <v xml:space="preserve"> </v>
      </c>
    </row>
    <row r="497" spans="1:14">
      <c r="A497" s="37">
        <f t="shared" si="21"/>
        <v>486</v>
      </c>
      <c r="G497" s="48" t="str">
        <f>IF(F497=""," ",IF(ISNA(VLOOKUP(D497,'[2]stock-take'!$A:$E,4,FALSE)), "OUT OF STOCK", VLOOKUP(D497,'[2]stock-take'!$A:$E,4,FALSE)))</f>
        <v xml:space="preserve"> </v>
      </c>
      <c r="H497" s="48">
        <f>IF(ISNA(VLOOKUP(D497,'[2]stock-take'!$A:$E,3,FALSE)), 0, VLOOKUP(D497,'[2]stock-take'!$A:$E,3,FALSE))</f>
        <v>0</v>
      </c>
      <c r="I497" s="48" t="str">
        <f>IF(F497="", " ",IF(ISNA(VLOOKUP(D497,'[2]stock-take'!$G:$K,4,FALSE)), "OUT OF STOCK", VLOOKUP(D497,'[2]stock-take'!$G:$K,4,FALSE)))</f>
        <v xml:space="preserve"> </v>
      </c>
      <c r="J497" s="39">
        <f>IF(ISNA(VLOOKUP(D497,'[2]stock-take'!$G:$K,3,FALSE)), 0, VLOOKUP(D497,'[2]stock-take'!$G:$K,3,FALSE))</f>
        <v>0</v>
      </c>
      <c r="K497" s="49" t="str">
        <f>IF(F497="", " ", IF(ISNA(VLOOKUP(D497,'[2]stock-take'!$M:$Q,4,FALSE)), "OUT OF STOCK", VLOOKUP(D497,'[2]stock-take'!$M:$Q,4,FALSE)))</f>
        <v xml:space="preserve"> </v>
      </c>
      <c r="L497" s="47">
        <f>IF(ISNA(VLOOKUP(D497,'[2]stock-take'!$M:$Q,3,FALSE)), 0, VLOOKUP(D497,'[2]stock-take'!$M:$Q,3,FALSE))</f>
        <v>0</v>
      </c>
      <c r="M497" s="48" t="str">
        <f t="shared" si="22"/>
        <v xml:space="preserve"> </v>
      </c>
      <c r="N497" s="39" t="str">
        <f t="shared" si="23"/>
        <v xml:space="preserve"> </v>
      </c>
    </row>
    <row r="498" spans="1:14">
      <c r="A498" s="37">
        <f t="shared" si="21"/>
        <v>487</v>
      </c>
      <c r="G498" s="48" t="str">
        <f>IF(F498=""," ",IF(ISNA(VLOOKUP(D498,'[2]stock-take'!$A:$E,4,FALSE)), "OUT OF STOCK", VLOOKUP(D498,'[2]stock-take'!$A:$E,4,FALSE)))</f>
        <v xml:space="preserve"> </v>
      </c>
      <c r="H498" s="48">
        <f>IF(ISNA(VLOOKUP(D498,'[2]stock-take'!$A:$E,3,FALSE)), 0, VLOOKUP(D498,'[2]stock-take'!$A:$E,3,FALSE))</f>
        <v>0</v>
      </c>
      <c r="I498" s="48" t="str">
        <f>IF(F498="", " ",IF(ISNA(VLOOKUP(D498,'[2]stock-take'!$G:$K,4,FALSE)), "OUT OF STOCK", VLOOKUP(D498,'[2]stock-take'!$G:$K,4,FALSE)))</f>
        <v xml:space="preserve"> </v>
      </c>
      <c r="J498" s="39">
        <f>IF(ISNA(VLOOKUP(D498,'[2]stock-take'!$G:$K,3,FALSE)), 0, VLOOKUP(D498,'[2]stock-take'!$G:$K,3,FALSE))</f>
        <v>0</v>
      </c>
      <c r="K498" s="49" t="str">
        <f>IF(F498="", " ", IF(ISNA(VLOOKUP(D498,'[2]stock-take'!$M:$Q,4,FALSE)), "OUT OF STOCK", VLOOKUP(D498,'[2]stock-take'!$M:$Q,4,FALSE)))</f>
        <v xml:space="preserve"> </v>
      </c>
      <c r="L498" s="47">
        <f>IF(ISNA(VLOOKUP(D498,'[2]stock-take'!$M:$Q,3,FALSE)), 0, VLOOKUP(D498,'[2]stock-take'!$M:$Q,3,FALSE))</f>
        <v>0</v>
      </c>
      <c r="M498" s="48" t="str">
        <f t="shared" si="22"/>
        <v xml:space="preserve"> </v>
      </c>
      <c r="N498" s="39" t="str">
        <f t="shared" si="23"/>
        <v xml:space="preserve"> </v>
      </c>
    </row>
    <row r="499" spans="1:14">
      <c r="A499" s="37">
        <f t="shared" si="21"/>
        <v>488</v>
      </c>
      <c r="G499" s="48" t="str">
        <f>IF(F499=""," ",IF(ISNA(VLOOKUP(D499,'[2]stock-take'!$A:$E,4,FALSE)), "OUT OF STOCK", VLOOKUP(D499,'[2]stock-take'!$A:$E,4,FALSE)))</f>
        <v xml:space="preserve"> </v>
      </c>
      <c r="H499" s="48">
        <f>IF(ISNA(VLOOKUP(D499,'[2]stock-take'!$A:$E,3,FALSE)), 0, VLOOKUP(D499,'[2]stock-take'!$A:$E,3,FALSE))</f>
        <v>0</v>
      </c>
      <c r="I499" s="48" t="str">
        <f>IF(F499="", " ",IF(ISNA(VLOOKUP(D499,'[2]stock-take'!$G:$K,4,FALSE)), "OUT OF STOCK", VLOOKUP(D499,'[2]stock-take'!$G:$K,4,FALSE)))</f>
        <v xml:space="preserve"> </v>
      </c>
      <c r="J499" s="39">
        <f>IF(ISNA(VLOOKUP(D499,'[2]stock-take'!$G:$K,3,FALSE)), 0, VLOOKUP(D499,'[2]stock-take'!$G:$K,3,FALSE))</f>
        <v>0</v>
      </c>
      <c r="K499" s="49" t="str">
        <f>IF(F499="", " ", IF(ISNA(VLOOKUP(D499,'[2]stock-take'!$M:$Q,4,FALSE)), "OUT OF STOCK", VLOOKUP(D499,'[2]stock-take'!$M:$Q,4,FALSE)))</f>
        <v xml:space="preserve"> </v>
      </c>
      <c r="L499" s="47">
        <f>IF(ISNA(VLOOKUP(D499,'[2]stock-take'!$M:$Q,3,FALSE)), 0, VLOOKUP(D499,'[2]stock-take'!$M:$Q,3,FALSE))</f>
        <v>0</v>
      </c>
      <c r="M499" s="48" t="str">
        <f t="shared" si="22"/>
        <v xml:space="preserve"> </v>
      </c>
      <c r="N499" s="39" t="str">
        <f t="shared" si="23"/>
        <v xml:space="preserve"> </v>
      </c>
    </row>
    <row r="500" spans="1:14">
      <c r="A500" s="37">
        <f t="shared" si="21"/>
        <v>489</v>
      </c>
      <c r="G500" s="48" t="str">
        <f>IF(F500=""," ",IF(ISNA(VLOOKUP(D500,'[2]stock-take'!$A:$E,4,FALSE)), "OUT OF STOCK", VLOOKUP(D500,'[2]stock-take'!$A:$E,4,FALSE)))</f>
        <v xml:space="preserve"> </v>
      </c>
      <c r="H500" s="48">
        <f>IF(ISNA(VLOOKUP(D500,'[2]stock-take'!$A:$E,3,FALSE)), 0, VLOOKUP(D500,'[2]stock-take'!$A:$E,3,FALSE))</f>
        <v>0</v>
      </c>
      <c r="I500" s="48" t="str">
        <f>IF(F500="", " ",IF(ISNA(VLOOKUP(D500,'[2]stock-take'!$G:$K,4,FALSE)), "OUT OF STOCK", VLOOKUP(D500,'[2]stock-take'!$G:$K,4,FALSE)))</f>
        <v xml:space="preserve"> </v>
      </c>
      <c r="J500" s="39">
        <f>IF(ISNA(VLOOKUP(D500,'[2]stock-take'!$G:$K,3,FALSE)), 0, VLOOKUP(D500,'[2]stock-take'!$G:$K,3,FALSE))</f>
        <v>0</v>
      </c>
      <c r="K500" s="49" t="str">
        <f>IF(F500="", " ", IF(ISNA(VLOOKUP(D500,'[2]stock-take'!$M:$Q,4,FALSE)), "OUT OF STOCK", VLOOKUP(D500,'[2]stock-take'!$M:$Q,4,FALSE)))</f>
        <v xml:space="preserve"> </v>
      </c>
      <c r="L500" s="47">
        <f>IF(ISNA(VLOOKUP(D500,'[2]stock-take'!$M:$Q,3,FALSE)), 0, VLOOKUP(D500,'[2]stock-take'!$M:$Q,3,FALSE))</f>
        <v>0</v>
      </c>
      <c r="M500" s="48" t="str">
        <f t="shared" si="22"/>
        <v xml:space="preserve"> </v>
      </c>
      <c r="N500" s="39" t="str">
        <f t="shared" si="23"/>
        <v xml:space="preserve"> </v>
      </c>
    </row>
    <row r="501" spans="1:14">
      <c r="A501" s="37">
        <f t="shared" si="21"/>
        <v>490</v>
      </c>
      <c r="G501" s="48" t="str">
        <f>IF(F501=""," ",IF(ISNA(VLOOKUP(D501,'[2]stock-take'!$A:$E,4,FALSE)), "OUT OF STOCK", VLOOKUP(D501,'[2]stock-take'!$A:$E,4,FALSE)))</f>
        <v xml:space="preserve"> </v>
      </c>
      <c r="H501" s="48">
        <f>IF(ISNA(VLOOKUP(D501,'[2]stock-take'!$A:$E,3,FALSE)), 0, VLOOKUP(D501,'[2]stock-take'!$A:$E,3,FALSE))</f>
        <v>0</v>
      </c>
      <c r="I501" s="48" t="str">
        <f>IF(F501="", " ",IF(ISNA(VLOOKUP(D501,'[2]stock-take'!$G:$K,4,FALSE)), "OUT OF STOCK", VLOOKUP(D501,'[2]stock-take'!$G:$K,4,FALSE)))</f>
        <v xml:space="preserve"> </v>
      </c>
      <c r="J501" s="39">
        <f>IF(ISNA(VLOOKUP(D501,'[2]stock-take'!$G:$K,3,FALSE)), 0, VLOOKUP(D501,'[2]stock-take'!$G:$K,3,FALSE))</f>
        <v>0</v>
      </c>
      <c r="K501" s="49" t="str">
        <f>IF(F501="", " ", IF(ISNA(VLOOKUP(D501,'[2]stock-take'!$M:$Q,4,FALSE)), "OUT OF STOCK", VLOOKUP(D501,'[2]stock-take'!$M:$Q,4,FALSE)))</f>
        <v xml:space="preserve"> </v>
      </c>
      <c r="L501" s="47">
        <f>IF(ISNA(VLOOKUP(D501,'[2]stock-take'!$M:$Q,3,FALSE)), 0, VLOOKUP(D501,'[2]stock-take'!$M:$Q,3,FALSE))</f>
        <v>0</v>
      </c>
      <c r="M501" s="48" t="str">
        <f t="shared" si="22"/>
        <v xml:space="preserve"> </v>
      </c>
      <c r="N501" s="39" t="str">
        <f t="shared" si="23"/>
        <v xml:space="preserve"> </v>
      </c>
    </row>
    <row r="502" spans="1:14">
      <c r="A502" s="37">
        <f t="shared" si="21"/>
        <v>491</v>
      </c>
      <c r="G502" s="48" t="str">
        <f>IF(F502=""," ",IF(ISNA(VLOOKUP(D502,'[2]stock-take'!$A:$E,4,FALSE)), "OUT OF STOCK", VLOOKUP(D502,'[2]stock-take'!$A:$E,4,FALSE)))</f>
        <v xml:space="preserve"> </v>
      </c>
      <c r="H502" s="48">
        <f>IF(ISNA(VLOOKUP(D502,'[2]stock-take'!$A:$E,3,FALSE)), 0, VLOOKUP(D502,'[2]stock-take'!$A:$E,3,FALSE))</f>
        <v>0</v>
      </c>
      <c r="I502" s="48" t="str">
        <f>IF(F502="", " ",IF(ISNA(VLOOKUP(D502,'[2]stock-take'!$G:$K,4,FALSE)), "OUT OF STOCK", VLOOKUP(D502,'[2]stock-take'!$G:$K,4,FALSE)))</f>
        <v xml:space="preserve"> </v>
      </c>
      <c r="J502" s="39">
        <f>IF(ISNA(VLOOKUP(D502,'[2]stock-take'!$G:$K,3,FALSE)), 0, VLOOKUP(D502,'[2]stock-take'!$G:$K,3,FALSE))</f>
        <v>0</v>
      </c>
      <c r="K502" s="49" t="str">
        <f>IF(F502="", " ", IF(ISNA(VLOOKUP(D502,'[2]stock-take'!$M:$Q,4,FALSE)), "OUT OF STOCK", VLOOKUP(D502,'[2]stock-take'!$M:$Q,4,FALSE)))</f>
        <v xml:space="preserve"> </v>
      </c>
      <c r="L502" s="47">
        <f>IF(ISNA(VLOOKUP(D502,'[2]stock-take'!$M:$Q,3,FALSE)), 0, VLOOKUP(D502,'[2]stock-take'!$M:$Q,3,FALSE))</f>
        <v>0</v>
      </c>
      <c r="M502" s="48" t="str">
        <f t="shared" si="22"/>
        <v xml:space="preserve"> </v>
      </c>
      <c r="N502" s="39" t="str">
        <f t="shared" si="23"/>
        <v xml:space="preserve"> </v>
      </c>
    </row>
    <row r="503" spans="1:14">
      <c r="A503" s="37">
        <f t="shared" si="21"/>
        <v>492</v>
      </c>
      <c r="G503" s="48" t="str">
        <f>IF(F503=""," ",IF(ISNA(VLOOKUP(D503,'[2]stock-take'!$A:$E,4,FALSE)), "OUT OF STOCK", VLOOKUP(D503,'[2]stock-take'!$A:$E,4,FALSE)))</f>
        <v xml:space="preserve"> </v>
      </c>
      <c r="H503" s="48">
        <f>IF(ISNA(VLOOKUP(D503,'[2]stock-take'!$A:$E,3,FALSE)), 0, VLOOKUP(D503,'[2]stock-take'!$A:$E,3,FALSE))</f>
        <v>0</v>
      </c>
      <c r="I503" s="48" t="str">
        <f>IF(F503="", " ",IF(ISNA(VLOOKUP(D503,'[2]stock-take'!$G:$K,4,FALSE)), "OUT OF STOCK", VLOOKUP(D503,'[2]stock-take'!$G:$K,4,FALSE)))</f>
        <v xml:space="preserve"> </v>
      </c>
      <c r="J503" s="39">
        <f>IF(ISNA(VLOOKUP(D503,'[2]stock-take'!$G:$K,3,FALSE)), 0, VLOOKUP(D503,'[2]stock-take'!$G:$K,3,FALSE))</f>
        <v>0</v>
      </c>
      <c r="K503" s="49" t="str">
        <f>IF(F503="", " ", IF(ISNA(VLOOKUP(D503,'[2]stock-take'!$M:$Q,4,FALSE)), "OUT OF STOCK", VLOOKUP(D503,'[2]stock-take'!$M:$Q,4,FALSE)))</f>
        <v xml:space="preserve"> </v>
      </c>
      <c r="L503" s="47">
        <f>IF(ISNA(VLOOKUP(D503,'[2]stock-take'!$M:$Q,3,FALSE)), 0, VLOOKUP(D503,'[2]stock-take'!$M:$Q,3,FALSE))</f>
        <v>0</v>
      </c>
      <c r="M503" s="48" t="str">
        <f t="shared" si="22"/>
        <v xml:space="preserve"> </v>
      </c>
      <c r="N503" s="39" t="str">
        <f t="shared" si="23"/>
        <v xml:space="preserve"> </v>
      </c>
    </row>
    <row r="504" spans="1:14">
      <c r="A504" s="37">
        <f t="shared" si="21"/>
        <v>493</v>
      </c>
      <c r="G504" s="48" t="str">
        <f>IF(F504=""," ",IF(ISNA(VLOOKUP(D504,'[2]stock-take'!$A:$E,4,FALSE)), "OUT OF STOCK", VLOOKUP(D504,'[2]stock-take'!$A:$E,4,FALSE)))</f>
        <v xml:space="preserve"> </v>
      </c>
      <c r="H504" s="48">
        <f>IF(ISNA(VLOOKUP(D504,'[2]stock-take'!$A:$E,3,FALSE)), 0, VLOOKUP(D504,'[2]stock-take'!$A:$E,3,FALSE))</f>
        <v>0</v>
      </c>
      <c r="I504" s="48" t="str">
        <f>IF(F504="", " ",IF(ISNA(VLOOKUP(D504,'[2]stock-take'!$G:$K,4,FALSE)), "OUT OF STOCK", VLOOKUP(D504,'[2]stock-take'!$G:$K,4,FALSE)))</f>
        <v xml:space="preserve"> </v>
      </c>
      <c r="J504" s="39">
        <f>IF(ISNA(VLOOKUP(D504,'[2]stock-take'!$G:$K,3,FALSE)), 0, VLOOKUP(D504,'[2]stock-take'!$G:$K,3,FALSE))</f>
        <v>0</v>
      </c>
      <c r="K504" s="49" t="str">
        <f>IF(F504="", " ", IF(ISNA(VLOOKUP(D504,'[2]stock-take'!$M:$Q,4,FALSE)), "OUT OF STOCK", VLOOKUP(D504,'[2]stock-take'!$M:$Q,4,FALSE)))</f>
        <v xml:space="preserve"> </v>
      </c>
      <c r="L504" s="47">
        <f>IF(ISNA(VLOOKUP(D504,'[2]stock-take'!$M:$Q,3,FALSE)), 0, VLOOKUP(D504,'[2]stock-take'!$M:$Q,3,FALSE))</f>
        <v>0</v>
      </c>
      <c r="M504" s="48" t="str">
        <f t="shared" si="22"/>
        <v xml:space="preserve"> </v>
      </c>
      <c r="N504" s="39" t="str">
        <f t="shared" si="23"/>
        <v xml:space="preserve"> </v>
      </c>
    </row>
    <row r="505" spans="1:14">
      <c r="A505" s="37">
        <f t="shared" si="21"/>
        <v>494</v>
      </c>
      <c r="G505" s="48" t="str">
        <f>IF(F505=""," ",IF(ISNA(VLOOKUP(D505,'[2]stock-take'!$A:$E,4,FALSE)), "OUT OF STOCK", VLOOKUP(D505,'[2]stock-take'!$A:$E,4,FALSE)))</f>
        <v xml:space="preserve"> </v>
      </c>
      <c r="H505" s="48">
        <f>IF(ISNA(VLOOKUP(D505,'[2]stock-take'!$A:$E,3,FALSE)), 0, VLOOKUP(D505,'[2]stock-take'!$A:$E,3,FALSE))</f>
        <v>0</v>
      </c>
      <c r="I505" s="48" t="str">
        <f>IF(F505="", " ",IF(ISNA(VLOOKUP(D505,'[2]stock-take'!$G:$K,4,FALSE)), "OUT OF STOCK", VLOOKUP(D505,'[2]stock-take'!$G:$K,4,FALSE)))</f>
        <v xml:space="preserve"> </v>
      </c>
      <c r="J505" s="39">
        <f>IF(ISNA(VLOOKUP(D505,'[2]stock-take'!$G:$K,3,FALSE)), 0, VLOOKUP(D505,'[2]stock-take'!$G:$K,3,FALSE))</f>
        <v>0</v>
      </c>
      <c r="K505" s="49" t="str">
        <f>IF(F505="", " ", IF(ISNA(VLOOKUP(D505,'[2]stock-take'!$M:$Q,4,FALSE)), "OUT OF STOCK", VLOOKUP(D505,'[2]stock-take'!$M:$Q,4,FALSE)))</f>
        <v xml:space="preserve"> </v>
      </c>
      <c r="L505" s="47">
        <f>IF(ISNA(VLOOKUP(D505,'[2]stock-take'!$M:$Q,3,FALSE)), 0, VLOOKUP(D505,'[2]stock-take'!$M:$Q,3,FALSE))</f>
        <v>0</v>
      </c>
      <c r="M505" s="48" t="str">
        <f t="shared" si="22"/>
        <v xml:space="preserve"> </v>
      </c>
      <c r="N505" s="39" t="str">
        <f t="shared" si="23"/>
        <v xml:space="preserve"> </v>
      </c>
    </row>
    <row r="506" spans="1:14">
      <c r="A506" s="37">
        <f t="shared" si="21"/>
        <v>495</v>
      </c>
      <c r="G506" s="48" t="str">
        <f>IF(F506=""," ",IF(ISNA(VLOOKUP(D506,'[2]stock-take'!$A:$E,4,FALSE)), "OUT OF STOCK", VLOOKUP(D506,'[2]stock-take'!$A:$E,4,FALSE)))</f>
        <v xml:space="preserve"> </v>
      </c>
      <c r="H506" s="48">
        <f>IF(ISNA(VLOOKUP(D506,'[2]stock-take'!$A:$E,3,FALSE)), 0, VLOOKUP(D506,'[2]stock-take'!$A:$E,3,FALSE))</f>
        <v>0</v>
      </c>
      <c r="I506" s="48" t="str">
        <f>IF(F506="", " ",IF(ISNA(VLOOKUP(D506,'[2]stock-take'!$G:$K,4,FALSE)), "OUT OF STOCK", VLOOKUP(D506,'[2]stock-take'!$G:$K,4,FALSE)))</f>
        <v xml:space="preserve"> </v>
      </c>
      <c r="J506" s="39">
        <f>IF(ISNA(VLOOKUP(D506,'[2]stock-take'!$G:$K,3,FALSE)), 0, VLOOKUP(D506,'[2]stock-take'!$G:$K,3,FALSE))</f>
        <v>0</v>
      </c>
      <c r="K506" s="49" t="str">
        <f>IF(F506="", " ", IF(ISNA(VLOOKUP(D506,'[2]stock-take'!$M:$Q,4,FALSE)), "OUT OF STOCK", VLOOKUP(D506,'[2]stock-take'!$M:$Q,4,FALSE)))</f>
        <v xml:space="preserve"> </v>
      </c>
      <c r="L506" s="47">
        <f>IF(ISNA(VLOOKUP(D506,'[2]stock-take'!$M:$Q,3,FALSE)), 0, VLOOKUP(D506,'[2]stock-take'!$M:$Q,3,FALSE))</f>
        <v>0</v>
      </c>
      <c r="M506" s="48" t="str">
        <f t="shared" si="22"/>
        <v xml:space="preserve"> </v>
      </c>
      <c r="N506" s="39" t="str">
        <f t="shared" si="23"/>
        <v xml:space="preserve"> </v>
      </c>
    </row>
    <row r="507" spans="1:14">
      <c r="A507" s="37">
        <f t="shared" si="21"/>
        <v>496</v>
      </c>
      <c r="G507" s="48" t="str">
        <f>IF(F507=""," ",IF(ISNA(VLOOKUP(D507,'[2]stock-take'!$A:$E,4,FALSE)), "OUT OF STOCK", VLOOKUP(D507,'[2]stock-take'!$A:$E,4,FALSE)))</f>
        <v xml:space="preserve"> </v>
      </c>
      <c r="H507" s="48">
        <f>IF(ISNA(VLOOKUP(D507,'[2]stock-take'!$A:$E,3,FALSE)), 0, VLOOKUP(D507,'[2]stock-take'!$A:$E,3,FALSE))</f>
        <v>0</v>
      </c>
      <c r="I507" s="48" t="str">
        <f>IF(F507="", " ",IF(ISNA(VLOOKUP(D507,'[2]stock-take'!$G:$K,4,FALSE)), "OUT OF STOCK", VLOOKUP(D507,'[2]stock-take'!$G:$K,4,FALSE)))</f>
        <v xml:space="preserve"> </v>
      </c>
      <c r="J507" s="39">
        <f>IF(ISNA(VLOOKUP(D507,'[2]stock-take'!$G:$K,3,FALSE)), 0, VLOOKUP(D507,'[2]stock-take'!$G:$K,3,FALSE))</f>
        <v>0</v>
      </c>
      <c r="K507" s="49" t="str">
        <f>IF(F507="", " ", IF(ISNA(VLOOKUP(D507,'[2]stock-take'!$M:$Q,4,FALSE)), "OUT OF STOCK", VLOOKUP(D507,'[2]stock-take'!$M:$Q,4,FALSE)))</f>
        <v xml:space="preserve"> </v>
      </c>
      <c r="L507" s="47">
        <f>IF(ISNA(VLOOKUP(D507,'[2]stock-take'!$M:$Q,3,FALSE)), 0, VLOOKUP(D507,'[2]stock-take'!$M:$Q,3,FALSE))</f>
        <v>0</v>
      </c>
      <c r="M507" s="48" t="str">
        <f t="shared" si="22"/>
        <v xml:space="preserve"> </v>
      </c>
      <c r="N507" s="39" t="str">
        <f t="shared" si="23"/>
        <v xml:space="preserve"> </v>
      </c>
    </row>
    <row r="508" spans="1:14">
      <c r="A508" s="37">
        <f t="shared" si="21"/>
        <v>497</v>
      </c>
      <c r="G508" s="48" t="str">
        <f>IF(F508=""," ",IF(ISNA(VLOOKUP(D508,'[2]stock-take'!$A:$E,4,FALSE)), "OUT OF STOCK", VLOOKUP(D508,'[2]stock-take'!$A:$E,4,FALSE)))</f>
        <v xml:space="preserve"> </v>
      </c>
      <c r="H508" s="48">
        <f>IF(ISNA(VLOOKUP(D508,'[2]stock-take'!$A:$E,3,FALSE)), 0, VLOOKUP(D508,'[2]stock-take'!$A:$E,3,FALSE))</f>
        <v>0</v>
      </c>
      <c r="I508" s="48" t="str">
        <f>IF(F508="", " ",IF(ISNA(VLOOKUP(D508,'[2]stock-take'!$G:$K,4,FALSE)), "OUT OF STOCK", VLOOKUP(D508,'[2]stock-take'!$G:$K,4,FALSE)))</f>
        <v xml:space="preserve"> </v>
      </c>
      <c r="J508" s="39">
        <f>IF(ISNA(VLOOKUP(D508,'[2]stock-take'!$G:$K,3,FALSE)), 0, VLOOKUP(D508,'[2]stock-take'!$G:$K,3,FALSE))</f>
        <v>0</v>
      </c>
      <c r="K508" s="49" t="str">
        <f>IF(F508="", " ", IF(ISNA(VLOOKUP(D508,'[2]stock-take'!$M:$Q,4,FALSE)), "OUT OF STOCK", VLOOKUP(D508,'[2]stock-take'!$M:$Q,4,FALSE)))</f>
        <v xml:space="preserve"> </v>
      </c>
      <c r="L508" s="47">
        <f>IF(ISNA(VLOOKUP(D508,'[2]stock-take'!$M:$Q,3,FALSE)), 0, VLOOKUP(D508,'[2]stock-take'!$M:$Q,3,FALSE))</f>
        <v>0</v>
      </c>
      <c r="M508" s="48" t="str">
        <f t="shared" si="22"/>
        <v xml:space="preserve"> </v>
      </c>
      <c r="N508" s="39" t="str">
        <f t="shared" si="23"/>
        <v xml:space="preserve"> </v>
      </c>
    </row>
    <row r="509" spans="1:14">
      <c r="A509" s="37">
        <f t="shared" si="21"/>
        <v>498</v>
      </c>
      <c r="G509" s="48" t="str">
        <f>IF(F509=""," ",IF(ISNA(VLOOKUP(D509,'[2]stock-take'!$A:$E,4,FALSE)), "OUT OF STOCK", VLOOKUP(D509,'[2]stock-take'!$A:$E,4,FALSE)))</f>
        <v xml:space="preserve"> </v>
      </c>
      <c r="H509" s="48">
        <f>IF(ISNA(VLOOKUP(D509,'[2]stock-take'!$A:$E,3,FALSE)), 0, VLOOKUP(D509,'[2]stock-take'!$A:$E,3,FALSE))</f>
        <v>0</v>
      </c>
      <c r="I509" s="48" t="str">
        <f>IF(F509="", " ",IF(ISNA(VLOOKUP(D509,'[2]stock-take'!$G:$K,4,FALSE)), "OUT OF STOCK", VLOOKUP(D509,'[2]stock-take'!$G:$K,4,FALSE)))</f>
        <v xml:space="preserve"> </v>
      </c>
      <c r="J509" s="39">
        <f>IF(ISNA(VLOOKUP(D509,'[2]stock-take'!$G:$K,3,FALSE)), 0, VLOOKUP(D509,'[2]stock-take'!$G:$K,3,FALSE))</f>
        <v>0</v>
      </c>
      <c r="K509" s="49" t="str">
        <f>IF(F509="", " ", IF(ISNA(VLOOKUP(D509,'[2]stock-take'!$M:$Q,4,FALSE)), "OUT OF STOCK", VLOOKUP(D509,'[2]stock-take'!$M:$Q,4,FALSE)))</f>
        <v xml:space="preserve"> </v>
      </c>
      <c r="L509" s="47">
        <f>IF(ISNA(VLOOKUP(D509,'[2]stock-take'!$M:$Q,3,FALSE)), 0, VLOOKUP(D509,'[2]stock-take'!$M:$Q,3,FALSE))</f>
        <v>0</v>
      </c>
      <c r="M509" s="48" t="str">
        <f t="shared" si="22"/>
        <v xml:space="preserve"> </v>
      </c>
      <c r="N509" s="39" t="str">
        <f t="shared" si="23"/>
        <v xml:space="preserve"> </v>
      </c>
    </row>
    <row r="510" spans="1:14">
      <c r="A510" s="37">
        <f t="shared" si="21"/>
        <v>499</v>
      </c>
      <c r="G510" s="48" t="str">
        <f>IF(F510=""," ",IF(ISNA(VLOOKUP(D510,'[2]stock-take'!$A:$E,4,FALSE)), "OUT OF STOCK", VLOOKUP(D510,'[2]stock-take'!$A:$E,4,FALSE)))</f>
        <v xml:space="preserve"> </v>
      </c>
      <c r="H510" s="48">
        <f>IF(ISNA(VLOOKUP(D510,'[2]stock-take'!$A:$E,3,FALSE)), 0, VLOOKUP(D510,'[2]stock-take'!$A:$E,3,FALSE))</f>
        <v>0</v>
      </c>
      <c r="I510" s="48" t="str">
        <f>IF(F510="", " ",IF(ISNA(VLOOKUP(D510,'[2]stock-take'!$G:$K,4,FALSE)), "OUT OF STOCK", VLOOKUP(D510,'[2]stock-take'!$G:$K,4,FALSE)))</f>
        <v xml:space="preserve"> </v>
      </c>
      <c r="J510" s="39">
        <f>IF(ISNA(VLOOKUP(D510,'[2]stock-take'!$G:$K,3,FALSE)), 0, VLOOKUP(D510,'[2]stock-take'!$G:$K,3,FALSE))</f>
        <v>0</v>
      </c>
      <c r="K510" s="49" t="str">
        <f>IF(F510="", " ", IF(ISNA(VLOOKUP(D510,'[2]stock-take'!$M:$Q,4,FALSE)), "OUT OF STOCK", VLOOKUP(D510,'[2]stock-take'!$M:$Q,4,FALSE)))</f>
        <v xml:space="preserve"> </v>
      </c>
      <c r="L510" s="47">
        <f>IF(ISNA(VLOOKUP(D510,'[2]stock-take'!$M:$Q,3,FALSE)), 0, VLOOKUP(D510,'[2]stock-take'!$M:$Q,3,FALSE))</f>
        <v>0</v>
      </c>
      <c r="M510" s="48" t="str">
        <f t="shared" si="22"/>
        <v xml:space="preserve"> </v>
      </c>
      <c r="N510" s="39" t="str">
        <f t="shared" si="23"/>
        <v xml:space="preserve"> </v>
      </c>
    </row>
    <row r="511" spans="1:14">
      <c r="A511" s="37">
        <f t="shared" si="21"/>
        <v>500</v>
      </c>
      <c r="G511" s="48" t="str">
        <f>IF(F511=""," ",IF(ISNA(VLOOKUP(D511,'[2]stock-take'!$A:$E,4,FALSE)), "OUT OF STOCK", VLOOKUP(D511,'[2]stock-take'!$A:$E,4,FALSE)))</f>
        <v xml:space="preserve"> </v>
      </c>
      <c r="H511" s="48">
        <f>IF(ISNA(VLOOKUP(D511,'[2]stock-take'!$A:$E,3,FALSE)), 0, VLOOKUP(D511,'[2]stock-take'!$A:$E,3,FALSE))</f>
        <v>0</v>
      </c>
      <c r="I511" s="48" t="str">
        <f>IF(F511="", " ",IF(ISNA(VLOOKUP(D511,'[2]stock-take'!$G:$K,4,FALSE)), "OUT OF STOCK", VLOOKUP(D511,'[2]stock-take'!$G:$K,4,FALSE)))</f>
        <v xml:space="preserve"> </v>
      </c>
      <c r="J511" s="39">
        <f>IF(ISNA(VLOOKUP(D511,'[2]stock-take'!$G:$K,3,FALSE)), 0, VLOOKUP(D511,'[2]stock-take'!$G:$K,3,FALSE))</f>
        <v>0</v>
      </c>
      <c r="K511" s="49" t="str">
        <f>IF(F511="", " ", IF(ISNA(VLOOKUP(D511,'[2]stock-take'!$M:$Q,4,FALSE)), "OUT OF STOCK", VLOOKUP(D511,'[2]stock-take'!$M:$Q,4,FALSE)))</f>
        <v xml:space="preserve"> </v>
      </c>
      <c r="L511" s="47">
        <f>IF(ISNA(VLOOKUP(D511,'[2]stock-take'!$M:$Q,3,FALSE)), 0, VLOOKUP(D511,'[2]stock-take'!$M:$Q,3,FALSE))</f>
        <v>0</v>
      </c>
      <c r="M511" s="48" t="str">
        <f t="shared" si="22"/>
        <v xml:space="preserve"> </v>
      </c>
      <c r="N511" s="39" t="str">
        <f t="shared" si="23"/>
        <v xml:space="preserve"> </v>
      </c>
    </row>
    <row r="512" spans="1:14">
      <c r="A512" s="37">
        <f t="shared" si="21"/>
        <v>501</v>
      </c>
      <c r="G512" s="48" t="str">
        <f>IF(F512=""," ",IF(ISNA(VLOOKUP(D512,'[2]stock-take'!$A:$E,4,FALSE)), "OUT OF STOCK", VLOOKUP(D512,'[2]stock-take'!$A:$E,4,FALSE)))</f>
        <v xml:space="preserve"> </v>
      </c>
      <c r="H512" s="48">
        <f>IF(ISNA(VLOOKUP(D512,'[2]stock-take'!$A:$E,3,FALSE)), 0, VLOOKUP(D512,'[2]stock-take'!$A:$E,3,FALSE))</f>
        <v>0</v>
      </c>
      <c r="I512" s="48" t="str">
        <f>IF(F512="", " ",IF(ISNA(VLOOKUP(D512,'[2]stock-take'!$G:$K,4,FALSE)), "OUT OF STOCK", VLOOKUP(D512,'[2]stock-take'!$G:$K,4,FALSE)))</f>
        <v xml:space="preserve"> </v>
      </c>
      <c r="J512" s="39">
        <f>IF(ISNA(VLOOKUP(D512,'[2]stock-take'!$G:$K,3,FALSE)), 0, VLOOKUP(D512,'[2]stock-take'!$G:$K,3,FALSE))</f>
        <v>0</v>
      </c>
      <c r="K512" s="49" t="str">
        <f>IF(F512="", " ", IF(ISNA(VLOOKUP(D512,'[2]stock-take'!$M:$Q,4,FALSE)), "OUT OF STOCK", VLOOKUP(D512,'[2]stock-take'!$M:$Q,4,FALSE)))</f>
        <v xml:space="preserve"> </v>
      </c>
      <c r="L512" s="47">
        <f>IF(ISNA(VLOOKUP(D512,'[2]stock-take'!$M:$Q,3,FALSE)), 0, VLOOKUP(D512,'[2]stock-take'!$M:$Q,3,FALSE))</f>
        <v>0</v>
      </c>
      <c r="M512" s="48" t="str">
        <f t="shared" si="22"/>
        <v xml:space="preserve"> </v>
      </c>
      <c r="N512" s="39" t="str">
        <f t="shared" si="23"/>
        <v xml:space="preserve"> </v>
      </c>
    </row>
    <row r="513" spans="1:14">
      <c r="A513" s="37">
        <f t="shared" si="21"/>
        <v>502</v>
      </c>
      <c r="G513" s="48" t="str">
        <f>IF(F513=""," ",IF(ISNA(VLOOKUP(D513,'[2]stock-take'!$A:$E,4,FALSE)), "OUT OF STOCK", VLOOKUP(D513,'[2]stock-take'!$A:$E,4,FALSE)))</f>
        <v xml:space="preserve"> </v>
      </c>
      <c r="H513" s="48">
        <f>IF(ISNA(VLOOKUP(D513,'[2]stock-take'!$A:$E,3,FALSE)), 0, VLOOKUP(D513,'[2]stock-take'!$A:$E,3,FALSE))</f>
        <v>0</v>
      </c>
      <c r="I513" s="48" t="str">
        <f>IF(F513="", " ",IF(ISNA(VLOOKUP(D513,'[2]stock-take'!$G:$K,4,FALSE)), "OUT OF STOCK", VLOOKUP(D513,'[2]stock-take'!$G:$K,4,FALSE)))</f>
        <v xml:space="preserve"> </v>
      </c>
      <c r="J513" s="39">
        <f>IF(ISNA(VLOOKUP(D513,'[2]stock-take'!$G:$K,3,FALSE)), 0, VLOOKUP(D513,'[2]stock-take'!$G:$K,3,FALSE))</f>
        <v>0</v>
      </c>
      <c r="K513" s="49" t="str">
        <f>IF(F513="", " ", IF(ISNA(VLOOKUP(D513,'[2]stock-take'!$M:$Q,4,FALSE)), "OUT OF STOCK", VLOOKUP(D513,'[2]stock-take'!$M:$Q,4,FALSE)))</f>
        <v xml:space="preserve"> </v>
      </c>
      <c r="L513" s="47">
        <f>IF(ISNA(VLOOKUP(D513,'[2]stock-take'!$M:$Q,3,FALSE)), 0, VLOOKUP(D513,'[2]stock-take'!$M:$Q,3,FALSE))</f>
        <v>0</v>
      </c>
      <c r="M513" s="48" t="str">
        <f t="shared" si="22"/>
        <v xml:space="preserve"> </v>
      </c>
      <c r="N513" s="39" t="str">
        <f t="shared" si="23"/>
        <v xml:space="preserve"> </v>
      </c>
    </row>
    <row r="514" spans="1:14">
      <c r="A514" s="37">
        <f t="shared" si="21"/>
        <v>503</v>
      </c>
      <c r="G514" s="48" t="str">
        <f>IF(F514=""," ",IF(ISNA(VLOOKUP(D514,'[2]stock-take'!$A:$E,4,FALSE)), "OUT OF STOCK", VLOOKUP(D514,'[2]stock-take'!$A:$E,4,FALSE)))</f>
        <v xml:space="preserve"> </v>
      </c>
      <c r="H514" s="48">
        <f>IF(ISNA(VLOOKUP(D514,'[2]stock-take'!$A:$E,3,FALSE)), 0, VLOOKUP(D514,'[2]stock-take'!$A:$E,3,FALSE))</f>
        <v>0</v>
      </c>
      <c r="I514" s="48" t="str">
        <f>IF(F514="", " ",IF(ISNA(VLOOKUP(D514,'[2]stock-take'!$G:$K,4,FALSE)), "OUT OF STOCK", VLOOKUP(D514,'[2]stock-take'!$G:$K,4,FALSE)))</f>
        <v xml:space="preserve"> </v>
      </c>
      <c r="J514" s="39">
        <f>IF(ISNA(VLOOKUP(D514,'[2]stock-take'!$G:$K,3,FALSE)), 0, VLOOKUP(D514,'[2]stock-take'!$G:$K,3,FALSE))</f>
        <v>0</v>
      </c>
      <c r="K514" s="49" t="str">
        <f>IF(F514="", " ", IF(ISNA(VLOOKUP(D514,'[2]stock-take'!$M:$Q,4,FALSE)), "OUT OF STOCK", VLOOKUP(D514,'[2]stock-take'!$M:$Q,4,FALSE)))</f>
        <v xml:space="preserve"> </v>
      </c>
      <c r="L514" s="47">
        <f>IF(ISNA(VLOOKUP(D514,'[2]stock-take'!$M:$Q,3,FALSE)), 0, VLOOKUP(D514,'[2]stock-take'!$M:$Q,3,FALSE))</f>
        <v>0</v>
      </c>
      <c r="M514" s="48" t="str">
        <f t="shared" si="22"/>
        <v xml:space="preserve"> </v>
      </c>
      <c r="N514" s="39" t="str">
        <f t="shared" si="23"/>
        <v xml:space="preserve"> </v>
      </c>
    </row>
    <row r="515" spans="1:14">
      <c r="A515" s="37">
        <f t="shared" si="21"/>
        <v>504</v>
      </c>
      <c r="G515" s="48" t="str">
        <f>IF(F515=""," ",IF(ISNA(VLOOKUP(D515,'[2]stock-take'!$A:$E,4,FALSE)), "OUT OF STOCK", VLOOKUP(D515,'[2]stock-take'!$A:$E,4,FALSE)))</f>
        <v xml:space="preserve"> </v>
      </c>
      <c r="H515" s="48">
        <f>IF(ISNA(VLOOKUP(D515,'[2]stock-take'!$A:$E,3,FALSE)), 0, VLOOKUP(D515,'[2]stock-take'!$A:$E,3,FALSE))</f>
        <v>0</v>
      </c>
      <c r="I515" s="48" t="str">
        <f>IF(F515="", " ",IF(ISNA(VLOOKUP(D515,'[2]stock-take'!$G:$K,4,FALSE)), "OUT OF STOCK", VLOOKUP(D515,'[2]stock-take'!$G:$K,4,FALSE)))</f>
        <v xml:space="preserve"> </v>
      </c>
      <c r="J515" s="39">
        <f>IF(ISNA(VLOOKUP(D515,'[2]stock-take'!$G:$K,3,FALSE)), 0, VLOOKUP(D515,'[2]stock-take'!$G:$K,3,FALSE))</f>
        <v>0</v>
      </c>
      <c r="K515" s="49" t="str">
        <f>IF(F515="", " ", IF(ISNA(VLOOKUP(D515,'[2]stock-take'!$M:$Q,4,FALSE)), "OUT OF STOCK", VLOOKUP(D515,'[2]stock-take'!$M:$Q,4,FALSE)))</f>
        <v xml:space="preserve"> </v>
      </c>
      <c r="L515" s="47">
        <f>IF(ISNA(VLOOKUP(D515,'[2]stock-take'!$M:$Q,3,FALSE)), 0, VLOOKUP(D515,'[2]stock-take'!$M:$Q,3,FALSE))</f>
        <v>0</v>
      </c>
      <c r="M515" s="48" t="str">
        <f t="shared" si="22"/>
        <v xml:space="preserve"> </v>
      </c>
      <c r="N515" s="39" t="str">
        <f t="shared" si="23"/>
        <v xml:space="preserve"> </v>
      </c>
    </row>
    <row r="516" spans="1:14">
      <c r="A516" s="37">
        <f t="shared" si="21"/>
        <v>505</v>
      </c>
      <c r="G516" s="48" t="str">
        <f>IF(F516=""," ",IF(ISNA(VLOOKUP(D516,'[2]stock-take'!$A:$E,4,FALSE)), "OUT OF STOCK", VLOOKUP(D516,'[2]stock-take'!$A:$E,4,FALSE)))</f>
        <v xml:space="preserve"> </v>
      </c>
      <c r="H516" s="48">
        <f>IF(ISNA(VLOOKUP(D516,'[2]stock-take'!$A:$E,3,FALSE)), 0, VLOOKUP(D516,'[2]stock-take'!$A:$E,3,FALSE))</f>
        <v>0</v>
      </c>
      <c r="I516" s="48" t="str">
        <f>IF(F516="", " ",IF(ISNA(VLOOKUP(D516,'[2]stock-take'!$G:$K,4,FALSE)), "OUT OF STOCK", VLOOKUP(D516,'[2]stock-take'!$G:$K,4,FALSE)))</f>
        <v xml:space="preserve"> </v>
      </c>
      <c r="J516" s="39">
        <f>IF(ISNA(VLOOKUP(D516,'[2]stock-take'!$G:$K,3,FALSE)), 0, VLOOKUP(D516,'[2]stock-take'!$G:$K,3,FALSE))</f>
        <v>0</v>
      </c>
      <c r="K516" s="49" t="str">
        <f>IF(F516="", " ", IF(ISNA(VLOOKUP(D516,'[2]stock-take'!$M:$Q,4,FALSE)), "OUT OF STOCK", VLOOKUP(D516,'[2]stock-take'!$M:$Q,4,FALSE)))</f>
        <v xml:space="preserve"> </v>
      </c>
      <c r="L516" s="47">
        <f>IF(ISNA(VLOOKUP(D516,'[2]stock-take'!$M:$Q,3,FALSE)), 0, VLOOKUP(D516,'[2]stock-take'!$M:$Q,3,FALSE))</f>
        <v>0</v>
      </c>
      <c r="M516" s="48" t="str">
        <f t="shared" si="22"/>
        <v xml:space="preserve"> </v>
      </c>
      <c r="N516" s="39" t="str">
        <f t="shared" si="23"/>
        <v xml:space="preserve"> </v>
      </c>
    </row>
    <row r="517" spans="1:14">
      <c r="A517" s="37">
        <f t="shared" si="21"/>
        <v>506</v>
      </c>
      <c r="G517" s="48" t="str">
        <f>IF(F517=""," ",IF(ISNA(VLOOKUP(D517,'[2]stock-take'!$A:$E,4,FALSE)), "OUT OF STOCK", VLOOKUP(D517,'[2]stock-take'!$A:$E,4,FALSE)))</f>
        <v xml:space="preserve"> </v>
      </c>
      <c r="H517" s="48">
        <f>IF(ISNA(VLOOKUP(D517,'[2]stock-take'!$A:$E,3,FALSE)), 0, VLOOKUP(D517,'[2]stock-take'!$A:$E,3,FALSE))</f>
        <v>0</v>
      </c>
      <c r="I517" s="48" t="str">
        <f>IF(F517="", " ",IF(ISNA(VLOOKUP(D517,'[2]stock-take'!$G:$K,4,FALSE)), "OUT OF STOCK", VLOOKUP(D517,'[2]stock-take'!$G:$K,4,FALSE)))</f>
        <v xml:space="preserve"> </v>
      </c>
      <c r="J517" s="39">
        <f>IF(ISNA(VLOOKUP(D517,'[2]stock-take'!$G:$K,3,FALSE)), 0, VLOOKUP(D517,'[2]stock-take'!$G:$K,3,FALSE))</f>
        <v>0</v>
      </c>
      <c r="K517" s="49" t="str">
        <f>IF(F517="", " ", IF(ISNA(VLOOKUP(D517,'[2]stock-take'!$M:$Q,4,FALSE)), "OUT OF STOCK", VLOOKUP(D517,'[2]stock-take'!$M:$Q,4,FALSE)))</f>
        <v xml:space="preserve"> </v>
      </c>
      <c r="L517" s="47">
        <f>IF(ISNA(VLOOKUP(D517,'[2]stock-take'!$M:$Q,3,FALSE)), 0, VLOOKUP(D517,'[2]stock-take'!$M:$Q,3,FALSE))</f>
        <v>0</v>
      </c>
      <c r="M517" s="48" t="str">
        <f t="shared" si="22"/>
        <v xml:space="preserve"> </v>
      </c>
      <c r="N517" s="39" t="str">
        <f t="shared" si="23"/>
        <v xml:space="preserve"> </v>
      </c>
    </row>
    <row r="518" spans="1:14">
      <c r="A518" s="37">
        <f t="shared" si="21"/>
        <v>507</v>
      </c>
      <c r="G518" s="48" t="str">
        <f>IF(F518=""," ",IF(ISNA(VLOOKUP(D518,'[2]stock-take'!$A:$E,4,FALSE)), "OUT OF STOCK", VLOOKUP(D518,'[2]stock-take'!$A:$E,4,FALSE)))</f>
        <v xml:space="preserve"> </v>
      </c>
      <c r="H518" s="48">
        <f>IF(ISNA(VLOOKUP(D518,'[2]stock-take'!$A:$E,3,FALSE)), 0, VLOOKUP(D518,'[2]stock-take'!$A:$E,3,FALSE))</f>
        <v>0</v>
      </c>
      <c r="I518" s="48" t="str">
        <f>IF(F518="", " ",IF(ISNA(VLOOKUP(D518,'[2]stock-take'!$G:$K,4,FALSE)), "OUT OF STOCK", VLOOKUP(D518,'[2]stock-take'!$G:$K,4,FALSE)))</f>
        <v xml:space="preserve"> </v>
      </c>
      <c r="J518" s="39">
        <f>IF(ISNA(VLOOKUP(D518,'[2]stock-take'!$G:$K,3,FALSE)), 0, VLOOKUP(D518,'[2]stock-take'!$G:$K,3,FALSE))</f>
        <v>0</v>
      </c>
      <c r="K518" s="49" t="str">
        <f>IF(F518="", " ", IF(ISNA(VLOOKUP(D518,'[2]stock-take'!$M:$Q,4,FALSE)), "OUT OF STOCK", VLOOKUP(D518,'[2]stock-take'!$M:$Q,4,FALSE)))</f>
        <v xml:space="preserve"> </v>
      </c>
      <c r="L518" s="47">
        <f>IF(ISNA(VLOOKUP(D518,'[2]stock-take'!$M:$Q,3,FALSE)), 0, VLOOKUP(D518,'[2]stock-take'!$M:$Q,3,FALSE))</f>
        <v>0</v>
      </c>
      <c r="M518" s="48" t="str">
        <f t="shared" si="22"/>
        <v xml:space="preserve"> </v>
      </c>
      <c r="N518" s="39" t="str">
        <f t="shared" si="23"/>
        <v xml:space="preserve"> </v>
      </c>
    </row>
    <row r="519" spans="1:14">
      <c r="A519" s="37">
        <f t="shared" si="21"/>
        <v>508</v>
      </c>
      <c r="G519" s="48" t="str">
        <f>IF(F519=""," ",IF(ISNA(VLOOKUP(D519,'[2]stock-take'!$A:$E,4,FALSE)), "OUT OF STOCK", VLOOKUP(D519,'[2]stock-take'!$A:$E,4,FALSE)))</f>
        <v xml:space="preserve"> </v>
      </c>
      <c r="H519" s="48">
        <f>IF(ISNA(VLOOKUP(D519,'[2]stock-take'!$A:$E,3,FALSE)), 0, VLOOKUP(D519,'[2]stock-take'!$A:$E,3,FALSE))</f>
        <v>0</v>
      </c>
      <c r="I519" s="48" t="str">
        <f>IF(F519="", " ",IF(ISNA(VLOOKUP(D519,'[2]stock-take'!$G:$K,4,FALSE)), "OUT OF STOCK", VLOOKUP(D519,'[2]stock-take'!$G:$K,4,FALSE)))</f>
        <v xml:space="preserve"> </v>
      </c>
      <c r="J519" s="39">
        <f>IF(ISNA(VLOOKUP(D519,'[2]stock-take'!$G:$K,3,FALSE)), 0, VLOOKUP(D519,'[2]stock-take'!$G:$K,3,FALSE))</f>
        <v>0</v>
      </c>
      <c r="K519" s="49" t="str">
        <f>IF(F519="", " ", IF(ISNA(VLOOKUP(D519,'[2]stock-take'!$M:$Q,4,FALSE)), "OUT OF STOCK", VLOOKUP(D519,'[2]stock-take'!$M:$Q,4,FALSE)))</f>
        <v xml:space="preserve"> </v>
      </c>
      <c r="L519" s="47">
        <f>IF(ISNA(VLOOKUP(D519,'[2]stock-take'!$M:$Q,3,FALSE)), 0, VLOOKUP(D519,'[2]stock-take'!$M:$Q,3,FALSE))</f>
        <v>0</v>
      </c>
      <c r="M519" s="48" t="str">
        <f t="shared" si="22"/>
        <v xml:space="preserve"> </v>
      </c>
      <c r="N519" s="39" t="str">
        <f t="shared" si="23"/>
        <v xml:space="preserve"> </v>
      </c>
    </row>
    <row r="520" spans="1:14">
      <c r="A520" s="37">
        <f t="shared" si="21"/>
        <v>509</v>
      </c>
      <c r="G520" s="48" t="str">
        <f>IF(F520=""," ",IF(ISNA(VLOOKUP(D520,'[2]stock-take'!$A:$E,4,FALSE)), "OUT OF STOCK", VLOOKUP(D520,'[2]stock-take'!$A:$E,4,FALSE)))</f>
        <v xml:space="preserve"> </v>
      </c>
      <c r="H520" s="48">
        <f>IF(ISNA(VLOOKUP(D520,'[2]stock-take'!$A:$E,3,FALSE)), 0, VLOOKUP(D520,'[2]stock-take'!$A:$E,3,FALSE))</f>
        <v>0</v>
      </c>
      <c r="I520" s="48" t="str">
        <f>IF(F520="", " ",IF(ISNA(VLOOKUP(D520,'[2]stock-take'!$G:$K,4,FALSE)), "OUT OF STOCK", VLOOKUP(D520,'[2]stock-take'!$G:$K,4,FALSE)))</f>
        <v xml:space="preserve"> </v>
      </c>
      <c r="J520" s="39">
        <f>IF(ISNA(VLOOKUP(D520,'[2]stock-take'!$G:$K,3,FALSE)), 0, VLOOKUP(D520,'[2]stock-take'!$G:$K,3,FALSE))</f>
        <v>0</v>
      </c>
      <c r="K520" s="49" t="str">
        <f>IF(F520="", " ", IF(ISNA(VLOOKUP(D520,'[2]stock-take'!$M:$Q,4,FALSE)), "OUT OF STOCK", VLOOKUP(D520,'[2]stock-take'!$M:$Q,4,FALSE)))</f>
        <v xml:space="preserve"> </v>
      </c>
      <c r="L520" s="47">
        <f>IF(ISNA(VLOOKUP(D520,'[2]stock-take'!$M:$Q,3,FALSE)), 0, VLOOKUP(D520,'[2]stock-take'!$M:$Q,3,FALSE))</f>
        <v>0</v>
      </c>
      <c r="M520" s="48" t="str">
        <f t="shared" si="22"/>
        <v xml:space="preserve"> </v>
      </c>
      <c r="N520" s="39" t="str">
        <f t="shared" si="23"/>
        <v xml:space="preserve"> </v>
      </c>
    </row>
    <row r="521" spans="1:14">
      <c r="A521" s="37">
        <f t="shared" si="21"/>
        <v>510</v>
      </c>
      <c r="G521" s="48" t="str">
        <f>IF(F521=""," ",IF(ISNA(VLOOKUP(D521,'[2]stock-take'!$A:$E,4,FALSE)), "OUT OF STOCK", VLOOKUP(D521,'[2]stock-take'!$A:$E,4,FALSE)))</f>
        <v xml:space="preserve"> </v>
      </c>
      <c r="H521" s="48">
        <f>IF(ISNA(VLOOKUP(D521,'[2]stock-take'!$A:$E,3,FALSE)), 0, VLOOKUP(D521,'[2]stock-take'!$A:$E,3,FALSE))</f>
        <v>0</v>
      </c>
      <c r="I521" s="48" t="str">
        <f>IF(F521="", " ",IF(ISNA(VLOOKUP(D521,'[2]stock-take'!$G:$K,4,FALSE)), "OUT OF STOCK", VLOOKUP(D521,'[2]stock-take'!$G:$K,4,FALSE)))</f>
        <v xml:space="preserve"> </v>
      </c>
      <c r="J521" s="39">
        <f>IF(ISNA(VLOOKUP(D521,'[2]stock-take'!$G:$K,3,FALSE)), 0, VLOOKUP(D521,'[2]stock-take'!$G:$K,3,FALSE))</f>
        <v>0</v>
      </c>
      <c r="K521" s="49" t="str">
        <f>IF(F521="", " ", IF(ISNA(VLOOKUP(D521,'[2]stock-take'!$M:$Q,4,FALSE)), "OUT OF STOCK", VLOOKUP(D521,'[2]stock-take'!$M:$Q,4,FALSE)))</f>
        <v xml:space="preserve"> </v>
      </c>
      <c r="L521" s="47">
        <f>IF(ISNA(VLOOKUP(D521,'[2]stock-take'!$M:$Q,3,FALSE)), 0, VLOOKUP(D521,'[2]stock-take'!$M:$Q,3,FALSE))</f>
        <v>0</v>
      </c>
      <c r="M521" s="48" t="str">
        <f t="shared" si="22"/>
        <v xml:space="preserve"> </v>
      </c>
      <c r="N521" s="39" t="str">
        <f t="shared" si="23"/>
        <v xml:space="preserve"> </v>
      </c>
    </row>
    <row r="522" spans="1:14">
      <c r="A522" s="37">
        <f t="shared" si="21"/>
        <v>511</v>
      </c>
      <c r="G522" s="48" t="str">
        <f>IF(F522=""," ",IF(ISNA(VLOOKUP(D522,'[2]stock-take'!$A:$E,4,FALSE)), "OUT OF STOCK", VLOOKUP(D522,'[2]stock-take'!$A:$E,4,FALSE)))</f>
        <v xml:space="preserve"> </v>
      </c>
      <c r="H522" s="48">
        <f>IF(ISNA(VLOOKUP(D522,'[2]stock-take'!$A:$E,3,FALSE)), 0, VLOOKUP(D522,'[2]stock-take'!$A:$E,3,FALSE))</f>
        <v>0</v>
      </c>
      <c r="I522" s="48" t="str">
        <f>IF(F522="", " ",IF(ISNA(VLOOKUP(D522,'[2]stock-take'!$G:$K,4,FALSE)), "OUT OF STOCK", VLOOKUP(D522,'[2]stock-take'!$G:$K,4,FALSE)))</f>
        <v xml:space="preserve"> </v>
      </c>
      <c r="J522" s="39">
        <f>IF(ISNA(VLOOKUP(D522,'[2]stock-take'!$G:$K,3,FALSE)), 0, VLOOKUP(D522,'[2]stock-take'!$G:$K,3,FALSE))</f>
        <v>0</v>
      </c>
      <c r="K522" s="49" t="str">
        <f>IF(F522="", " ", IF(ISNA(VLOOKUP(D522,'[2]stock-take'!$M:$Q,4,FALSE)), "OUT OF STOCK", VLOOKUP(D522,'[2]stock-take'!$M:$Q,4,FALSE)))</f>
        <v xml:space="preserve"> </v>
      </c>
      <c r="L522" s="47">
        <f>IF(ISNA(VLOOKUP(D522,'[2]stock-take'!$M:$Q,3,FALSE)), 0, VLOOKUP(D522,'[2]stock-take'!$M:$Q,3,FALSE))</f>
        <v>0</v>
      </c>
      <c r="M522" s="48" t="str">
        <f t="shared" si="22"/>
        <v xml:space="preserve"> </v>
      </c>
      <c r="N522" s="39" t="str">
        <f t="shared" si="23"/>
        <v xml:space="preserve"> </v>
      </c>
    </row>
    <row r="523" spans="1:14">
      <c r="A523" s="37">
        <f t="shared" si="21"/>
        <v>512</v>
      </c>
      <c r="G523" s="48" t="str">
        <f>IF(F523=""," ",IF(ISNA(VLOOKUP(D523,'[2]stock-take'!$A:$E,4,FALSE)), "OUT OF STOCK", VLOOKUP(D523,'[2]stock-take'!$A:$E,4,FALSE)))</f>
        <v xml:space="preserve"> </v>
      </c>
      <c r="H523" s="48">
        <f>IF(ISNA(VLOOKUP(D523,'[2]stock-take'!$A:$E,3,FALSE)), 0, VLOOKUP(D523,'[2]stock-take'!$A:$E,3,FALSE))</f>
        <v>0</v>
      </c>
      <c r="I523" s="48" t="str">
        <f>IF(F523="", " ",IF(ISNA(VLOOKUP(D523,'[2]stock-take'!$G:$K,4,FALSE)), "OUT OF STOCK", VLOOKUP(D523,'[2]stock-take'!$G:$K,4,FALSE)))</f>
        <v xml:space="preserve"> </v>
      </c>
      <c r="J523" s="39">
        <f>IF(ISNA(VLOOKUP(D523,'[2]stock-take'!$G:$K,3,FALSE)), 0, VLOOKUP(D523,'[2]stock-take'!$G:$K,3,FALSE))</f>
        <v>0</v>
      </c>
      <c r="K523" s="49" t="str">
        <f>IF(F523="", " ", IF(ISNA(VLOOKUP(D523,'[2]stock-take'!$M:$Q,4,FALSE)), "OUT OF STOCK", VLOOKUP(D523,'[2]stock-take'!$M:$Q,4,FALSE)))</f>
        <v xml:space="preserve"> </v>
      </c>
      <c r="L523" s="47">
        <f>IF(ISNA(VLOOKUP(D523,'[2]stock-take'!$M:$Q,3,FALSE)), 0, VLOOKUP(D523,'[2]stock-take'!$M:$Q,3,FALSE))</f>
        <v>0</v>
      </c>
      <c r="M523" s="48" t="str">
        <f t="shared" si="22"/>
        <v xml:space="preserve"> </v>
      </c>
      <c r="N523" s="39" t="str">
        <f t="shared" si="23"/>
        <v xml:space="preserve"> </v>
      </c>
    </row>
    <row r="524" spans="1:14">
      <c r="A524" s="37">
        <f t="shared" ref="A524:A587" si="24">ROW(A524)-11</f>
        <v>513</v>
      </c>
      <c r="G524" s="48" t="str">
        <f>IF(F524=""," ",IF(ISNA(VLOOKUP(D524,'[2]stock-take'!$A:$E,4,FALSE)), "OUT OF STOCK", VLOOKUP(D524,'[2]stock-take'!$A:$E,4,FALSE)))</f>
        <v xml:space="preserve"> </v>
      </c>
      <c r="H524" s="48">
        <f>IF(ISNA(VLOOKUP(D524,'[2]stock-take'!$A:$E,3,FALSE)), 0, VLOOKUP(D524,'[2]stock-take'!$A:$E,3,FALSE))</f>
        <v>0</v>
      </c>
      <c r="I524" s="48" t="str">
        <f>IF(F524="", " ",IF(ISNA(VLOOKUP(D524,'[2]stock-take'!$G:$K,4,FALSE)), "OUT OF STOCK", VLOOKUP(D524,'[2]stock-take'!$G:$K,4,FALSE)))</f>
        <v xml:space="preserve"> </v>
      </c>
      <c r="J524" s="39">
        <f>IF(ISNA(VLOOKUP(D524,'[2]stock-take'!$G:$K,3,FALSE)), 0, VLOOKUP(D524,'[2]stock-take'!$G:$K,3,FALSE))</f>
        <v>0</v>
      </c>
      <c r="K524" s="49" t="str">
        <f>IF(F524="", " ", IF(ISNA(VLOOKUP(D524,'[2]stock-take'!$M:$Q,4,FALSE)), "OUT OF STOCK", VLOOKUP(D524,'[2]stock-take'!$M:$Q,4,FALSE)))</f>
        <v xml:space="preserve"> </v>
      </c>
      <c r="L524" s="47">
        <f>IF(ISNA(VLOOKUP(D524,'[2]stock-take'!$M:$Q,3,FALSE)), 0, VLOOKUP(D524,'[2]stock-take'!$M:$Q,3,FALSE))</f>
        <v>0</v>
      </c>
      <c r="M524" s="48" t="str">
        <f t="shared" si="22"/>
        <v xml:space="preserve"> </v>
      </c>
      <c r="N524" s="39" t="str">
        <f t="shared" si="23"/>
        <v xml:space="preserve"> </v>
      </c>
    </row>
    <row r="525" spans="1:14">
      <c r="A525" s="37">
        <f t="shared" si="24"/>
        <v>514</v>
      </c>
      <c r="G525" s="48" t="str">
        <f>IF(F525=""," ",IF(ISNA(VLOOKUP(D525,'[2]stock-take'!$A:$E,4,FALSE)), "OUT OF STOCK", VLOOKUP(D525,'[2]stock-take'!$A:$E,4,FALSE)))</f>
        <v xml:space="preserve"> </v>
      </c>
      <c r="H525" s="48">
        <f>IF(ISNA(VLOOKUP(D525,'[2]stock-take'!$A:$E,3,FALSE)), 0, VLOOKUP(D525,'[2]stock-take'!$A:$E,3,FALSE))</f>
        <v>0</v>
      </c>
      <c r="I525" s="48" t="str">
        <f>IF(F525="", " ",IF(ISNA(VLOOKUP(D525,'[2]stock-take'!$G:$K,4,FALSE)), "OUT OF STOCK", VLOOKUP(D525,'[2]stock-take'!$G:$K,4,FALSE)))</f>
        <v xml:space="preserve"> </v>
      </c>
      <c r="J525" s="39">
        <f>IF(ISNA(VLOOKUP(D525,'[2]stock-take'!$G:$K,3,FALSE)), 0, VLOOKUP(D525,'[2]stock-take'!$G:$K,3,FALSE))</f>
        <v>0</v>
      </c>
      <c r="K525" s="49" t="str">
        <f>IF(F525="", " ", IF(ISNA(VLOOKUP(D525,'[2]stock-take'!$M:$Q,4,FALSE)), "OUT OF STOCK", VLOOKUP(D525,'[2]stock-take'!$M:$Q,4,FALSE)))</f>
        <v xml:space="preserve"> </v>
      </c>
      <c r="L525" s="47">
        <f>IF(ISNA(VLOOKUP(D525,'[2]stock-take'!$M:$Q,3,FALSE)), 0, VLOOKUP(D525,'[2]stock-take'!$M:$Q,3,FALSE))</f>
        <v>0</v>
      </c>
      <c r="M525" s="48" t="str">
        <f t="shared" ref="M525:M588" si="25">IF(F525=""," ",IF(H525&gt;=F525,"Y",IF(J525&gt;=F525,"Y",IF(L525&gt;=F525,"Y",IF(SUM(H525,J525,L525)&gt;=F525,"Y","N")))))</f>
        <v xml:space="preserve"> </v>
      </c>
      <c r="N525" s="39" t="str">
        <f t="shared" ref="N525:N588" si="26">IF(F525=""," ",IF(H525&gt;=F525,"ILOOM",IF(J525&gt;=F525,"NO.6",IF(L525&gt;=F525,"RMD",IF(SUM(H525,J525,L525)&gt;=F525,"MULTI","LACK")))))</f>
        <v xml:space="preserve"> </v>
      </c>
    </row>
    <row r="526" spans="1:14">
      <c r="A526" s="37">
        <f t="shared" si="24"/>
        <v>515</v>
      </c>
      <c r="G526" s="48" t="str">
        <f>IF(F526=""," ",IF(ISNA(VLOOKUP(D526,'[2]stock-take'!$A:$E,4,FALSE)), "OUT OF STOCK", VLOOKUP(D526,'[2]stock-take'!$A:$E,4,FALSE)))</f>
        <v xml:space="preserve"> </v>
      </c>
      <c r="H526" s="48">
        <f>IF(ISNA(VLOOKUP(D526,'[2]stock-take'!$A:$E,3,FALSE)), 0, VLOOKUP(D526,'[2]stock-take'!$A:$E,3,FALSE))</f>
        <v>0</v>
      </c>
      <c r="I526" s="48" t="str">
        <f>IF(F526="", " ",IF(ISNA(VLOOKUP(D526,'[2]stock-take'!$G:$K,4,FALSE)), "OUT OF STOCK", VLOOKUP(D526,'[2]stock-take'!$G:$K,4,FALSE)))</f>
        <v xml:space="preserve"> </v>
      </c>
      <c r="J526" s="39">
        <f>IF(ISNA(VLOOKUP(D526,'[2]stock-take'!$G:$K,3,FALSE)), 0, VLOOKUP(D526,'[2]stock-take'!$G:$K,3,FALSE))</f>
        <v>0</v>
      </c>
      <c r="K526" s="49" t="str">
        <f>IF(F526="", " ", IF(ISNA(VLOOKUP(D526,'[2]stock-take'!$M:$Q,4,FALSE)), "OUT OF STOCK", VLOOKUP(D526,'[2]stock-take'!$M:$Q,4,FALSE)))</f>
        <v xml:space="preserve"> </v>
      </c>
      <c r="L526" s="47">
        <f>IF(ISNA(VLOOKUP(D526,'[2]stock-take'!$M:$Q,3,FALSE)), 0, VLOOKUP(D526,'[2]stock-take'!$M:$Q,3,FALSE))</f>
        <v>0</v>
      </c>
      <c r="M526" s="48" t="str">
        <f t="shared" si="25"/>
        <v xml:space="preserve"> </v>
      </c>
      <c r="N526" s="39" t="str">
        <f t="shared" si="26"/>
        <v xml:space="preserve"> </v>
      </c>
    </row>
    <row r="527" spans="1:14">
      <c r="A527" s="37">
        <f t="shared" si="24"/>
        <v>516</v>
      </c>
      <c r="G527" s="48" t="str">
        <f>IF(F527=""," ",IF(ISNA(VLOOKUP(D527,'[2]stock-take'!$A:$E,4,FALSE)), "OUT OF STOCK", VLOOKUP(D527,'[2]stock-take'!$A:$E,4,FALSE)))</f>
        <v xml:space="preserve"> </v>
      </c>
      <c r="H527" s="48">
        <f>IF(ISNA(VLOOKUP(D527,'[2]stock-take'!$A:$E,3,FALSE)), 0, VLOOKUP(D527,'[2]stock-take'!$A:$E,3,FALSE))</f>
        <v>0</v>
      </c>
      <c r="I527" s="48" t="str">
        <f>IF(F527="", " ",IF(ISNA(VLOOKUP(D527,'[2]stock-take'!$G:$K,4,FALSE)), "OUT OF STOCK", VLOOKUP(D527,'[2]stock-take'!$G:$K,4,FALSE)))</f>
        <v xml:space="preserve"> </v>
      </c>
      <c r="J527" s="39">
        <f>IF(ISNA(VLOOKUP(D527,'[2]stock-take'!$G:$K,3,FALSE)), 0, VLOOKUP(D527,'[2]stock-take'!$G:$K,3,FALSE))</f>
        <v>0</v>
      </c>
      <c r="K527" s="49" t="str">
        <f>IF(F527="", " ", IF(ISNA(VLOOKUP(D527,'[2]stock-take'!$M:$Q,4,FALSE)), "OUT OF STOCK", VLOOKUP(D527,'[2]stock-take'!$M:$Q,4,FALSE)))</f>
        <v xml:space="preserve"> </v>
      </c>
      <c r="L527" s="47">
        <f>IF(ISNA(VLOOKUP(D527,'[2]stock-take'!$M:$Q,3,FALSE)), 0, VLOOKUP(D527,'[2]stock-take'!$M:$Q,3,FALSE))</f>
        <v>0</v>
      </c>
      <c r="M527" s="48" t="str">
        <f t="shared" si="25"/>
        <v xml:space="preserve"> </v>
      </c>
      <c r="N527" s="39" t="str">
        <f t="shared" si="26"/>
        <v xml:space="preserve"> </v>
      </c>
    </row>
    <row r="528" spans="1:14">
      <c r="A528" s="37">
        <f t="shared" si="24"/>
        <v>517</v>
      </c>
      <c r="G528" s="48" t="str">
        <f>IF(F528=""," ",IF(ISNA(VLOOKUP(D528,'[2]stock-take'!$A:$E,4,FALSE)), "OUT OF STOCK", VLOOKUP(D528,'[2]stock-take'!$A:$E,4,FALSE)))</f>
        <v xml:space="preserve"> </v>
      </c>
      <c r="H528" s="48">
        <f>IF(ISNA(VLOOKUP(D528,'[2]stock-take'!$A:$E,3,FALSE)), 0, VLOOKUP(D528,'[2]stock-take'!$A:$E,3,FALSE))</f>
        <v>0</v>
      </c>
      <c r="I528" s="48" t="str">
        <f>IF(F528="", " ",IF(ISNA(VLOOKUP(D528,'[2]stock-take'!$G:$K,4,FALSE)), "OUT OF STOCK", VLOOKUP(D528,'[2]stock-take'!$G:$K,4,FALSE)))</f>
        <v xml:space="preserve"> </v>
      </c>
      <c r="J528" s="39">
        <f>IF(ISNA(VLOOKUP(D528,'[2]stock-take'!$G:$K,3,FALSE)), 0, VLOOKUP(D528,'[2]stock-take'!$G:$K,3,FALSE))</f>
        <v>0</v>
      </c>
      <c r="K528" s="49" t="str">
        <f>IF(F528="", " ", IF(ISNA(VLOOKUP(D528,'[2]stock-take'!$M:$Q,4,FALSE)), "OUT OF STOCK", VLOOKUP(D528,'[2]stock-take'!$M:$Q,4,FALSE)))</f>
        <v xml:space="preserve"> </v>
      </c>
      <c r="L528" s="47">
        <f>IF(ISNA(VLOOKUP(D528,'[2]stock-take'!$M:$Q,3,FALSE)), 0, VLOOKUP(D528,'[2]stock-take'!$M:$Q,3,FALSE))</f>
        <v>0</v>
      </c>
      <c r="M528" s="48" t="str">
        <f t="shared" si="25"/>
        <v xml:space="preserve"> </v>
      </c>
      <c r="N528" s="39" t="str">
        <f t="shared" si="26"/>
        <v xml:space="preserve"> </v>
      </c>
    </row>
    <row r="529" spans="1:14">
      <c r="A529" s="37">
        <f t="shared" si="24"/>
        <v>518</v>
      </c>
      <c r="G529" s="48" t="str">
        <f>IF(F529=""," ",IF(ISNA(VLOOKUP(D529,'[2]stock-take'!$A:$E,4,FALSE)), "OUT OF STOCK", VLOOKUP(D529,'[2]stock-take'!$A:$E,4,FALSE)))</f>
        <v xml:space="preserve"> </v>
      </c>
      <c r="H529" s="48">
        <f>IF(ISNA(VLOOKUP(D529,'[2]stock-take'!$A:$E,3,FALSE)), 0, VLOOKUP(D529,'[2]stock-take'!$A:$E,3,FALSE))</f>
        <v>0</v>
      </c>
      <c r="I529" s="48" t="str">
        <f>IF(F529="", " ",IF(ISNA(VLOOKUP(D529,'[2]stock-take'!$G:$K,4,FALSE)), "OUT OF STOCK", VLOOKUP(D529,'[2]stock-take'!$G:$K,4,FALSE)))</f>
        <v xml:space="preserve"> </v>
      </c>
      <c r="J529" s="39">
        <f>IF(ISNA(VLOOKUP(D529,'[2]stock-take'!$G:$K,3,FALSE)), 0, VLOOKUP(D529,'[2]stock-take'!$G:$K,3,FALSE))</f>
        <v>0</v>
      </c>
      <c r="K529" s="49" t="str">
        <f>IF(F529="", " ", IF(ISNA(VLOOKUP(D529,'[2]stock-take'!$M:$Q,4,FALSE)), "OUT OF STOCK", VLOOKUP(D529,'[2]stock-take'!$M:$Q,4,FALSE)))</f>
        <v xml:space="preserve"> </v>
      </c>
      <c r="L529" s="47">
        <f>IF(ISNA(VLOOKUP(D529,'[2]stock-take'!$M:$Q,3,FALSE)), 0, VLOOKUP(D529,'[2]stock-take'!$M:$Q,3,FALSE))</f>
        <v>0</v>
      </c>
      <c r="M529" s="48" t="str">
        <f t="shared" si="25"/>
        <v xml:space="preserve"> </v>
      </c>
      <c r="N529" s="39" t="str">
        <f t="shared" si="26"/>
        <v xml:space="preserve"> </v>
      </c>
    </row>
    <row r="530" spans="1:14">
      <c r="A530" s="37">
        <f t="shared" si="24"/>
        <v>519</v>
      </c>
      <c r="G530" s="48" t="str">
        <f>IF(F530=""," ",IF(ISNA(VLOOKUP(D530,'[2]stock-take'!$A:$E,4,FALSE)), "OUT OF STOCK", VLOOKUP(D530,'[2]stock-take'!$A:$E,4,FALSE)))</f>
        <v xml:space="preserve"> </v>
      </c>
      <c r="H530" s="48">
        <f>IF(ISNA(VLOOKUP(D530,'[2]stock-take'!$A:$E,3,FALSE)), 0, VLOOKUP(D530,'[2]stock-take'!$A:$E,3,FALSE))</f>
        <v>0</v>
      </c>
      <c r="I530" s="48" t="str">
        <f>IF(F530="", " ",IF(ISNA(VLOOKUP(D530,'[2]stock-take'!$G:$K,4,FALSE)), "OUT OF STOCK", VLOOKUP(D530,'[2]stock-take'!$G:$K,4,FALSE)))</f>
        <v xml:space="preserve"> </v>
      </c>
      <c r="J530" s="39">
        <f>IF(ISNA(VLOOKUP(D530,'[2]stock-take'!$G:$K,3,FALSE)), 0, VLOOKUP(D530,'[2]stock-take'!$G:$K,3,FALSE))</f>
        <v>0</v>
      </c>
      <c r="K530" s="49" t="str">
        <f>IF(F530="", " ", IF(ISNA(VLOOKUP(D530,'[2]stock-take'!$M:$Q,4,FALSE)), "OUT OF STOCK", VLOOKUP(D530,'[2]stock-take'!$M:$Q,4,FALSE)))</f>
        <v xml:space="preserve"> </v>
      </c>
      <c r="L530" s="47">
        <f>IF(ISNA(VLOOKUP(D530,'[2]stock-take'!$M:$Q,3,FALSE)), 0, VLOOKUP(D530,'[2]stock-take'!$M:$Q,3,FALSE))</f>
        <v>0</v>
      </c>
      <c r="M530" s="48" t="str">
        <f t="shared" si="25"/>
        <v xml:space="preserve"> </v>
      </c>
      <c r="N530" s="39" t="str">
        <f t="shared" si="26"/>
        <v xml:space="preserve"> </v>
      </c>
    </row>
    <row r="531" spans="1:14">
      <c r="A531" s="37">
        <f t="shared" si="24"/>
        <v>520</v>
      </c>
      <c r="G531" s="48" t="str">
        <f>IF(F531=""," ",IF(ISNA(VLOOKUP(D531,'[2]stock-take'!$A:$E,4,FALSE)), "OUT OF STOCK", VLOOKUP(D531,'[2]stock-take'!$A:$E,4,FALSE)))</f>
        <v xml:space="preserve"> </v>
      </c>
      <c r="H531" s="48">
        <f>IF(ISNA(VLOOKUP(D531,'[2]stock-take'!$A:$E,3,FALSE)), 0, VLOOKUP(D531,'[2]stock-take'!$A:$E,3,FALSE))</f>
        <v>0</v>
      </c>
      <c r="I531" s="48" t="str">
        <f>IF(F531="", " ",IF(ISNA(VLOOKUP(D531,'[2]stock-take'!$G:$K,4,FALSE)), "OUT OF STOCK", VLOOKUP(D531,'[2]stock-take'!$G:$K,4,FALSE)))</f>
        <v xml:space="preserve"> </v>
      </c>
      <c r="J531" s="39">
        <f>IF(ISNA(VLOOKUP(D531,'[2]stock-take'!$G:$K,3,FALSE)), 0, VLOOKUP(D531,'[2]stock-take'!$G:$K,3,FALSE))</f>
        <v>0</v>
      </c>
      <c r="K531" s="49" t="str">
        <f>IF(F531="", " ", IF(ISNA(VLOOKUP(D531,'[2]stock-take'!$M:$Q,4,FALSE)), "OUT OF STOCK", VLOOKUP(D531,'[2]stock-take'!$M:$Q,4,FALSE)))</f>
        <v xml:space="preserve"> </v>
      </c>
      <c r="L531" s="47">
        <f>IF(ISNA(VLOOKUP(D531,'[2]stock-take'!$M:$Q,3,FALSE)), 0, VLOOKUP(D531,'[2]stock-take'!$M:$Q,3,FALSE))</f>
        <v>0</v>
      </c>
      <c r="M531" s="48" t="str">
        <f t="shared" si="25"/>
        <v xml:space="preserve"> </v>
      </c>
      <c r="N531" s="39" t="str">
        <f t="shared" si="26"/>
        <v xml:space="preserve"> </v>
      </c>
    </row>
    <row r="532" spans="1:14">
      <c r="A532" s="37">
        <f t="shared" si="24"/>
        <v>521</v>
      </c>
      <c r="G532" s="48" t="str">
        <f>IF(F532=""," ",IF(ISNA(VLOOKUP(D532,'[2]stock-take'!$A:$E,4,FALSE)), "OUT OF STOCK", VLOOKUP(D532,'[2]stock-take'!$A:$E,4,FALSE)))</f>
        <v xml:space="preserve"> </v>
      </c>
      <c r="H532" s="48">
        <f>IF(ISNA(VLOOKUP(D532,'[2]stock-take'!$A:$E,3,FALSE)), 0, VLOOKUP(D532,'[2]stock-take'!$A:$E,3,FALSE))</f>
        <v>0</v>
      </c>
      <c r="I532" s="48" t="str">
        <f>IF(F532="", " ",IF(ISNA(VLOOKUP(D532,'[2]stock-take'!$G:$K,4,FALSE)), "OUT OF STOCK", VLOOKUP(D532,'[2]stock-take'!$G:$K,4,FALSE)))</f>
        <v xml:space="preserve"> </v>
      </c>
      <c r="J532" s="39">
        <f>IF(ISNA(VLOOKUP(D532,'[2]stock-take'!$G:$K,3,FALSE)), 0, VLOOKUP(D532,'[2]stock-take'!$G:$K,3,FALSE))</f>
        <v>0</v>
      </c>
      <c r="K532" s="49" t="str">
        <f>IF(F532="", " ", IF(ISNA(VLOOKUP(D532,'[2]stock-take'!$M:$Q,4,FALSE)), "OUT OF STOCK", VLOOKUP(D532,'[2]stock-take'!$M:$Q,4,FALSE)))</f>
        <v xml:space="preserve"> </v>
      </c>
      <c r="L532" s="47">
        <f>IF(ISNA(VLOOKUP(D532,'[2]stock-take'!$M:$Q,3,FALSE)), 0, VLOOKUP(D532,'[2]stock-take'!$M:$Q,3,FALSE))</f>
        <v>0</v>
      </c>
      <c r="M532" s="48" t="str">
        <f t="shared" si="25"/>
        <v xml:space="preserve"> </v>
      </c>
      <c r="N532" s="39" t="str">
        <f t="shared" si="26"/>
        <v xml:space="preserve"> </v>
      </c>
    </row>
    <row r="533" spans="1:14">
      <c r="A533" s="37">
        <f t="shared" si="24"/>
        <v>522</v>
      </c>
      <c r="G533" s="48" t="str">
        <f>IF(F533=""," ",IF(ISNA(VLOOKUP(D533,'[2]stock-take'!$A:$E,4,FALSE)), "OUT OF STOCK", VLOOKUP(D533,'[2]stock-take'!$A:$E,4,FALSE)))</f>
        <v xml:space="preserve"> </v>
      </c>
      <c r="H533" s="48">
        <f>IF(ISNA(VLOOKUP(D533,'[2]stock-take'!$A:$E,3,FALSE)), 0, VLOOKUP(D533,'[2]stock-take'!$A:$E,3,FALSE))</f>
        <v>0</v>
      </c>
      <c r="I533" s="48" t="str">
        <f>IF(F533="", " ",IF(ISNA(VLOOKUP(D533,'[2]stock-take'!$G:$K,4,FALSE)), "OUT OF STOCK", VLOOKUP(D533,'[2]stock-take'!$G:$K,4,FALSE)))</f>
        <v xml:space="preserve"> </v>
      </c>
      <c r="J533" s="39">
        <f>IF(ISNA(VLOOKUP(D533,'[2]stock-take'!$G:$K,3,FALSE)), 0, VLOOKUP(D533,'[2]stock-take'!$G:$K,3,FALSE))</f>
        <v>0</v>
      </c>
      <c r="K533" s="49" t="str">
        <f>IF(F533="", " ", IF(ISNA(VLOOKUP(D533,'[2]stock-take'!$M:$Q,4,FALSE)), "OUT OF STOCK", VLOOKUP(D533,'[2]stock-take'!$M:$Q,4,FALSE)))</f>
        <v xml:space="preserve"> </v>
      </c>
      <c r="L533" s="47">
        <f>IF(ISNA(VLOOKUP(D533,'[2]stock-take'!$M:$Q,3,FALSE)), 0, VLOOKUP(D533,'[2]stock-take'!$M:$Q,3,FALSE))</f>
        <v>0</v>
      </c>
      <c r="M533" s="48" t="str">
        <f t="shared" si="25"/>
        <v xml:space="preserve"> </v>
      </c>
      <c r="N533" s="39" t="str">
        <f t="shared" si="26"/>
        <v xml:space="preserve"> </v>
      </c>
    </row>
    <row r="534" spans="1:14">
      <c r="A534" s="37">
        <f t="shared" si="24"/>
        <v>523</v>
      </c>
      <c r="G534" s="48" t="str">
        <f>IF(F534=""," ",IF(ISNA(VLOOKUP(D534,'[2]stock-take'!$A:$E,4,FALSE)), "OUT OF STOCK", VLOOKUP(D534,'[2]stock-take'!$A:$E,4,FALSE)))</f>
        <v xml:space="preserve"> </v>
      </c>
      <c r="H534" s="48">
        <f>IF(ISNA(VLOOKUP(D534,'[2]stock-take'!$A:$E,3,FALSE)), 0, VLOOKUP(D534,'[2]stock-take'!$A:$E,3,FALSE))</f>
        <v>0</v>
      </c>
      <c r="I534" s="48" t="str">
        <f>IF(F534="", " ",IF(ISNA(VLOOKUP(D534,'[2]stock-take'!$G:$K,4,FALSE)), "OUT OF STOCK", VLOOKUP(D534,'[2]stock-take'!$G:$K,4,FALSE)))</f>
        <v xml:space="preserve"> </v>
      </c>
      <c r="J534" s="39">
        <f>IF(ISNA(VLOOKUP(D534,'[2]stock-take'!$G:$K,3,FALSE)), 0, VLOOKUP(D534,'[2]stock-take'!$G:$K,3,FALSE))</f>
        <v>0</v>
      </c>
      <c r="K534" s="49" t="str">
        <f>IF(F534="", " ", IF(ISNA(VLOOKUP(D534,'[2]stock-take'!$M:$Q,4,FALSE)), "OUT OF STOCK", VLOOKUP(D534,'[2]stock-take'!$M:$Q,4,FALSE)))</f>
        <v xml:space="preserve"> </v>
      </c>
      <c r="L534" s="47">
        <f>IF(ISNA(VLOOKUP(D534,'[2]stock-take'!$M:$Q,3,FALSE)), 0, VLOOKUP(D534,'[2]stock-take'!$M:$Q,3,FALSE))</f>
        <v>0</v>
      </c>
      <c r="M534" s="48" t="str">
        <f t="shared" si="25"/>
        <v xml:space="preserve"> </v>
      </c>
      <c r="N534" s="39" t="str">
        <f t="shared" si="26"/>
        <v xml:space="preserve"> </v>
      </c>
    </row>
    <row r="535" spans="1:14">
      <c r="A535" s="37">
        <f t="shared" si="24"/>
        <v>524</v>
      </c>
      <c r="G535" s="48" t="str">
        <f>IF(F535=""," ",IF(ISNA(VLOOKUP(D535,'[2]stock-take'!$A:$E,4,FALSE)), "OUT OF STOCK", VLOOKUP(D535,'[2]stock-take'!$A:$E,4,FALSE)))</f>
        <v xml:space="preserve"> </v>
      </c>
      <c r="H535" s="48">
        <f>IF(ISNA(VLOOKUP(D535,'[2]stock-take'!$A:$E,3,FALSE)), 0, VLOOKUP(D535,'[2]stock-take'!$A:$E,3,FALSE))</f>
        <v>0</v>
      </c>
      <c r="I535" s="48" t="str">
        <f>IF(F535="", " ",IF(ISNA(VLOOKUP(D535,'[2]stock-take'!$G:$K,4,FALSE)), "OUT OF STOCK", VLOOKUP(D535,'[2]stock-take'!$G:$K,4,FALSE)))</f>
        <v xml:space="preserve"> </v>
      </c>
      <c r="J535" s="39">
        <f>IF(ISNA(VLOOKUP(D535,'[2]stock-take'!$G:$K,3,FALSE)), 0, VLOOKUP(D535,'[2]stock-take'!$G:$K,3,FALSE))</f>
        <v>0</v>
      </c>
      <c r="K535" s="49" t="str">
        <f>IF(F535="", " ", IF(ISNA(VLOOKUP(D535,'[2]stock-take'!$M:$Q,4,FALSE)), "OUT OF STOCK", VLOOKUP(D535,'[2]stock-take'!$M:$Q,4,FALSE)))</f>
        <v xml:space="preserve"> </v>
      </c>
      <c r="L535" s="47">
        <f>IF(ISNA(VLOOKUP(D535,'[2]stock-take'!$M:$Q,3,FALSE)), 0, VLOOKUP(D535,'[2]stock-take'!$M:$Q,3,FALSE))</f>
        <v>0</v>
      </c>
      <c r="M535" s="48" t="str">
        <f t="shared" si="25"/>
        <v xml:space="preserve"> </v>
      </c>
      <c r="N535" s="39" t="str">
        <f t="shared" si="26"/>
        <v xml:space="preserve"> </v>
      </c>
    </row>
    <row r="536" spans="1:14">
      <c r="A536" s="37">
        <f t="shared" si="24"/>
        <v>525</v>
      </c>
      <c r="G536" s="48" t="str">
        <f>IF(F536=""," ",IF(ISNA(VLOOKUP(D536,'[2]stock-take'!$A:$E,4,FALSE)), "OUT OF STOCK", VLOOKUP(D536,'[2]stock-take'!$A:$E,4,FALSE)))</f>
        <v xml:space="preserve"> </v>
      </c>
      <c r="H536" s="48">
        <f>IF(ISNA(VLOOKUP(D536,'[2]stock-take'!$A:$E,3,FALSE)), 0, VLOOKUP(D536,'[2]stock-take'!$A:$E,3,FALSE))</f>
        <v>0</v>
      </c>
      <c r="I536" s="48" t="str">
        <f>IF(F536="", " ",IF(ISNA(VLOOKUP(D536,'[2]stock-take'!$G:$K,4,FALSE)), "OUT OF STOCK", VLOOKUP(D536,'[2]stock-take'!$G:$K,4,FALSE)))</f>
        <v xml:space="preserve"> </v>
      </c>
      <c r="J536" s="39">
        <f>IF(ISNA(VLOOKUP(D536,'[2]stock-take'!$G:$K,3,FALSE)), 0, VLOOKUP(D536,'[2]stock-take'!$G:$K,3,FALSE))</f>
        <v>0</v>
      </c>
      <c r="K536" s="49" t="str">
        <f>IF(F536="", " ", IF(ISNA(VLOOKUP(D536,'[2]stock-take'!$M:$Q,4,FALSE)), "OUT OF STOCK", VLOOKUP(D536,'[2]stock-take'!$M:$Q,4,FALSE)))</f>
        <v xml:space="preserve"> </v>
      </c>
      <c r="L536" s="47">
        <f>IF(ISNA(VLOOKUP(D536,'[2]stock-take'!$M:$Q,3,FALSE)), 0, VLOOKUP(D536,'[2]stock-take'!$M:$Q,3,FALSE))</f>
        <v>0</v>
      </c>
      <c r="M536" s="48" t="str">
        <f t="shared" si="25"/>
        <v xml:space="preserve"> </v>
      </c>
      <c r="N536" s="39" t="str">
        <f t="shared" si="26"/>
        <v xml:space="preserve"> </v>
      </c>
    </row>
    <row r="537" spans="1:14">
      <c r="A537" s="37">
        <f t="shared" si="24"/>
        <v>526</v>
      </c>
      <c r="G537" s="48" t="str">
        <f>IF(F537=""," ",IF(ISNA(VLOOKUP(D537,'[2]stock-take'!$A:$E,4,FALSE)), "OUT OF STOCK", VLOOKUP(D537,'[2]stock-take'!$A:$E,4,FALSE)))</f>
        <v xml:space="preserve"> </v>
      </c>
      <c r="H537" s="48">
        <f>IF(ISNA(VLOOKUP(D537,'[2]stock-take'!$A:$E,3,FALSE)), 0, VLOOKUP(D537,'[2]stock-take'!$A:$E,3,FALSE))</f>
        <v>0</v>
      </c>
      <c r="I537" s="48" t="str">
        <f>IF(F537="", " ",IF(ISNA(VLOOKUP(D537,'[2]stock-take'!$G:$K,4,FALSE)), "OUT OF STOCK", VLOOKUP(D537,'[2]stock-take'!$G:$K,4,FALSE)))</f>
        <v xml:space="preserve"> </v>
      </c>
      <c r="J537" s="39">
        <f>IF(ISNA(VLOOKUP(D537,'[2]stock-take'!$G:$K,3,FALSE)), 0, VLOOKUP(D537,'[2]stock-take'!$G:$K,3,FALSE))</f>
        <v>0</v>
      </c>
      <c r="K537" s="49" t="str">
        <f>IF(F537="", " ", IF(ISNA(VLOOKUP(D537,'[2]stock-take'!$M:$Q,4,FALSE)), "OUT OF STOCK", VLOOKUP(D537,'[2]stock-take'!$M:$Q,4,FALSE)))</f>
        <v xml:space="preserve"> </v>
      </c>
      <c r="L537" s="47">
        <f>IF(ISNA(VLOOKUP(D537,'[2]stock-take'!$M:$Q,3,FALSE)), 0, VLOOKUP(D537,'[2]stock-take'!$M:$Q,3,FALSE))</f>
        <v>0</v>
      </c>
      <c r="M537" s="48" t="str">
        <f t="shared" si="25"/>
        <v xml:space="preserve"> </v>
      </c>
      <c r="N537" s="39" t="str">
        <f t="shared" si="26"/>
        <v xml:space="preserve"> </v>
      </c>
    </row>
    <row r="538" spans="1:14">
      <c r="A538" s="37">
        <f t="shared" si="24"/>
        <v>527</v>
      </c>
      <c r="G538" s="48" t="str">
        <f>IF(F538=""," ",IF(ISNA(VLOOKUP(D538,'[2]stock-take'!$A:$E,4,FALSE)), "OUT OF STOCK", VLOOKUP(D538,'[2]stock-take'!$A:$E,4,FALSE)))</f>
        <v xml:space="preserve"> </v>
      </c>
      <c r="H538" s="48">
        <f>IF(ISNA(VLOOKUP(D538,'[2]stock-take'!$A:$E,3,FALSE)), 0, VLOOKUP(D538,'[2]stock-take'!$A:$E,3,FALSE))</f>
        <v>0</v>
      </c>
      <c r="I538" s="48" t="str">
        <f>IF(F538="", " ",IF(ISNA(VLOOKUP(D538,'[2]stock-take'!$G:$K,4,FALSE)), "OUT OF STOCK", VLOOKUP(D538,'[2]stock-take'!$G:$K,4,FALSE)))</f>
        <v xml:space="preserve"> </v>
      </c>
      <c r="J538" s="39">
        <f>IF(ISNA(VLOOKUP(D538,'[2]stock-take'!$G:$K,3,FALSE)), 0, VLOOKUP(D538,'[2]stock-take'!$G:$K,3,FALSE))</f>
        <v>0</v>
      </c>
      <c r="K538" s="49" t="str">
        <f>IF(F538="", " ", IF(ISNA(VLOOKUP(D538,'[2]stock-take'!$M:$Q,4,FALSE)), "OUT OF STOCK", VLOOKUP(D538,'[2]stock-take'!$M:$Q,4,FALSE)))</f>
        <v xml:space="preserve"> </v>
      </c>
      <c r="L538" s="47">
        <f>IF(ISNA(VLOOKUP(D538,'[2]stock-take'!$M:$Q,3,FALSE)), 0, VLOOKUP(D538,'[2]stock-take'!$M:$Q,3,FALSE))</f>
        <v>0</v>
      </c>
      <c r="M538" s="48" t="str">
        <f t="shared" si="25"/>
        <v xml:space="preserve"> </v>
      </c>
      <c r="N538" s="39" t="str">
        <f t="shared" si="26"/>
        <v xml:space="preserve"> </v>
      </c>
    </row>
    <row r="539" spans="1:14">
      <c r="A539" s="37">
        <f t="shared" si="24"/>
        <v>528</v>
      </c>
      <c r="G539" s="48" t="str">
        <f>IF(F539=""," ",IF(ISNA(VLOOKUP(D539,'[2]stock-take'!$A:$E,4,FALSE)), "OUT OF STOCK", VLOOKUP(D539,'[2]stock-take'!$A:$E,4,FALSE)))</f>
        <v xml:space="preserve"> </v>
      </c>
      <c r="H539" s="48">
        <f>IF(ISNA(VLOOKUP(D539,'[2]stock-take'!$A:$E,3,FALSE)), 0, VLOOKUP(D539,'[2]stock-take'!$A:$E,3,FALSE))</f>
        <v>0</v>
      </c>
      <c r="I539" s="48" t="str">
        <f>IF(F539="", " ",IF(ISNA(VLOOKUP(D539,'[2]stock-take'!$G:$K,4,FALSE)), "OUT OF STOCK", VLOOKUP(D539,'[2]stock-take'!$G:$K,4,FALSE)))</f>
        <v xml:space="preserve"> </v>
      </c>
      <c r="J539" s="39">
        <f>IF(ISNA(VLOOKUP(D539,'[2]stock-take'!$G:$K,3,FALSE)), 0, VLOOKUP(D539,'[2]stock-take'!$G:$K,3,FALSE))</f>
        <v>0</v>
      </c>
      <c r="K539" s="49" t="str">
        <f>IF(F539="", " ", IF(ISNA(VLOOKUP(D539,'[2]stock-take'!$M:$Q,4,FALSE)), "OUT OF STOCK", VLOOKUP(D539,'[2]stock-take'!$M:$Q,4,FALSE)))</f>
        <v xml:space="preserve"> </v>
      </c>
      <c r="L539" s="47">
        <f>IF(ISNA(VLOOKUP(D539,'[2]stock-take'!$M:$Q,3,FALSE)), 0, VLOOKUP(D539,'[2]stock-take'!$M:$Q,3,FALSE))</f>
        <v>0</v>
      </c>
      <c r="M539" s="48" t="str">
        <f t="shared" si="25"/>
        <v xml:space="preserve"> </v>
      </c>
      <c r="N539" s="39" t="str">
        <f t="shared" si="26"/>
        <v xml:space="preserve"> </v>
      </c>
    </row>
    <row r="540" spans="1:14">
      <c r="A540" s="37">
        <f t="shared" si="24"/>
        <v>529</v>
      </c>
      <c r="G540" s="48" t="str">
        <f>IF(F540=""," ",IF(ISNA(VLOOKUP(D540,'[2]stock-take'!$A:$E,4,FALSE)), "OUT OF STOCK", VLOOKUP(D540,'[2]stock-take'!$A:$E,4,FALSE)))</f>
        <v xml:space="preserve"> </v>
      </c>
      <c r="H540" s="48">
        <f>IF(ISNA(VLOOKUP(D540,'[2]stock-take'!$A:$E,3,FALSE)), 0, VLOOKUP(D540,'[2]stock-take'!$A:$E,3,FALSE))</f>
        <v>0</v>
      </c>
      <c r="I540" s="48" t="str">
        <f>IF(F540="", " ",IF(ISNA(VLOOKUP(D540,'[2]stock-take'!$G:$K,4,FALSE)), "OUT OF STOCK", VLOOKUP(D540,'[2]stock-take'!$G:$K,4,FALSE)))</f>
        <v xml:space="preserve"> </v>
      </c>
      <c r="J540" s="39">
        <f>IF(ISNA(VLOOKUP(D540,'[2]stock-take'!$G:$K,3,FALSE)), 0, VLOOKUP(D540,'[2]stock-take'!$G:$K,3,FALSE))</f>
        <v>0</v>
      </c>
      <c r="K540" s="49" t="str">
        <f>IF(F540="", " ", IF(ISNA(VLOOKUP(D540,'[2]stock-take'!$M:$Q,4,FALSE)), "OUT OF STOCK", VLOOKUP(D540,'[2]stock-take'!$M:$Q,4,FALSE)))</f>
        <v xml:space="preserve"> </v>
      </c>
      <c r="L540" s="47">
        <f>IF(ISNA(VLOOKUP(D540,'[2]stock-take'!$M:$Q,3,FALSE)), 0, VLOOKUP(D540,'[2]stock-take'!$M:$Q,3,FALSE))</f>
        <v>0</v>
      </c>
      <c r="M540" s="48" t="str">
        <f t="shared" si="25"/>
        <v xml:space="preserve"> </v>
      </c>
      <c r="N540" s="39" t="str">
        <f t="shared" si="26"/>
        <v xml:space="preserve"> </v>
      </c>
    </row>
    <row r="541" spans="1:14">
      <c r="A541" s="37">
        <f t="shared" si="24"/>
        <v>530</v>
      </c>
      <c r="G541" s="48" t="str">
        <f>IF(F541=""," ",IF(ISNA(VLOOKUP(D541,'[2]stock-take'!$A:$E,4,FALSE)), "OUT OF STOCK", VLOOKUP(D541,'[2]stock-take'!$A:$E,4,FALSE)))</f>
        <v xml:space="preserve"> </v>
      </c>
      <c r="H541" s="48">
        <f>IF(ISNA(VLOOKUP(D541,'[2]stock-take'!$A:$E,3,FALSE)), 0, VLOOKUP(D541,'[2]stock-take'!$A:$E,3,FALSE))</f>
        <v>0</v>
      </c>
      <c r="I541" s="48" t="str">
        <f>IF(F541="", " ",IF(ISNA(VLOOKUP(D541,'[2]stock-take'!$G:$K,4,FALSE)), "OUT OF STOCK", VLOOKUP(D541,'[2]stock-take'!$G:$K,4,FALSE)))</f>
        <v xml:space="preserve"> </v>
      </c>
      <c r="J541" s="39">
        <f>IF(ISNA(VLOOKUP(D541,'[2]stock-take'!$G:$K,3,FALSE)), 0, VLOOKUP(D541,'[2]stock-take'!$G:$K,3,FALSE))</f>
        <v>0</v>
      </c>
      <c r="K541" s="49" t="str">
        <f>IF(F541="", " ", IF(ISNA(VLOOKUP(D541,'[2]stock-take'!$M:$Q,4,FALSE)), "OUT OF STOCK", VLOOKUP(D541,'[2]stock-take'!$M:$Q,4,FALSE)))</f>
        <v xml:space="preserve"> </v>
      </c>
      <c r="L541" s="47">
        <f>IF(ISNA(VLOOKUP(D541,'[2]stock-take'!$M:$Q,3,FALSE)), 0, VLOOKUP(D541,'[2]stock-take'!$M:$Q,3,FALSE))</f>
        <v>0</v>
      </c>
      <c r="M541" s="48" t="str">
        <f t="shared" si="25"/>
        <v xml:space="preserve"> </v>
      </c>
      <c r="N541" s="39" t="str">
        <f t="shared" si="26"/>
        <v xml:space="preserve"> </v>
      </c>
    </row>
    <row r="542" spans="1:14">
      <c r="A542" s="37">
        <f t="shared" si="24"/>
        <v>531</v>
      </c>
      <c r="G542" s="48" t="str">
        <f>IF(F542=""," ",IF(ISNA(VLOOKUP(D542,'[2]stock-take'!$A:$E,4,FALSE)), "OUT OF STOCK", VLOOKUP(D542,'[2]stock-take'!$A:$E,4,FALSE)))</f>
        <v xml:space="preserve"> </v>
      </c>
      <c r="H542" s="48">
        <f>IF(ISNA(VLOOKUP(D542,'[2]stock-take'!$A:$E,3,FALSE)), 0, VLOOKUP(D542,'[2]stock-take'!$A:$E,3,FALSE))</f>
        <v>0</v>
      </c>
      <c r="I542" s="48" t="str">
        <f>IF(F542="", " ",IF(ISNA(VLOOKUP(D542,'[2]stock-take'!$G:$K,4,FALSE)), "OUT OF STOCK", VLOOKUP(D542,'[2]stock-take'!$G:$K,4,FALSE)))</f>
        <v xml:space="preserve"> </v>
      </c>
      <c r="J542" s="39">
        <f>IF(ISNA(VLOOKUP(D542,'[2]stock-take'!$G:$K,3,FALSE)), 0, VLOOKUP(D542,'[2]stock-take'!$G:$K,3,FALSE))</f>
        <v>0</v>
      </c>
      <c r="K542" s="49" t="str">
        <f>IF(F542="", " ", IF(ISNA(VLOOKUP(D542,'[2]stock-take'!$M:$Q,4,FALSE)), "OUT OF STOCK", VLOOKUP(D542,'[2]stock-take'!$M:$Q,4,FALSE)))</f>
        <v xml:space="preserve"> </v>
      </c>
      <c r="L542" s="47">
        <f>IF(ISNA(VLOOKUP(D542,'[2]stock-take'!$M:$Q,3,FALSE)), 0, VLOOKUP(D542,'[2]stock-take'!$M:$Q,3,FALSE))</f>
        <v>0</v>
      </c>
      <c r="M542" s="48" t="str">
        <f t="shared" si="25"/>
        <v xml:space="preserve"> </v>
      </c>
      <c r="N542" s="39" t="str">
        <f t="shared" si="26"/>
        <v xml:space="preserve"> </v>
      </c>
    </row>
    <row r="543" spans="1:14">
      <c r="A543" s="37">
        <f t="shared" si="24"/>
        <v>532</v>
      </c>
      <c r="G543" s="48" t="str">
        <f>IF(F543=""," ",IF(ISNA(VLOOKUP(D543,'[2]stock-take'!$A:$E,4,FALSE)), "OUT OF STOCK", VLOOKUP(D543,'[2]stock-take'!$A:$E,4,FALSE)))</f>
        <v xml:space="preserve"> </v>
      </c>
      <c r="H543" s="48">
        <f>IF(ISNA(VLOOKUP(D543,'[2]stock-take'!$A:$E,3,FALSE)), 0, VLOOKUP(D543,'[2]stock-take'!$A:$E,3,FALSE))</f>
        <v>0</v>
      </c>
      <c r="I543" s="48" t="str">
        <f>IF(F543="", " ",IF(ISNA(VLOOKUP(D543,'[2]stock-take'!$G:$K,4,FALSE)), "OUT OF STOCK", VLOOKUP(D543,'[2]stock-take'!$G:$K,4,FALSE)))</f>
        <v xml:space="preserve"> </v>
      </c>
      <c r="J543" s="39">
        <f>IF(ISNA(VLOOKUP(D543,'[2]stock-take'!$G:$K,3,FALSE)), 0, VLOOKUP(D543,'[2]stock-take'!$G:$K,3,FALSE))</f>
        <v>0</v>
      </c>
      <c r="K543" s="49" t="str">
        <f>IF(F543="", " ", IF(ISNA(VLOOKUP(D543,'[2]stock-take'!$M:$Q,4,FALSE)), "OUT OF STOCK", VLOOKUP(D543,'[2]stock-take'!$M:$Q,4,FALSE)))</f>
        <v xml:space="preserve"> </v>
      </c>
      <c r="L543" s="47">
        <f>IF(ISNA(VLOOKUP(D543,'[2]stock-take'!$M:$Q,3,FALSE)), 0, VLOOKUP(D543,'[2]stock-take'!$M:$Q,3,FALSE))</f>
        <v>0</v>
      </c>
      <c r="M543" s="48" t="str">
        <f t="shared" si="25"/>
        <v xml:space="preserve"> </v>
      </c>
      <c r="N543" s="39" t="str">
        <f t="shared" si="26"/>
        <v xml:space="preserve"> </v>
      </c>
    </row>
    <row r="544" spans="1:14">
      <c r="A544" s="37">
        <f t="shared" si="24"/>
        <v>533</v>
      </c>
      <c r="G544" s="48" t="str">
        <f>IF(F544=""," ",IF(ISNA(VLOOKUP(D544,'[2]stock-take'!$A:$E,4,FALSE)), "OUT OF STOCK", VLOOKUP(D544,'[2]stock-take'!$A:$E,4,FALSE)))</f>
        <v xml:space="preserve"> </v>
      </c>
      <c r="H544" s="48">
        <f>IF(ISNA(VLOOKUP(D544,'[2]stock-take'!$A:$E,3,FALSE)), 0, VLOOKUP(D544,'[2]stock-take'!$A:$E,3,FALSE))</f>
        <v>0</v>
      </c>
      <c r="I544" s="48" t="str">
        <f>IF(F544="", " ",IF(ISNA(VLOOKUP(D544,'[2]stock-take'!$G:$K,4,FALSE)), "OUT OF STOCK", VLOOKUP(D544,'[2]stock-take'!$G:$K,4,FALSE)))</f>
        <v xml:space="preserve"> </v>
      </c>
      <c r="J544" s="39">
        <f>IF(ISNA(VLOOKUP(D544,'[2]stock-take'!$G:$K,3,FALSE)), 0, VLOOKUP(D544,'[2]stock-take'!$G:$K,3,FALSE))</f>
        <v>0</v>
      </c>
      <c r="K544" s="49" t="str">
        <f>IF(F544="", " ", IF(ISNA(VLOOKUP(D544,'[2]stock-take'!$M:$Q,4,FALSE)), "OUT OF STOCK", VLOOKUP(D544,'[2]stock-take'!$M:$Q,4,FALSE)))</f>
        <v xml:space="preserve"> </v>
      </c>
      <c r="L544" s="47">
        <f>IF(ISNA(VLOOKUP(D544,'[2]stock-take'!$M:$Q,3,FALSE)), 0, VLOOKUP(D544,'[2]stock-take'!$M:$Q,3,FALSE))</f>
        <v>0</v>
      </c>
      <c r="M544" s="48" t="str">
        <f t="shared" si="25"/>
        <v xml:space="preserve"> </v>
      </c>
      <c r="N544" s="39" t="str">
        <f t="shared" si="26"/>
        <v xml:space="preserve"> </v>
      </c>
    </row>
    <row r="545" spans="1:14">
      <c r="A545" s="37">
        <f t="shared" si="24"/>
        <v>534</v>
      </c>
      <c r="G545" s="48" t="str">
        <f>IF(F545=""," ",IF(ISNA(VLOOKUP(D545,'[2]stock-take'!$A:$E,4,FALSE)), "OUT OF STOCK", VLOOKUP(D545,'[2]stock-take'!$A:$E,4,FALSE)))</f>
        <v xml:space="preserve"> </v>
      </c>
      <c r="H545" s="48">
        <f>IF(ISNA(VLOOKUP(D545,'[2]stock-take'!$A:$E,3,FALSE)), 0, VLOOKUP(D545,'[2]stock-take'!$A:$E,3,FALSE))</f>
        <v>0</v>
      </c>
      <c r="I545" s="48" t="str">
        <f>IF(F545="", " ",IF(ISNA(VLOOKUP(D545,'[2]stock-take'!$G:$K,4,FALSE)), "OUT OF STOCK", VLOOKUP(D545,'[2]stock-take'!$G:$K,4,FALSE)))</f>
        <v xml:space="preserve"> </v>
      </c>
      <c r="J545" s="39">
        <f>IF(ISNA(VLOOKUP(D545,'[2]stock-take'!$G:$K,3,FALSE)), 0, VLOOKUP(D545,'[2]stock-take'!$G:$K,3,FALSE))</f>
        <v>0</v>
      </c>
      <c r="K545" s="49" t="str">
        <f>IF(F545="", " ", IF(ISNA(VLOOKUP(D545,'[2]stock-take'!$M:$Q,4,FALSE)), "OUT OF STOCK", VLOOKUP(D545,'[2]stock-take'!$M:$Q,4,FALSE)))</f>
        <v xml:space="preserve"> </v>
      </c>
      <c r="L545" s="47">
        <f>IF(ISNA(VLOOKUP(D545,'[2]stock-take'!$M:$Q,3,FALSE)), 0, VLOOKUP(D545,'[2]stock-take'!$M:$Q,3,FALSE))</f>
        <v>0</v>
      </c>
      <c r="M545" s="48" t="str">
        <f t="shared" si="25"/>
        <v xml:space="preserve"> </v>
      </c>
      <c r="N545" s="39" t="str">
        <f t="shared" si="26"/>
        <v xml:space="preserve"> </v>
      </c>
    </row>
    <row r="546" spans="1:14">
      <c r="A546" s="37">
        <f t="shared" si="24"/>
        <v>535</v>
      </c>
      <c r="G546" s="48" t="str">
        <f>IF(F546=""," ",IF(ISNA(VLOOKUP(D546,'[2]stock-take'!$A:$E,4,FALSE)), "OUT OF STOCK", VLOOKUP(D546,'[2]stock-take'!$A:$E,4,FALSE)))</f>
        <v xml:space="preserve"> </v>
      </c>
      <c r="H546" s="48">
        <f>IF(ISNA(VLOOKUP(D546,'[2]stock-take'!$A:$E,3,FALSE)), 0, VLOOKUP(D546,'[2]stock-take'!$A:$E,3,FALSE))</f>
        <v>0</v>
      </c>
      <c r="I546" s="48" t="str">
        <f>IF(F546="", " ",IF(ISNA(VLOOKUP(D546,'[2]stock-take'!$G:$K,4,FALSE)), "OUT OF STOCK", VLOOKUP(D546,'[2]stock-take'!$G:$K,4,FALSE)))</f>
        <v xml:space="preserve"> </v>
      </c>
      <c r="J546" s="39">
        <f>IF(ISNA(VLOOKUP(D546,'[2]stock-take'!$G:$K,3,FALSE)), 0, VLOOKUP(D546,'[2]stock-take'!$G:$K,3,FALSE))</f>
        <v>0</v>
      </c>
      <c r="K546" s="49" t="str">
        <f>IF(F546="", " ", IF(ISNA(VLOOKUP(D546,'[2]stock-take'!$M:$Q,4,FALSE)), "OUT OF STOCK", VLOOKUP(D546,'[2]stock-take'!$M:$Q,4,FALSE)))</f>
        <v xml:space="preserve"> </v>
      </c>
      <c r="L546" s="47">
        <f>IF(ISNA(VLOOKUP(D546,'[2]stock-take'!$M:$Q,3,FALSE)), 0, VLOOKUP(D546,'[2]stock-take'!$M:$Q,3,FALSE))</f>
        <v>0</v>
      </c>
      <c r="M546" s="48" t="str">
        <f t="shared" si="25"/>
        <v xml:space="preserve"> </v>
      </c>
      <c r="N546" s="39" t="str">
        <f t="shared" si="26"/>
        <v xml:space="preserve"> </v>
      </c>
    </row>
    <row r="547" spans="1:14">
      <c r="A547" s="37">
        <f t="shared" si="24"/>
        <v>536</v>
      </c>
      <c r="G547" s="48" t="str">
        <f>IF(F547=""," ",IF(ISNA(VLOOKUP(D547,'[2]stock-take'!$A:$E,4,FALSE)), "OUT OF STOCK", VLOOKUP(D547,'[2]stock-take'!$A:$E,4,FALSE)))</f>
        <v xml:space="preserve"> </v>
      </c>
      <c r="H547" s="48">
        <f>IF(ISNA(VLOOKUP(D547,'[2]stock-take'!$A:$E,3,FALSE)), 0, VLOOKUP(D547,'[2]stock-take'!$A:$E,3,FALSE))</f>
        <v>0</v>
      </c>
      <c r="I547" s="48" t="str">
        <f>IF(F547="", " ",IF(ISNA(VLOOKUP(D547,'[2]stock-take'!$G:$K,4,FALSE)), "OUT OF STOCK", VLOOKUP(D547,'[2]stock-take'!$G:$K,4,FALSE)))</f>
        <v xml:space="preserve"> </v>
      </c>
      <c r="J547" s="39">
        <f>IF(ISNA(VLOOKUP(D547,'[2]stock-take'!$G:$K,3,FALSE)), 0, VLOOKUP(D547,'[2]stock-take'!$G:$K,3,FALSE))</f>
        <v>0</v>
      </c>
      <c r="K547" s="49" t="str">
        <f>IF(F547="", " ", IF(ISNA(VLOOKUP(D547,'[2]stock-take'!$M:$Q,4,FALSE)), "OUT OF STOCK", VLOOKUP(D547,'[2]stock-take'!$M:$Q,4,FALSE)))</f>
        <v xml:space="preserve"> </v>
      </c>
      <c r="L547" s="47">
        <f>IF(ISNA(VLOOKUP(D547,'[2]stock-take'!$M:$Q,3,FALSE)), 0, VLOOKUP(D547,'[2]stock-take'!$M:$Q,3,FALSE))</f>
        <v>0</v>
      </c>
      <c r="M547" s="48" t="str">
        <f t="shared" si="25"/>
        <v xml:space="preserve"> </v>
      </c>
      <c r="N547" s="39" t="str">
        <f t="shared" si="26"/>
        <v xml:space="preserve"> </v>
      </c>
    </row>
    <row r="548" spans="1:14">
      <c r="A548" s="37">
        <f t="shared" si="24"/>
        <v>537</v>
      </c>
      <c r="G548" s="48" t="str">
        <f>IF(F548=""," ",IF(ISNA(VLOOKUP(D548,'[2]stock-take'!$A:$E,4,FALSE)), "OUT OF STOCK", VLOOKUP(D548,'[2]stock-take'!$A:$E,4,FALSE)))</f>
        <v xml:space="preserve"> </v>
      </c>
      <c r="H548" s="48">
        <f>IF(ISNA(VLOOKUP(D548,'[2]stock-take'!$A:$E,3,FALSE)), 0, VLOOKUP(D548,'[2]stock-take'!$A:$E,3,FALSE))</f>
        <v>0</v>
      </c>
      <c r="I548" s="48" t="str">
        <f>IF(F548="", " ",IF(ISNA(VLOOKUP(D548,'[2]stock-take'!$G:$K,4,FALSE)), "OUT OF STOCK", VLOOKUP(D548,'[2]stock-take'!$G:$K,4,FALSE)))</f>
        <v xml:space="preserve"> </v>
      </c>
      <c r="J548" s="39">
        <f>IF(ISNA(VLOOKUP(D548,'[2]stock-take'!$G:$K,3,FALSE)), 0, VLOOKUP(D548,'[2]stock-take'!$G:$K,3,FALSE))</f>
        <v>0</v>
      </c>
      <c r="K548" s="49" t="str">
        <f>IF(F548="", " ", IF(ISNA(VLOOKUP(D548,'[2]stock-take'!$M:$Q,4,FALSE)), "OUT OF STOCK", VLOOKUP(D548,'[2]stock-take'!$M:$Q,4,FALSE)))</f>
        <v xml:space="preserve"> </v>
      </c>
      <c r="L548" s="47">
        <f>IF(ISNA(VLOOKUP(D548,'[2]stock-take'!$M:$Q,3,FALSE)), 0, VLOOKUP(D548,'[2]stock-take'!$M:$Q,3,FALSE))</f>
        <v>0</v>
      </c>
      <c r="M548" s="48" t="str">
        <f t="shared" si="25"/>
        <v xml:space="preserve"> </v>
      </c>
      <c r="N548" s="39" t="str">
        <f t="shared" si="26"/>
        <v xml:space="preserve"> </v>
      </c>
    </row>
    <row r="549" spans="1:14">
      <c r="A549" s="37">
        <f t="shared" si="24"/>
        <v>538</v>
      </c>
      <c r="G549" s="48" t="str">
        <f>IF(F549=""," ",IF(ISNA(VLOOKUP(D549,'[2]stock-take'!$A:$E,4,FALSE)), "OUT OF STOCK", VLOOKUP(D549,'[2]stock-take'!$A:$E,4,FALSE)))</f>
        <v xml:space="preserve"> </v>
      </c>
      <c r="H549" s="48">
        <f>IF(ISNA(VLOOKUP(D549,'[2]stock-take'!$A:$E,3,FALSE)), 0, VLOOKUP(D549,'[2]stock-take'!$A:$E,3,FALSE))</f>
        <v>0</v>
      </c>
      <c r="I549" s="48" t="str">
        <f>IF(F549="", " ",IF(ISNA(VLOOKUP(D549,'[2]stock-take'!$G:$K,4,FALSE)), "OUT OF STOCK", VLOOKUP(D549,'[2]stock-take'!$G:$K,4,FALSE)))</f>
        <v xml:space="preserve"> </v>
      </c>
      <c r="J549" s="39">
        <f>IF(ISNA(VLOOKUP(D549,'[2]stock-take'!$G:$K,3,FALSE)), 0, VLOOKUP(D549,'[2]stock-take'!$G:$K,3,FALSE))</f>
        <v>0</v>
      </c>
      <c r="K549" s="49" t="str">
        <f>IF(F549="", " ", IF(ISNA(VLOOKUP(D549,'[2]stock-take'!$M:$Q,4,FALSE)), "OUT OF STOCK", VLOOKUP(D549,'[2]stock-take'!$M:$Q,4,FALSE)))</f>
        <v xml:space="preserve"> </v>
      </c>
      <c r="L549" s="47">
        <f>IF(ISNA(VLOOKUP(D549,'[2]stock-take'!$M:$Q,3,FALSE)), 0, VLOOKUP(D549,'[2]stock-take'!$M:$Q,3,FALSE))</f>
        <v>0</v>
      </c>
      <c r="M549" s="48" t="str">
        <f t="shared" si="25"/>
        <v xml:space="preserve"> </v>
      </c>
      <c r="N549" s="39" t="str">
        <f t="shared" si="26"/>
        <v xml:space="preserve"> </v>
      </c>
    </row>
    <row r="550" spans="1:14">
      <c r="A550" s="37">
        <f t="shared" si="24"/>
        <v>539</v>
      </c>
      <c r="G550" s="48" t="str">
        <f>IF(F550=""," ",IF(ISNA(VLOOKUP(D550,'[2]stock-take'!$A:$E,4,FALSE)), "OUT OF STOCK", VLOOKUP(D550,'[2]stock-take'!$A:$E,4,FALSE)))</f>
        <v xml:space="preserve"> </v>
      </c>
      <c r="H550" s="48">
        <f>IF(ISNA(VLOOKUP(D550,'[2]stock-take'!$A:$E,3,FALSE)), 0, VLOOKUP(D550,'[2]stock-take'!$A:$E,3,FALSE))</f>
        <v>0</v>
      </c>
      <c r="I550" s="48" t="str">
        <f>IF(F550="", " ",IF(ISNA(VLOOKUP(D550,'[2]stock-take'!$G:$K,4,FALSE)), "OUT OF STOCK", VLOOKUP(D550,'[2]stock-take'!$G:$K,4,FALSE)))</f>
        <v xml:space="preserve"> </v>
      </c>
      <c r="J550" s="39">
        <f>IF(ISNA(VLOOKUP(D550,'[2]stock-take'!$G:$K,3,FALSE)), 0, VLOOKUP(D550,'[2]stock-take'!$G:$K,3,FALSE))</f>
        <v>0</v>
      </c>
      <c r="K550" s="49" t="str">
        <f>IF(F550="", " ", IF(ISNA(VLOOKUP(D550,'[2]stock-take'!$M:$Q,4,FALSE)), "OUT OF STOCK", VLOOKUP(D550,'[2]stock-take'!$M:$Q,4,FALSE)))</f>
        <v xml:space="preserve"> </v>
      </c>
      <c r="L550" s="47">
        <f>IF(ISNA(VLOOKUP(D550,'[2]stock-take'!$M:$Q,3,FALSE)), 0, VLOOKUP(D550,'[2]stock-take'!$M:$Q,3,FALSE))</f>
        <v>0</v>
      </c>
      <c r="M550" s="48" t="str">
        <f t="shared" si="25"/>
        <v xml:space="preserve"> </v>
      </c>
      <c r="N550" s="39" t="str">
        <f t="shared" si="26"/>
        <v xml:space="preserve"> </v>
      </c>
    </row>
    <row r="551" spans="1:14">
      <c r="A551" s="37">
        <f t="shared" si="24"/>
        <v>540</v>
      </c>
      <c r="G551" s="48" t="str">
        <f>IF(F551=""," ",IF(ISNA(VLOOKUP(D551,'[2]stock-take'!$A:$E,4,FALSE)), "OUT OF STOCK", VLOOKUP(D551,'[2]stock-take'!$A:$E,4,FALSE)))</f>
        <v xml:space="preserve"> </v>
      </c>
      <c r="H551" s="48">
        <f>IF(ISNA(VLOOKUP(D551,'[2]stock-take'!$A:$E,3,FALSE)), 0, VLOOKUP(D551,'[2]stock-take'!$A:$E,3,FALSE))</f>
        <v>0</v>
      </c>
      <c r="I551" s="48" t="str">
        <f>IF(F551="", " ",IF(ISNA(VLOOKUP(D551,'[2]stock-take'!$G:$K,4,FALSE)), "OUT OF STOCK", VLOOKUP(D551,'[2]stock-take'!$G:$K,4,FALSE)))</f>
        <v xml:space="preserve"> </v>
      </c>
      <c r="J551" s="39">
        <f>IF(ISNA(VLOOKUP(D551,'[2]stock-take'!$G:$K,3,FALSE)), 0, VLOOKUP(D551,'[2]stock-take'!$G:$K,3,FALSE))</f>
        <v>0</v>
      </c>
      <c r="K551" s="49" t="str">
        <f>IF(F551="", " ", IF(ISNA(VLOOKUP(D551,'[2]stock-take'!$M:$Q,4,FALSE)), "OUT OF STOCK", VLOOKUP(D551,'[2]stock-take'!$M:$Q,4,FALSE)))</f>
        <v xml:space="preserve"> </v>
      </c>
      <c r="L551" s="47">
        <f>IF(ISNA(VLOOKUP(D551,'[2]stock-take'!$M:$Q,3,FALSE)), 0, VLOOKUP(D551,'[2]stock-take'!$M:$Q,3,FALSE))</f>
        <v>0</v>
      </c>
      <c r="M551" s="48" t="str">
        <f t="shared" si="25"/>
        <v xml:space="preserve"> </v>
      </c>
      <c r="N551" s="39" t="str">
        <f t="shared" si="26"/>
        <v xml:space="preserve"> </v>
      </c>
    </row>
    <row r="552" spans="1:14">
      <c r="A552" s="37">
        <f t="shared" si="24"/>
        <v>541</v>
      </c>
      <c r="G552" s="48" t="str">
        <f>IF(F552=""," ",IF(ISNA(VLOOKUP(D552,'[2]stock-take'!$A:$E,4,FALSE)), "OUT OF STOCK", VLOOKUP(D552,'[2]stock-take'!$A:$E,4,FALSE)))</f>
        <v xml:space="preserve"> </v>
      </c>
      <c r="H552" s="48">
        <f>IF(ISNA(VLOOKUP(D552,'[2]stock-take'!$A:$E,3,FALSE)), 0, VLOOKUP(D552,'[2]stock-take'!$A:$E,3,FALSE))</f>
        <v>0</v>
      </c>
      <c r="I552" s="48" t="str">
        <f>IF(F552="", " ",IF(ISNA(VLOOKUP(D552,'[2]stock-take'!$G:$K,4,FALSE)), "OUT OF STOCK", VLOOKUP(D552,'[2]stock-take'!$G:$K,4,FALSE)))</f>
        <v xml:space="preserve"> </v>
      </c>
      <c r="J552" s="39">
        <f>IF(ISNA(VLOOKUP(D552,'[2]stock-take'!$G:$K,3,FALSE)), 0, VLOOKUP(D552,'[2]stock-take'!$G:$K,3,FALSE))</f>
        <v>0</v>
      </c>
      <c r="K552" s="49" t="str">
        <f>IF(F552="", " ", IF(ISNA(VLOOKUP(D552,'[2]stock-take'!$M:$Q,4,FALSE)), "OUT OF STOCK", VLOOKUP(D552,'[2]stock-take'!$M:$Q,4,FALSE)))</f>
        <v xml:space="preserve"> </v>
      </c>
      <c r="L552" s="47">
        <f>IF(ISNA(VLOOKUP(D552,'[2]stock-take'!$M:$Q,3,FALSE)), 0, VLOOKUP(D552,'[2]stock-take'!$M:$Q,3,FALSE))</f>
        <v>0</v>
      </c>
      <c r="M552" s="48" t="str">
        <f t="shared" si="25"/>
        <v xml:space="preserve"> </v>
      </c>
      <c r="N552" s="39" t="str">
        <f t="shared" si="26"/>
        <v xml:space="preserve"> </v>
      </c>
    </row>
    <row r="553" spans="1:14">
      <c r="A553" s="37">
        <f t="shared" si="24"/>
        <v>542</v>
      </c>
      <c r="G553" s="48" t="str">
        <f>IF(F553=""," ",IF(ISNA(VLOOKUP(D553,'[2]stock-take'!$A:$E,4,FALSE)), "OUT OF STOCK", VLOOKUP(D553,'[2]stock-take'!$A:$E,4,FALSE)))</f>
        <v xml:space="preserve"> </v>
      </c>
      <c r="H553" s="48">
        <f>IF(ISNA(VLOOKUP(D553,'[2]stock-take'!$A:$E,3,FALSE)), 0, VLOOKUP(D553,'[2]stock-take'!$A:$E,3,FALSE))</f>
        <v>0</v>
      </c>
      <c r="I553" s="48" t="str">
        <f>IF(F553="", " ",IF(ISNA(VLOOKUP(D553,'[2]stock-take'!$G:$K,4,FALSE)), "OUT OF STOCK", VLOOKUP(D553,'[2]stock-take'!$G:$K,4,FALSE)))</f>
        <v xml:space="preserve"> </v>
      </c>
      <c r="J553" s="39">
        <f>IF(ISNA(VLOOKUP(D553,'[2]stock-take'!$G:$K,3,FALSE)), 0, VLOOKUP(D553,'[2]stock-take'!$G:$K,3,FALSE))</f>
        <v>0</v>
      </c>
      <c r="K553" s="49" t="str">
        <f>IF(F553="", " ", IF(ISNA(VLOOKUP(D553,'[2]stock-take'!$M:$Q,4,FALSE)), "OUT OF STOCK", VLOOKUP(D553,'[2]stock-take'!$M:$Q,4,FALSE)))</f>
        <v xml:space="preserve"> </v>
      </c>
      <c r="L553" s="47">
        <f>IF(ISNA(VLOOKUP(D553,'[2]stock-take'!$M:$Q,3,FALSE)), 0, VLOOKUP(D553,'[2]stock-take'!$M:$Q,3,FALSE))</f>
        <v>0</v>
      </c>
      <c r="M553" s="48" t="str">
        <f t="shared" si="25"/>
        <v xml:space="preserve"> </v>
      </c>
      <c r="N553" s="39" t="str">
        <f t="shared" si="26"/>
        <v xml:space="preserve"> </v>
      </c>
    </row>
    <row r="554" spans="1:14">
      <c r="A554" s="37">
        <f t="shared" si="24"/>
        <v>543</v>
      </c>
      <c r="G554" s="48" t="str">
        <f>IF(F554=""," ",IF(ISNA(VLOOKUP(D554,'[2]stock-take'!$A:$E,4,FALSE)), "OUT OF STOCK", VLOOKUP(D554,'[2]stock-take'!$A:$E,4,FALSE)))</f>
        <v xml:space="preserve"> </v>
      </c>
      <c r="H554" s="48">
        <f>IF(ISNA(VLOOKUP(D554,'[2]stock-take'!$A:$E,3,FALSE)), 0, VLOOKUP(D554,'[2]stock-take'!$A:$E,3,FALSE))</f>
        <v>0</v>
      </c>
      <c r="I554" s="48" t="str">
        <f>IF(F554="", " ",IF(ISNA(VLOOKUP(D554,'[2]stock-take'!$G:$K,4,FALSE)), "OUT OF STOCK", VLOOKUP(D554,'[2]stock-take'!$G:$K,4,FALSE)))</f>
        <v xml:space="preserve"> </v>
      </c>
      <c r="J554" s="39">
        <f>IF(ISNA(VLOOKUP(D554,'[2]stock-take'!$G:$K,3,FALSE)), 0, VLOOKUP(D554,'[2]stock-take'!$G:$K,3,FALSE))</f>
        <v>0</v>
      </c>
      <c r="K554" s="49" t="str">
        <f>IF(F554="", " ", IF(ISNA(VLOOKUP(D554,'[2]stock-take'!$M:$Q,4,FALSE)), "OUT OF STOCK", VLOOKUP(D554,'[2]stock-take'!$M:$Q,4,FALSE)))</f>
        <v xml:space="preserve"> </v>
      </c>
      <c r="L554" s="47">
        <f>IF(ISNA(VLOOKUP(D554,'[2]stock-take'!$M:$Q,3,FALSE)), 0, VLOOKUP(D554,'[2]stock-take'!$M:$Q,3,FALSE))</f>
        <v>0</v>
      </c>
      <c r="M554" s="48" t="str">
        <f t="shared" si="25"/>
        <v xml:space="preserve"> </v>
      </c>
      <c r="N554" s="39" t="str">
        <f t="shared" si="26"/>
        <v xml:space="preserve"> </v>
      </c>
    </row>
    <row r="555" spans="1:14">
      <c r="A555" s="37">
        <f t="shared" si="24"/>
        <v>544</v>
      </c>
      <c r="G555" s="48" t="str">
        <f>IF(F555=""," ",IF(ISNA(VLOOKUP(D555,'[2]stock-take'!$A:$E,4,FALSE)), "OUT OF STOCK", VLOOKUP(D555,'[2]stock-take'!$A:$E,4,FALSE)))</f>
        <v xml:space="preserve"> </v>
      </c>
      <c r="H555" s="48">
        <f>IF(ISNA(VLOOKUP(D555,'[2]stock-take'!$A:$E,3,FALSE)), 0, VLOOKUP(D555,'[2]stock-take'!$A:$E,3,FALSE))</f>
        <v>0</v>
      </c>
      <c r="I555" s="48" t="str">
        <f>IF(F555="", " ",IF(ISNA(VLOOKUP(D555,'[2]stock-take'!$G:$K,4,FALSE)), "OUT OF STOCK", VLOOKUP(D555,'[2]stock-take'!$G:$K,4,FALSE)))</f>
        <v xml:space="preserve"> </v>
      </c>
      <c r="J555" s="39">
        <f>IF(ISNA(VLOOKUP(D555,'[2]stock-take'!$G:$K,3,FALSE)), 0, VLOOKUP(D555,'[2]stock-take'!$G:$K,3,FALSE))</f>
        <v>0</v>
      </c>
      <c r="K555" s="49" t="str">
        <f>IF(F555="", " ", IF(ISNA(VLOOKUP(D555,'[2]stock-take'!$M:$Q,4,FALSE)), "OUT OF STOCK", VLOOKUP(D555,'[2]stock-take'!$M:$Q,4,FALSE)))</f>
        <v xml:space="preserve"> </v>
      </c>
      <c r="L555" s="47">
        <f>IF(ISNA(VLOOKUP(D555,'[2]stock-take'!$M:$Q,3,FALSE)), 0, VLOOKUP(D555,'[2]stock-take'!$M:$Q,3,FALSE))</f>
        <v>0</v>
      </c>
      <c r="M555" s="48" t="str">
        <f t="shared" si="25"/>
        <v xml:space="preserve"> </v>
      </c>
      <c r="N555" s="39" t="str">
        <f t="shared" si="26"/>
        <v xml:space="preserve"> </v>
      </c>
    </row>
    <row r="556" spans="1:14">
      <c r="A556" s="37">
        <f t="shared" si="24"/>
        <v>545</v>
      </c>
      <c r="G556" s="48" t="str">
        <f>IF(F556=""," ",IF(ISNA(VLOOKUP(D556,'[2]stock-take'!$A:$E,4,FALSE)), "OUT OF STOCK", VLOOKUP(D556,'[2]stock-take'!$A:$E,4,FALSE)))</f>
        <v xml:space="preserve"> </v>
      </c>
      <c r="H556" s="48">
        <f>IF(ISNA(VLOOKUP(D556,'[2]stock-take'!$A:$E,3,FALSE)), 0, VLOOKUP(D556,'[2]stock-take'!$A:$E,3,FALSE))</f>
        <v>0</v>
      </c>
      <c r="I556" s="48" t="str">
        <f>IF(F556="", " ",IF(ISNA(VLOOKUP(D556,'[2]stock-take'!$G:$K,4,FALSE)), "OUT OF STOCK", VLOOKUP(D556,'[2]stock-take'!$G:$K,4,FALSE)))</f>
        <v xml:space="preserve"> </v>
      </c>
      <c r="J556" s="39">
        <f>IF(ISNA(VLOOKUP(D556,'[2]stock-take'!$G:$K,3,FALSE)), 0, VLOOKUP(D556,'[2]stock-take'!$G:$K,3,FALSE))</f>
        <v>0</v>
      </c>
      <c r="K556" s="49" t="str">
        <f>IF(F556="", " ", IF(ISNA(VLOOKUP(D556,'[2]stock-take'!$M:$Q,4,FALSE)), "OUT OF STOCK", VLOOKUP(D556,'[2]stock-take'!$M:$Q,4,FALSE)))</f>
        <v xml:space="preserve"> </v>
      </c>
      <c r="L556" s="47">
        <f>IF(ISNA(VLOOKUP(D556,'[2]stock-take'!$M:$Q,3,FALSE)), 0, VLOOKUP(D556,'[2]stock-take'!$M:$Q,3,FALSE))</f>
        <v>0</v>
      </c>
      <c r="M556" s="48" t="str">
        <f t="shared" si="25"/>
        <v xml:space="preserve"> </v>
      </c>
      <c r="N556" s="39" t="str">
        <f t="shared" si="26"/>
        <v xml:space="preserve"> </v>
      </c>
    </row>
    <row r="557" spans="1:14">
      <c r="A557" s="37">
        <f t="shared" si="24"/>
        <v>546</v>
      </c>
      <c r="G557" s="48" t="str">
        <f>IF(F557=""," ",IF(ISNA(VLOOKUP(D557,'[2]stock-take'!$A:$E,4,FALSE)), "OUT OF STOCK", VLOOKUP(D557,'[2]stock-take'!$A:$E,4,FALSE)))</f>
        <v xml:space="preserve"> </v>
      </c>
      <c r="H557" s="48">
        <f>IF(ISNA(VLOOKUP(D557,'[2]stock-take'!$A:$E,3,FALSE)), 0, VLOOKUP(D557,'[2]stock-take'!$A:$E,3,FALSE))</f>
        <v>0</v>
      </c>
      <c r="I557" s="48" t="str">
        <f>IF(F557="", " ",IF(ISNA(VLOOKUP(D557,'[2]stock-take'!$G:$K,4,FALSE)), "OUT OF STOCK", VLOOKUP(D557,'[2]stock-take'!$G:$K,4,FALSE)))</f>
        <v xml:space="preserve"> </v>
      </c>
      <c r="J557" s="39">
        <f>IF(ISNA(VLOOKUP(D557,'[2]stock-take'!$G:$K,3,FALSE)), 0, VLOOKUP(D557,'[2]stock-take'!$G:$K,3,FALSE))</f>
        <v>0</v>
      </c>
      <c r="K557" s="49" t="str">
        <f>IF(F557="", " ", IF(ISNA(VLOOKUP(D557,'[2]stock-take'!$M:$Q,4,FALSE)), "OUT OF STOCK", VLOOKUP(D557,'[2]stock-take'!$M:$Q,4,FALSE)))</f>
        <v xml:space="preserve"> </v>
      </c>
      <c r="L557" s="47">
        <f>IF(ISNA(VLOOKUP(D557,'[2]stock-take'!$M:$Q,3,FALSE)), 0, VLOOKUP(D557,'[2]stock-take'!$M:$Q,3,FALSE))</f>
        <v>0</v>
      </c>
      <c r="M557" s="48" t="str">
        <f t="shared" si="25"/>
        <v xml:space="preserve"> </v>
      </c>
      <c r="N557" s="39" t="str">
        <f t="shared" si="26"/>
        <v xml:space="preserve"> </v>
      </c>
    </row>
    <row r="558" spans="1:14">
      <c r="A558" s="37">
        <f t="shared" si="24"/>
        <v>547</v>
      </c>
      <c r="G558" s="48" t="str">
        <f>IF(F558=""," ",IF(ISNA(VLOOKUP(D558,'[2]stock-take'!$A:$E,4,FALSE)), "OUT OF STOCK", VLOOKUP(D558,'[2]stock-take'!$A:$E,4,FALSE)))</f>
        <v xml:space="preserve"> </v>
      </c>
      <c r="H558" s="48">
        <f>IF(ISNA(VLOOKUP(D558,'[2]stock-take'!$A:$E,3,FALSE)), 0, VLOOKUP(D558,'[2]stock-take'!$A:$E,3,FALSE))</f>
        <v>0</v>
      </c>
      <c r="I558" s="48" t="str">
        <f>IF(F558="", " ",IF(ISNA(VLOOKUP(D558,'[2]stock-take'!$G:$K,4,FALSE)), "OUT OF STOCK", VLOOKUP(D558,'[2]stock-take'!$G:$K,4,FALSE)))</f>
        <v xml:space="preserve"> </v>
      </c>
      <c r="J558" s="39">
        <f>IF(ISNA(VLOOKUP(D558,'[2]stock-take'!$G:$K,3,FALSE)), 0, VLOOKUP(D558,'[2]stock-take'!$G:$K,3,FALSE))</f>
        <v>0</v>
      </c>
      <c r="K558" s="49" t="str">
        <f>IF(F558="", " ", IF(ISNA(VLOOKUP(D558,'[2]stock-take'!$M:$Q,4,FALSE)), "OUT OF STOCK", VLOOKUP(D558,'[2]stock-take'!$M:$Q,4,FALSE)))</f>
        <v xml:space="preserve"> </v>
      </c>
      <c r="L558" s="47">
        <f>IF(ISNA(VLOOKUP(D558,'[2]stock-take'!$M:$Q,3,FALSE)), 0, VLOOKUP(D558,'[2]stock-take'!$M:$Q,3,FALSE))</f>
        <v>0</v>
      </c>
      <c r="M558" s="48" t="str">
        <f t="shared" si="25"/>
        <v xml:space="preserve"> </v>
      </c>
      <c r="N558" s="39" t="str">
        <f t="shared" si="26"/>
        <v xml:space="preserve"> </v>
      </c>
    </row>
    <row r="559" spans="1:14">
      <c r="A559" s="37">
        <f t="shared" si="24"/>
        <v>548</v>
      </c>
      <c r="G559" s="48" t="str">
        <f>IF(F559=""," ",IF(ISNA(VLOOKUP(D559,'[2]stock-take'!$A:$E,4,FALSE)), "OUT OF STOCK", VLOOKUP(D559,'[2]stock-take'!$A:$E,4,FALSE)))</f>
        <v xml:space="preserve"> </v>
      </c>
      <c r="H559" s="48">
        <f>IF(ISNA(VLOOKUP(D559,'[2]stock-take'!$A:$E,3,FALSE)), 0, VLOOKUP(D559,'[2]stock-take'!$A:$E,3,FALSE))</f>
        <v>0</v>
      </c>
      <c r="I559" s="48" t="str">
        <f>IF(F559="", " ",IF(ISNA(VLOOKUP(D559,'[2]stock-take'!$G:$K,4,FALSE)), "OUT OF STOCK", VLOOKUP(D559,'[2]stock-take'!$G:$K,4,FALSE)))</f>
        <v xml:space="preserve"> </v>
      </c>
      <c r="J559" s="39">
        <f>IF(ISNA(VLOOKUP(D559,'[2]stock-take'!$G:$K,3,FALSE)), 0, VLOOKUP(D559,'[2]stock-take'!$G:$K,3,FALSE))</f>
        <v>0</v>
      </c>
      <c r="K559" s="49" t="str">
        <f>IF(F559="", " ", IF(ISNA(VLOOKUP(D559,'[2]stock-take'!$M:$Q,4,FALSE)), "OUT OF STOCK", VLOOKUP(D559,'[2]stock-take'!$M:$Q,4,FALSE)))</f>
        <v xml:space="preserve"> </v>
      </c>
      <c r="L559" s="47">
        <f>IF(ISNA(VLOOKUP(D559,'[2]stock-take'!$M:$Q,3,FALSE)), 0, VLOOKUP(D559,'[2]stock-take'!$M:$Q,3,FALSE))</f>
        <v>0</v>
      </c>
      <c r="M559" s="48" t="str">
        <f t="shared" si="25"/>
        <v xml:space="preserve"> </v>
      </c>
      <c r="N559" s="39" t="str">
        <f t="shared" si="26"/>
        <v xml:space="preserve"> </v>
      </c>
    </row>
    <row r="560" spans="1:14">
      <c r="A560" s="37">
        <f t="shared" si="24"/>
        <v>549</v>
      </c>
      <c r="G560" s="48" t="str">
        <f>IF(F560=""," ",IF(ISNA(VLOOKUP(D560,'[2]stock-take'!$A:$E,4,FALSE)), "OUT OF STOCK", VLOOKUP(D560,'[2]stock-take'!$A:$E,4,FALSE)))</f>
        <v xml:space="preserve"> </v>
      </c>
      <c r="H560" s="48">
        <f>IF(ISNA(VLOOKUP(D560,'[2]stock-take'!$A:$E,3,FALSE)), 0, VLOOKUP(D560,'[2]stock-take'!$A:$E,3,FALSE))</f>
        <v>0</v>
      </c>
      <c r="I560" s="48" t="str">
        <f>IF(F560="", " ",IF(ISNA(VLOOKUP(D560,'[2]stock-take'!$G:$K,4,FALSE)), "OUT OF STOCK", VLOOKUP(D560,'[2]stock-take'!$G:$K,4,FALSE)))</f>
        <v xml:space="preserve"> </v>
      </c>
      <c r="J560" s="39">
        <f>IF(ISNA(VLOOKUP(D560,'[2]stock-take'!$G:$K,3,FALSE)), 0, VLOOKUP(D560,'[2]stock-take'!$G:$K,3,FALSE))</f>
        <v>0</v>
      </c>
      <c r="K560" s="49" t="str">
        <f>IF(F560="", " ", IF(ISNA(VLOOKUP(D560,'[2]stock-take'!$M:$Q,4,FALSE)), "OUT OF STOCK", VLOOKUP(D560,'[2]stock-take'!$M:$Q,4,FALSE)))</f>
        <v xml:space="preserve"> </v>
      </c>
      <c r="L560" s="47">
        <f>IF(ISNA(VLOOKUP(D560,'[2]stock-take'!$M:$Q,3,FALSE)), 0, VLOOKUP(D560,'[2]stock-take'!$M:$Q,3,FALSE))</f>
        <v>0</v>
      </c>
      <c r="M560" s="48" t="str">
        <f t="shared" si="25"/>
        <v xml:space="preserve"> </v>
      </c>
      <c r="N560" s="39" t="str">
        <f t="shared" si="26"/>
        <v xml:space="preserve"> </v>
      </c>
    </row>
    <row r="561" spans="1:14">
      <c r="A561" s="37">
        <f t="shared" si="24"/>
        <v>550</v>
      </c>
      <c r="G561" s="48" t="str">
        <f>IF(F561=""," ",IF(ISNA(VLOOKUP(D561,'[2]stock-take'!$A:$E,4,FALSE)), "OUT OF STOCK", VLOOKUP(D561,'[2]stock-take'!$A:$E,4,FALSE)))</f>
        <v xml:space="preserve"> </v>
      </c>
      <c r="H561" s="48">
        <f>IF(ISNA(VLOOKUP(D561,'[2]stock-take'!$A:$E,3,FALSE)), 0, VLOOKUP(D561,'[2]stock-take'!$A:$E,3,FALSE))</f>
        <v>0</v>
      </c>
      <c r="I561" s="48" t="str">
        <f>IF(F561="", " ",IF(ISNA(VLOOKUP(D561,'[2]stock-take'!$G:$K,4,FALSE)), "OUT OF STOCK", VLOOKUP(D561,'[2]stock-take'!$G:$K,4,FALSE)))</f>
        <v xml:space="preserve"> </v>
      </c>
      <c r="J561" s="39">
        <f>IF(ISNA(VLOOKUP(D561,'[2]stock-take'!$G:$K,3,FALSE)), 0, VLOOKUP(D561,'[2]stock-take'!$G:$K,3,FALSE))</f>
        <v>0</v>
      </c>
      <c r="K561" s="49" t="str">
        <f>IF(F561="", " ", IF(ISNA(VLOOKUP(D561,'[2]stock-take'!$M:$Q,4,FALSE)), "OUT OF STOCK", VLOOKUP(D561,'[2]stock-take'!$M:$Q,4,FALSE)))</f>
        <v xml:space="preserve"> </v>
      </c>
      <c r="L561" s="47">
        <f>IF(ISNA(VLOOKUP(D561,'[2]stock-take'!$M:$Q,3,FALSE)), 0, VLOOKUP(D561,'[2]stock-take'!$M:$Q,3,FALSE))</f>
        <v>0</v>
      </c>
      <c r="M561" s="48" t="str">
        <f t="shared" si="25"/>
        <v xml:space="preserve"> </v>
      </c>
      <c r="N561" s="39" t="str">
        <f t="shared" si="26"/>
        <v xml:space="preserve"> </v>
      </c>
    </row>
    <row r="562" spans="1:14">
      <c r="A562" s="37">
        <f t="shared" si="24"/>
        <v>551</v>
      </c>
      <c r="G562" s="48" t="str">
        <f>IF(F562=""," ",IF(ISNA(VLOOKUP(D562,'[2]stock-take'!$A:$E,4,FALSE)), "OUT OF STOCK", VLOOKUP(D562,'[2]stock-take'!$A:$E,4,FALSE)))</f>
        <v xml:space="preserve"> </v>
      </c>
      <c r="H562" s="48">
        <f>IF(ISNA(VLOOKUP(D562,'[2]stock-take'!$A:$E,3,FALSE)), 0, VLOOKUP(D562,'[2]stock-take'!$A:$E,3,FALSE))</f>
        <v>0</v>
      </c>
      <c r="I562" s="48" t="str">
        <f>IF(F562="", " ",IF(ISNA(VLOOKUP(D562,'[2]stock-take'!$G:$K,4,FALSE)), "OUT OF STOCK", VLOOKUP(D562,'[2]stock-take'!$G:$K,4,FALSE)))</f>
        <v xml:space="preserve"> </v>
      </c>
      <c r="J562" s="39">
        <f>IF(ISNA(VLOOKUP(D562,'[2]stock-take'!$G:$K,3,FALSE)), 0, VLOOKUP(D562,'[2]stock-take'!$G:$K,3,FALSE))</f>
        <v>0</v>
      </c>
      <c r="K562" s="49" t="str">
        <f>IF(F562="", " ", IF(ISNA(VLOOKUP(D562,'[2]stock-take'!$M:$Q,4,FALSE)), "OUT OF STOCK", VLOOKUP(D562,'[2]stock-take'!$M:$Q,4,FALSE)))</f>
        <v xml:space="preserve"> </v>
      </c>
      <c r="L562" s="47">
        <f>IF(ISNA(VLOOKUP(D562,'[2]stock-take'!$M:$Q,3,FALSE)), 0, VLOOKUP(D562,'[2]stock-take'!$M:$Q,3,FALSE))</f>
        <v>0</v>
      </c>
      <c r="M562" s="48" t="str">
        <f t="shared" si="25"/>
        <v xml:space="preserve"> </v>
      </c>
      <c r="N562" s="39" t="str">
        <f t="shared" si="26"/>
        <v xml:space="preserve"> </v>
      </c>
    </row>
    <row r="563" spans="1:14">
      <c r="A563" s="37">
        <f t="shared" si="24"/>
        <v>552</v>
      </c>
      <c r="G563" s="48" t="str">
        <f>IF(F563=""," ",IF(ISNA(VLOOKUP(D563,'[2]stock-take'!$A:$E,4,FALSE)), "OUT OF STOCK", VLOOKUP(D563,'[2]stock-take'!$A:$E,4,FALSE)))</f>
        <v xml:space="preserve"> </v>
      </c>
      <c r="H563" s="48">
        <f>IF(ISNA(VLOOKUP(D563,'[2]stock-take'!$A:$E,3,FALSE)), 0, VLOOKUP(D563,'[2]stock-take'!$A:$E,3,FALSE))</f>
        <v>0</v>
      </c>
      <c r="I563" s="48" t="str">
        <f>IF(F563="", " ",IF(ISNA(VLOOKUP(D563,'[2]stock-take'!$G:$K,4,FALSE)), "OUT OF STOCK", VLOOKUP(D563,'[2]stock-take'!$G:$K,4,FALSE)))</f>
        <v xml:space="preserve"> </v>
      </c>
      <c r="J563" s="39">
        <f>IF(ISNA(VLOOKUP(D563,'[2]stock-take'!$G:$K,3,FALSE)), 0, VLOOKUP(D563,'[2]stock-take'!$G:$K,3,FALSE))</f>
        <v>0</v>
      </c>
      <c r="K563" s="49" t="str">
        <f>IF(F563="", " ", IF(ISNA(VLOOKUP(D563,'[2]stock-take'!$M:$Q,4,FALSE)), "OUT OF STOCK", VLOOKUP(D563,'[2]stock-take'!$M:$Q,4,FALSE)))</f>
        <v xml:space="preserve"> </v>
      </c>
      <c r="L563" s="47">
        <f>IF(ISNA(VLOOKUP(D563,'[2]stock-take'!$M:$Q,3,FALSE)), 0, VLOOKUP(D563,'[2]stock-take'!$M:$Q,3,FALSE))</f>
        <v>0</v>
      </c>
      <c r="M563" s="48" t="str">
        <f t="shared" si="25"/>
        <v xml:space="preserve"> </v>
      </c>
      <c r="N563" s="39" t="str">
        <f t="shared" si="26"/>
        <v xml:space="preserve"> </v>
      </c>
    </row>
    <row r="564" spans="1:14">
      <c r="A564" s="37">
        <f t="shared" si="24"/>
        <v>553</v>
      </c>
      <c r="G564" s="48" t="str">
        <f>IF(F564=""," ",IF(ISNA(VLOOKUP(D564,'[2]stock-take'!$A:$E,4,FALSE)), "OUT OF STOCK", VLOOKUP(D564,'[2]stock-take'!$A:$E,4,FALSE)))</f>
        <v xml:space="preserve"> </v>
      </c>
      <c r="H564" s="48">
        <f>IF(ISNA(VLOOKUP(D564,'[2]stock-take'!$A:$E,3,FALSE)), 0, VLOOKUP(D564,'[2]stock-take'!$A:$E,3,FALSE))</f>
        <v>0</v>
      </c>
      <c r="I564" s="48" t="str">
        <f>IF(F564="", " ",IF(ISNA(VLOOKUP(D564,'[2]stock-take'!$G:$K,4,FALSE)), "OUT OF STOCK", VLOOKUP(D564,'[2]stock-take'!$G:$K,4,FALSE)))</f>
        <v xml:space="preserve"> </v>
      </c>
      <c r="J564" s="39">
        <f>IF(ISNA(VLOOKUP(D564,'[2]stock-take'!$G:$K,3,FALSE)), 0, VLOOKUP(D564,'[2]stock-take'!$G:$K,3,FALSE))</f>
        <v>0</v>
      </c>
      <c r="K564" s="49" t="str">
        <f>IF(F564="", " ", IF(ISNA(VLOOKUP(D564,'[2]stock-take'!$M:$Q,4,FALSE)), "OUT OF STOCK", VLOOKUP(D564,'[2]stock-take'!$M:$Q,4,FALSE)))</f>
        <v xml:space="preserve"> </v>
      </c>
      <c r="L564" s="47">
        <f>IF(ISNA(VLOOKUP(D564,'[2]stock-take'!$M:$Q,3,FALSE)), 0, VLOOKUP(D564,'[2]stock-take'!$M:$Q,3,FALSE))</f>
        <v>0</v>
      </c>
      <c r="M564" s="48" t="str">
        <f t="shared" si="25"/>
        <v xml:space="preserve"> </v>
      </c>
      <c r="N564" s="39" t="str">
        <f t="shared" si="26"/>
        <v xml:space="preserve"> </v>
      </c>
    </row>
    <row r="565" spans="1:14">
      <c r="A565" s="37">
        <f t="shared" si="24"/>
        <v>554</v>
      </c>
      <c r="G565" s="48" t="str">
        <f>IF(F565=""," ",IF(ISNA(VLOOKUP(D565,'[2]stock-take'!$A:$E,4,FALSE)), "OUT OF STOCK", VLOOKUP(D565,'[2]stock-take'!$A:$E,4,FALSE)))</f>
        <v xml:space="preserve"> </v>
      </c>
      <c r="H565" s="48">
        <f>IF(ISNA(VLOOKUP(D565,'[2]stock-take'!$A:$E,3,FALSE)), 0, VLOOKUP(D565,'[2]stock-take'!$A:$E,3,FALSE))</f>
        <v>0</v>
      </c>
      <c r="I565" s="48" t="str">
        <f>IF(F565="", " ",IF(ISNA(VLOOKUP(D565,'[2]stock-take'!$G:$K,4,FALSE)), "OUT OF STOCK", VLOOKUP(D565,'[2]stock-take'!$G:$K,4,FALSE)))</f>
        <v xml:space="preserve"> </v>
      </c>
      <c r="J565" s="39">
        <f>IF(ISNA(VLOOKUP(D565,'[2]stock-take'!$G:$K,3,FALSE)), 0, VLOOKUP(D565,'[2]stock-take'!$G:$K,3,FALSE))</f>
        <v>0</v>
      </c>
      <c r="K565" s="49" t="str">
        <f>IF(F565="", " ", IF(ISNA(VLOOKUP(D565,'[2]stock-take'!$M:$Q,4,FALSE)), "OUT OF STOCK", VLOOKUP(D565,'[2]stock-take'!$M:$Q,4,FALSE)))</f>
        <v xml:space="preserve"> </v>
      </c>
      <c r="L565" s="47">
        <f>IF(ISNA(VLOOKUP(D565,'[2]stock-take'!$M:$Q,3,FALSE)), 0, VLOOKUP(D565,'[2]stock-take'!$M:$Q,3,FALSE))</f>
        <v>0</v>
      </c>
      <c r="M565" s="48" t="str">
        <f t="shared" si="25"/>
        <v xml:space="preserve"> </v>
      </c>
      <c r="N565" s="39" t="str">
        <f t="shared" si="26"/>
        <v xml:space="preserve"> </v>
      </c>
    </row>
    <row r="566" spans="1:14">
      <c r="A566" s="37">
        <f t="shared" si="24"/>
        <v>555</v>
      </c>
      <c r="G566" s="48" t="str">
        <f>IF(F566=""," ",IF(ISNA(VLOOKUP(D566,'[2]stock-take'!$A:$E,4,FALSE)), "OUT OF STOCK", VLOOKUP(D566,'[2]stock-take'!$A:$E,4,FALSE)))</f>
        <v xml:space="preserve"> </v>
      </c>
      <c r="H566" s="48">
        <f>IF(ISNA(VLOOKUP(D566,'[2]stock-take'!$A:$E,3,FALSE)), 0, VLOOKUP(D566,'[2]stock-take'!$A:$E,3,FALSE))</f>
        <v>0</v>
      </c>
      <c r="I566" s="48" t="str">
        <f>IF(F566="", " ",IF(ISNA(VLOOKUP(D566,'[2]stock-take'!$G:$K,4,FALSE)), "OUT OF STOCK", VLOOKUP(D566,'[2]stock-take'!$G:$K,4,FALSE)))</f>
        <v xml:space="preserve"> </v>
      </c>
      <c r="J566" s="39">
        <f>IF(ISNA(VLOOKUP(D566,'[2]stock-take'!$G:$K,3,FALSE)), 0, VLOOKUP(D566,'[2]stock-take'!$G:$K,3,FALSE))</f>
        <v>0</v>
      </c>
      <c r="K566" s="49" t="str">
        <f>IF(F566="", " ", IF(ISNA(VLOOKUP(D566,'[2]stock-take'!$M:$Q,4,FALSE)), "OUT OF STOCK", VLOOKUP(D566,'[2]stock-take'!$M:$Q,4,FALSE)))</f>
        <v xml:space="preserve"> </v>
      </c>
      <c r="L566" s="47">
        <f>IF(ISNA(VLOOKUP(D566,'[2]stock-take'!$M:$Q,3,FALSE)), 0, VLOOKUP(D566,'[2]stock-take'!$M:$Q,3,FALSE))</f>
        <v>0</v>
      </c>
      <c r="M566" s="48" t="str">
        <f t="shared" si="25"/>
        <v xml:space="preserve"> </v>
      </c>
      <c r="N566" s="39" t="str">
        <f t="shared" si="26"/>
        <v xml:space="preserve"> </v>
      </c>
    </row>
    <row r="567" spans="1:14">
      <c r="A567" s="37">
        <f t="shared" si="24"/>
        <v>556</v>
      </c>
      <c r="G567" s="48" t="str">
        <f>IF(F567=""," ",IF(ISNA(VLOOKUP(D567,'[2]stock-take'!$A:$E,4,FALSE)), "OUT OF STOCK", VLOOKUP(D567,'[2]stock-take'!$A:$E,4,FALSE)))</f>
        <v xml:space="preserve"> </v>
      </c>
      <c r="H567" s="48">
        <f>IF(ISNA(VLOOKUP(D567,'[2]stock-take'!$A:$E,3,FALSE)), 0, VLOOKUP(D567,'[2]stock-take'!$A:$E,3,FALSE))</f>
        <v>0</v>
      </c>
      <c r="I567" s="48" t="str">
        <f>IF(F567="", " ",IF(ISNA(VLOOKUP(D567,'[2]stock-take'!$G:$K,4,FALSE)), "OUT OF STOCK", VLOOKUP(D567,'[2]stock-take'!$G:$K,4,FALSE)))</f>
        <v xml:space="preserve"> </v>
      </c>
      <c r="J567" s="39">
        <f>IF(ISNA(VLOOKUP(D567,'[2]stock-take'!$G:$K,3,FALSE)), 0, VLOOKUP(D567,'[2]stock-take'!$G:$K,3,FALSE))</f>
        <v>0</v>
      </c>
      <c r="K567" s="49" t="str">
        <f>IF(F567="", " ", IF(ISNA(VLOOKUP(D567,'[2]stock-take'!$M:$Q,4,FALSE)), "OUT OF STOCK", VLOOKUP(D567,'[2]stock-take'!$M:$Q,4,FALSE)))</f>
        <v xml:space="preserve"> </v>
      </c>
      <c r="L567" s="47">
        <f>IF(ISNA(VLOOKUP(D567,'[2]stock-take'!$M:$Q,3,FALSE)), 0, VLOOKUP(D567,'[2]stock-take'!$M:$Q,3,FALSE))</f>
        <v>0</v>
      </c>
      <c r="M567" s="48" t="str">
        <f t="shared" si="25"/>
        <v xml:space="preserve"> </v>
      </c>
      <c r="N567" s="39" t="str">
        <f t="shared" si="26"/>
        <v xml:space="preserve"> </v>
      </c>
    </row>
    <row r="568" spans="1:14">
      <c r="A568" s="37">
        <f t="shared" si="24"/>
        <v>557</v>
      </c>
      <c r="G568" s="48" t="str">
        <f>IF(F568=""," ",IF(ISNA(VLOOKUP(D568,'[2]stock-take'!$A:$E,4,FALSE)), "OUT OF STOCK", VLOOKUP(D568,'[2]stock-take'!$A:$E,4,FALSE)))</f>
        <v xml:space="preserve"> </v>
      </c>
      <c r="H568" s="48">
        <f>IF(ISNA(VLOOKUP(D568,'[2]stock-take'!$A:$E,3,FALSE)), 0, VLOOKUP(D568,'[2]stock-take'!$A:$E,3,FALSE))</f>
        <v>0</v>
      </c>
      <c r="I568" s="48" t="str">
        <f>IF(F568="", " ",IF(ISNA(VLOOKUP(D568,'[2]stock-take'!$G:$K,4,FALSE)), "OUT OF STOCK", VLOOKUP(D568,'[2]stock-take'!$G:$K,4,FALSE)))</f>
        <v xml:space="preserve"> </v>
      </c>
      <c r="J568" s="39">
        <f>IF(ISNA(VLOOKUP(D568,'[2]stock-take'!$G:$K,3,FALSE)), 0, VLOOKUP(D568,'[2]stock-take'!$G:$K,3,FALSE))</f>
        <v>0</v>
      </c>
      <c r="K568" s="49" t="str">
        <f>IF(F568="", " ", IF(ISNA(VLOOKUP(D568,'[2]stock-take'!$M:$Q,4,FALSE)), "OUT OF STOCK", VLOOKUP(D568,'[2]stock-take'!$M:$Q,4,FALSE)))</f>
        <v xml:space="preserve"> </v>
      </c>
      <c r="L568" s="47">
        <f>IF(ISNA(VLOOKUP(D568,'[2]stock-take'!$M:$Q,3,FALSE)), 0, VLOOKUP(D568,'[2]stock-take'!$M:$Q,3,FALSE))</f>
        <v>0</v>
      </c>
      <c r="M568" s="48" t="str">
        <f t="shared" si="25"/>
        <v xml:space="preserve"> </v>
      </c>
      <c r="N568" s="39" t="str">
        <f t="shared" si="26"/>
        <v xml:space="preserve"> </v>
      </c>
    </row>
    <row r="569" spans="1:14">
      <c r="A569" s="37">
        <f t="shared" si="24"/>
        <v>558</v>
      </c>
      <c r="G569" s="48" t="str">
        <f>IF(F569=""," ",IF(ISNA(VLOOKUP(D569,'[2]stock-take'!$A:$E,4,FALSE)), "OUT OF STOCK", VLOOKUP(D569,'[2]stock-take'!$A:$E,4,FALSE)))</f>
        <v xml:space="preserve"> </v>
      </c>
      <c r="H569" s="48">
        <f>IF(ISNA(VLOOKUP(D569,'[2]stock-take'!$A:$E,3,FALSE)), 0, VLOOKUP(D569,'[2]stock-take'!$A:$E,3,FALSE))</f>
        <v>0</v>
      </c>
      <c r="I569" s="48" t="str">
        <f>IF(F569="", " ",IF(ISNA(VLOOKUP(D569,'[2]stock-take'!$G:$K,4,FALSE)), "OUT OF STOCK", VLOOKUP(D569,'[2]stock-take'!$G:$K,4,FALSE)))</f>
        <v xml:space="preserve"> </v>
      </c>
      <c r="J569" s="39">
        <f>IF(ISNA(VLOOKUP(D569,'[2]stock-take'!$G:$K,3,FALSE)), 0, VLOOKUP(D569,'[2]stock-take'!$G:$K,3,FALSE))</f>
        <v>0</v>
      </c>
      <c r="K569" s="49" t="str">
        <f>IF(F569="", " ", IF(ISNA(VLOOKUP(D569,'[2]stock-take'!$M:$Q,4,FALSE)), "OUT OF STOCK", VLOOKUP(D569,'[2]stock-take'!$M:$Q,4,FALSE)))</f>
        <v xml:space="preserve"> </v>
      </c>
      <c r="L569" s="47">
        <f>IF(ISNA(VLOOKUP(D569,'[2]stock-take'!$M:$Q,3,FALSE)), 0, VLOOKUP(D569,'[2]stock-take'!$M:$Q,3,FALSE))</f>
        <v>0</v>
      </c>
      <c r="M569" s="48" t="str">
        <f t="shared" si="25"/>
        <v xml:space="preserve"> </v>
      </c>
      <c r="N569" s="39" t="str">
        <f t="shared" si="26"/>
        <v xml:space="preserve"> </v>
      </c>
    </row>
    <row r="570" spans="1:14">
      <c r="A570" s="37">
        <f t="shared" si="24"/>
        <v>559</v>
      </c>
      <c r="G570" s="48" t="str">
        <f>IF(F570=""," ",IF(ISNA(VLOOKUP(D570,'[2]stock-take'!$A:$E,4,FALSE)), "OUT OF STOCK", VLOOKUP(D570,'[2]stock-take'!$A:$E,4,FALSE)))</f>
        <v xml:space="preserve"> </v>
      </c>
      <c r="H570" s="48">
        <f>IF(ISNA(VLOOKUP(D570,'[2]stock-take'!$A:$E,3,FALSE)), 0, VLOOKUP(D570,'[2]stock-take'!$A:$E,3,FALSE))</f>
        <v>0</v>
      </c>
      <c r="I570" s="48" t="str">
        <f>IF(F570="", " ",IF(ISNA(VLOOKUP(D570,'[2]stock-take'!$G:$K,4,FALSE)), "OUT OF STOCK", VLOOKUP(D570,'[2]stock-take'!$G:$K,4,FALSE)))</f>
        <v xml:space="preserve"> </v>
      </c>
      <c r="J570" s="39">
        <f>IF(ISNA(VLOOKUP(D570,'[2]stock-take'!$G:$K,3,FALSE)), 0, VLOOKUP(D570,'[2]stock-take'!$G:$K,3,FALSE))</f>
        <v>0</v>
      </c>
      <c r="K570" s="49" t="str">
        <f>IF(F570="", " ", IF(ISNA(VLOOKUP(D570,'[2]stock-take'!$M:$Q,4,FALSE)), "OUT OF STOCK", VLOOKUP(D570,'[2]stock-take'!$M:$Q,4,FALSE)))</f>
        <v xml:space="preserve"> </v>
      </c>
      <c r="L570" s="47">
        <f>IF(ISNA(VLOOKUP(D570,'[2]stock-take'!$M:$Q,3,FALSE)), 0, VLOOKUP(D570,'[2]stock-take'!$M:$Q,3,FALSE))</f>
        <v>0</v>
      </c>
      <c r="M570" s="48" t="str">
        <f t="shared" si="25"/>
        <v xml:space="preserve"> </v>
      </c>
      <c r="N570" s="39" t="str">
        <f t="shared" si="26"/>
        <v xml:space="preserve"> </v>
      </c>
    </row>
    <row r="571" spans="1:14">
      <c r="A571" s="37">
        <f t="shared" si="24"/>
        <v>560</v>
      </c>
      <c r="G571" s="48" t="str">
        <f>IF(F571=""," ",IF(ISNA(VLOOKUP(D571,'[2]stock-take'!$A:$E,4,FALSE)), "OUT OF STOCK", VLOOKUP(D571,'[2]stock-take'!$A:$E,4,FALSE)))</f>
        <v xml:space="preserve"> </v>
      </c>
      <c r="H571" s="48">
        <f>IF(ISNA(VLOOKUP(D571,'[2]stock-take'!$A:$E,3,FALSE)), 0, VLOOKUP(D571,'[2]stock-take'!$A:$E,3,FALSE))</f>
        <v>0</v>
      </c>
      <c r="I571" s="48" t="str">
        <f>IF(F571="", " ",IF(ISNA(VLOOKUP(D571,'[2]stock-take'!$G:$K,4,FALSE)), "OUT OF STOCK", VLOOKUP(D571,'[2]stock-take'!$G:$K,4,FALSE)))</f>
        <v xml:space="preserve"> </v>
      </c>
      <c r="J571" s="39">
        <f>IF(ISNA(VLOOKUP(D571,'[2]stock-take'!$G:$K,3,FALSE)), 0, VLOOKUP(D571,'[2]stock-take'!$G:$K,3,FALSE))</f>
        <v>0</v>
      </c>
      <c r="K571" s="49" t="str">
        <f>IF(F571="", " ", IF(ISNA(VLOOKUP(D571,'[2]stock-take'!$M:$Q,4,FALSE)), "OUT OF STOCK", VLOOKUP(D571,'[2]stock-take'!$M:$Q,4,FALSE)))</f>
        <v xml:space="preserve"> </v>
      </c>
      <c r="L571" s="47">
        <f>IF(ISNA(VLOOKUP(D571,'[2]stock-take'!$M:$Q,3,FALSE)), 0, VLOOKUP(D571,'[2]stock-take'!$M:$Q,3,FALSE))</f>
        <v>0</v>
      </c>
      <c r="M571" s="48" t="str">
        <f t="shared" si="25"/>
        <v xml:space="preserve"> </v>
      </c>
      <c r="N571" s="39" t="str">
        <f t="shared" si="26"/>
        <v xml:space="preserve"> </v>
      </c>
    </row>
    <row r="572" spans="1:14">
      <c r="A572" s="37">
        <f t="shared" si="24"/>
        <v>561</v>
      </c>
      <c r="G572" s="48" t="str">
        <f>IF(F572=""," ",IF(ISNA(VLOOKUP(D572,'[2]stock-take'!$A:$E,4,FALSE)), "OUT OF STOCK", VLOOKUP(D572,'[2]stock-take'!$A:$E,4,FALSE)))</f>
        <v xml:space="preserve"> </v>
      </c>
      <c r="H572" s="48">
        <f>IF(ISNA(VLOOKUP(D572,'[2]stock-take'!$A:$E,3,FALSE)), 0, VLOOKUP(D572,'[2]stock-take'!$A:$E,3,FALSE))</f>
        <v>0</v>
      </c>
      <c r="I572" s="48" t="str">
        <f>IF(F572="", " ",IF(ISNA(VLOOKUP(D572,'[2]stock-take'!$G:$K,4,FALSE)), "OUT OF STOCK", VLOOKUP(D572,'[2]stock-take'!$G:$K,4,FALSE)))</f>
        <v xml:space="preserve"> </v>
      </c>
      <c r="J572" s="39">
        <f>IF(ISNA(VLOOKUP(D572,'[2]stock-take'!$G:$K,3,FALSE)), 0, VLOOKUP(D572,'[2]stock-take'!$G:$K,3,FALSE))</f>
        <v>0</v>
      </c>
      <c r="K572" s="49" t="str">
        <f>IF(F572="", " ", IF(ISNA(VLOOKUP(D572,'[2]stock-take'!$M:$Q,4,FALSE)), "OUT OF STOCK", VLOOKUP(D572,'[2]stock-take'!$M:$Q,4,FALSE)))</f>
        <v xml:space="preserve"> </v>
      </c>
      <c r="L572" s="47">
        <f>IF(ISNA(VLOOKUP(D572,'[2]stock-take'!$M:$Q,3,FALSE)), 0, VLOOKUP(D572,'[2]stock-take'!$M:$Q,3,FALSE))</f>
        <v>0</v>
      </c>
      <c r="M572" s="48" t="str">
        <f t="shared" si="25"/>
        <v xml:space="preserve"> </v>
      </c>
      <c r="N572" s="39" t="str">
        <f t="shared" si="26"/>
        <v xml:space="preserve"> </v>
      </c>
    </row>
    <row r="573" spans="1:14">
      <c r="A573" s="37">
        <f t="shared" si="24"/>
        <v>562</v>
      </c>
      <c r="G573" s="48" t="str">
        <f>IF(F573=""," ",IF(ISNA(VLOOKUP(D573,'[2]stock-take'!$A:$E,4,FALSE)), "OUT OF STOCK", VLOOKUP(D573,'[2]stock-take'!$A:$E,4,FALSE)))</f>
        <v xml:space="preserve"> </v>
      </c>
      <c r="H573" s="48">
        <f>IF(ISNA(VLOOKUP(D573,'[2]stock-take'!$A:$E,3,FALSE)), 0, VLOOKUP(D573,'[2]stock-take'!$A:$E,3,FALSE))</f>
        <v>0</v>
      </c>
      <c r="I573" s="48" t="str">
        <f>IF(F573="", " ",IF(ISNA(VLOOKUP(D573,'[2]stock-take'!$G:$K,4,FALSE)), "OUT OF STOCK", VLOOKUP(D573,'[2]stock-take'!$G:$K,4,FALSE)))</f>
        <v xml:space="preserve"> </v>
      </c>
      <c r="J573" s="39">
        <f>IF(ISNA(VLOOKUP(D573,'[2]stock-take'!$G:$K,3,FALSE)), 0, VLOOKUP(D573,'[2]stock-take'!$G:$K,3,FALSE))</f>
        <v>0</v>
      </c>
      <c r="K573" s="49" t="str">
        <f>IF(F573="", " ", IF(ISNA(VLOOKUP(D573,'[2]stock-take'!$M:$Q,4,FALSE)), "OUT OF STOCK", VLOOKUP(D573,'[2]stock-take'!$M:$Q,4,FALSE)))</f>
        <v xml:space="preserve"> </v>
      </c>
      <c r="L573" s="47">
        <f>IF(ISNA(VLOOKUP(D573,'[2]stock-take'!$M:$Q,3,FALSE)), 0, VLOOKUP(D573,'[2]stock-take'!$M:$Q,3,FALSE))</f>
        <v>0</v>
      </c>
      <c r="M573" s="48" t="str">
        <f t="shared" si="25"/>
        <v xml:space="preserve"> </v>
      </c>
      <c r="N573" s="39" t="str">
        <f t="shared" si="26"/>
        <v xml:space="preserve"> </v>
      </c>
    </row>
    <row r="574" spans="1:14">
      <c r="A574" s="37">
        <f t="shared" si="24"/>
        <v>563</v>
      </c>
      <c r="G574" s="48" t="str">
        <f>IF(F574=""," ",IF(ISNA(VLOOKUP(D574,'[2]stock-take'!$A:$E,4,FALSE)), "OUT OF STOCK", VLOOKUP(D574,'[2]stock-take'!$A:$E,4,FALSE)))</f>
        <v xml:space="preserve"> </v>
      </c>
      <c r="H574" s="48">
        <f>IF(ISNA(VLOOKUP(D574,'[2]stock-take'!$A:$E,3,FALSE)), 0, VLOOKUP(D574,'[2]stock-take'!$A:$E,3,FALSE))</f>
        <v>0</v>
      </c>
      <c r="I574" s="48" t="str">
        <f>IF(F574="", " ",IF(ISNA(VLOOKUP(D574,'[2]stock-take'!$G:$K,4,FALSE)), "OUT OF STOCK", VLOOKUP(D574,'[2]stock-take'!$G:$K,4,FALSE)))</f>
        <v xml:space="preserve"> </v>
      </c>
      <c r="J574" s="39">
        <f>IF(ISNA(VLOOKUP(D574,'[2]stock-take'!$G:$K,3,FALSE)), 0, VLOOKUP(D574,'[2]stock-take'!$G:$K,3,FALSE))</f>
        <v>0</v>
      </c>
      <c r="K574" s="49" t="str">
        <f>IF(F574="", " ", IF(ISNA(VLOOKUP(D574,'[2]stock-take'!$M:$Q,4,FALSE)), "OUT OF STOCK", VLOOKUP(D574,'[2]stock-take'!$M:$Q,4,FALSE)))</f>
        <v xml:space="preserve"> </v>
      </c>
      <c r="L574" s="47">
        <f>IF(ISNA(VLOOKUP(D574,'[2]stock-take'!$M:$Q,3,FALSE)), 0, VLOOKUP(D574,'[2]stock-take'!$M:$Q,3,FALSE))</f>
        <v>0</v>
      </c>
      <c r="M574" s="48" t="str">
        <f t="shared" si="25"/>
        <v xml:space="preserve"> </v>
      </c>
      <c r="N574" s="39" t="str">
        <f t="shared" si="26"/>
        <v xml:space="preserve"> </v>
      </c>
    </row>
    <row r="575" spans="1:14">
      <c r="A575" s="37">
        <f t="shared" si="24"/>
        <v>564</v>
      </c>
      <c r="G575" s="48" t="str">
        <f>IF(F575=""," ",IF(ISNA(VLOOKUP(D575,'[2]stock-take'!$A:$E,4,FALSE)), "OUT OF STOCK", VLOOKUP(D575,'[2]stock-take'!$A:$E,4,FALSE)))</f>
        <v xml:space="preserve"> </v>
      </c>
      <c r="H575" s="48">
        <f>IF(ISNA(VLOOKUP(D575,'[2]stock-take'!$A:$E,3,FALSE)), 0, VLOOKUP(D575,'[2]stock-take'!$A:$E,3,FALSE))</f>
        <v>0</v>
      </c>
      <c r="I575" s="48" t="str">
        <f>IF(F575="", " ",IF(ISNA(VLOOKUP(D575,'[2]stock-take'!$G:$K,4,FALSE)), "OUT OF STOCK", VLOOKUP(D575,'[2]stock-take'!$G:$K,4,FALSE)))</f>
        <v xml:space="preserve"> </v>
      </c>
      <c r="J575" s="39">
        <f>IF(ISNA(VLOOKUP(D575,'[2]stock-take'!$G:$K,3,FALSE)), 0, VLOOKUP(D575,'[2]stock-take'!$G:$K,3,FALSE))</f>
        <v>0</v>
      </c>
      <c r="K575" s="49" t="str">
        <f>IF(F575="", " ", IF(ISNA(VLOOKUP(D575,'[2]stock-take'!$M:$Q,4,FALSE)), "OUT OF STOCK", VLOOKUP(D575,'[2]stock-take'!$M:$Q,4,FALSE)))</f>
        <v xml:space="preserve"> </v>
      </c>
      <c r="L575" s="47">
        <f>IF(ISNA(VLOOKUP(D575,'[2]stock-take'!$M:$Q,3,FALSE)), 0, VLOOKUP(D575,'[2]stock-take'!$M:$Q,3,FALSE))</f>
        <v>0</v>
      </c>
      <c r="M575" s="48" t="str">
        <f t="shared" si="25"/>
        <v xml:space="preserve"> </v>
      </c>
      <c r="N575" s="39" t="str">
        <f t="shared" si="26"/>
        <v xml:space="preserve"> </v>
      </c>
    </row>
    <row r="576" spans="1:14">
      <c r="A576" s="37">
        <f t="shared" si="24"/>
        <v>565</v>
      </c>
      <c r="G576" s="48" t="str">
        <f>IF(F576=""," ",IF(ISNA(VLOOKUP(D576,'[2]stock-take'!$A:$E,4,FALSE)), "OUT OF STOCK", VLOOKUP(D576,'[2]stock-take'!$A:$E,4,FALSE)))</f>
        <v xml:space="preserve"> </v>
      </c>
      <c r="H576" s="48">
        <f>IF(ISNA(VLOOKUP(D576,'[2]stock-take'!$A:$E,3,FALSE)), 0, VLOOKUP(D576,'[2]stock-take'!$A:$E,3,FALSE))</f>
        <v>0</v>
      </c>
      <c r="I576" s="48" t="str">
        <f>IF(F576="", " ",IF(ISNA(VLOOKUP(D576,'[2]stock-take'!$G:$K,4,FALSE)), "OUT OF STOCK", VLOOKUP(D576,'[2]stock-take'!$G:$K,4,FALSE)))</f>
        <v xml:space="preserve"> </v>
      </c>
      <c r="J576" s="39">
        <f>IF(ISNA(VLOOKUP(D576,'[2]stock-take'!$G:$K,3,FALSE)), 0, VLOOKUP(D576,'[2]stock-take'!$G:$K,3,FALSE))</f>
        <v>0</v>
      </c>
      <c r="K576" s="49" t="str">
        <f>IF(F576="", " ", IF(ISNA(VLOOKUP(D576,'[2]stock-take'!$M:$Q,4,FALSE)), "OUT OF STOCK", VLOOKUP(D576,'[2]stock-take'!$M:$Q,4,FALSE)))</f>
        <v xml:space="preserve"> </v>
      </c>
      <c r="L576" s="47">
        <f>IF(ISNA(VLOOKUP(D576,'[2]stock-take'!$M:$Q,3,FALSE)), 0, VLOOKUP(D576,'[2]stock-take'!$M:$Q,3,FALSE))</f>
        <v>0</v>
      </c>
      <c r="M576" s="48" t="str">
        <f t="shared" si="25"/>
        <v xml:space="preserve"> </v>
      </c>
      <c r="N576" s="39" t="str">
        <f t="shared" si="26"/>
        <v xml:space="preserve"> </v>
      </c>
    </row>
    <row r="577" spans="1:14">
      <c r="A577" s="37">
        <f t="shared" si="24"/>
        <v>566</v>
      </c>
      <c r="G577" s="48" t="str">
        <f>IF(F577=""," ",IF(ISNA(VLOOKUP(D577,'[2]stock-take'!$A:$E,4,FALSE)), "OUT OF STOCK", VLOOKUP(D577,'[2]stock-take'!$A:$E,4,FALSE)))</f>
        <v xml:space="preserve"> </v>
      </c>
      <c r="H577" s="48">
        <f>IF(ISNA(VLOOKUP(D577,'[2]stock-take'!$A:$E,3,FALSE)), 0, VLOOKUP(D577,'[2]stock-take'!$A:$E,3,FALSE))</f>
        <v>0</v>
      </c>
      <c r="I577" s="48" t="str">
        <f>IF(F577="", " ",IF(ISNA(VLOOKUP(D577,'[2]stock-take'!$G:$K,4,FALSE)), "OUT OF STOCK", VLOOKUP(D577,'[2]stock-take'!$G:$K,4,FALSE)))</f>
        <v xml:space="preserve"> </v>
      </c>
      <c r="J577" s="39">
        <f>IF(ISNA(VLOOKUP(D577,'[2]stock-take'!$G:$K,3,FALSE)), 0, VLOOKUP(D577,'[2]stock-take'!$G:$K,3,FALSE))</f>
        <v>0</v>
      </c>
      <c r="K577" s="49" t="str">
        <f>IF(F577="", " ", IF(ISNA(VLOOKUP(D577,'[2]stock-take'!$M:$Q,4,FALSE)), "OUT OF STOCK", VLOOKUP(D577,'[2]stock-take'!$M:$Q,4,FALSE)))</f>
        <v xml:space="preserve"> </v>
      </c>
      <c r="L577" s="47">
        <f>IF(ISNA(VLOOKUP(D577,'[2]stock-take'!$M:$Q,3,FALSE)), 0, VLOOKUP(D577,'[2]stock-take'!$M:$Q,3,FALSE))</f>
        <v>0</v>
      </c>
      <c r="M577" s="48" t="str">
        <f t="shared" si="25"/>
        <v xml:space="preserve"> </v>
      </c>
      <c r="N577" s="39" t="str">
        <f t="shared" si="26"/>
        <v xml:space="preserve"> </v>
      </c>
    </row>
    <row r="578" spans="1:14">
      <c r="A578" s="37">
        <f t="shared" si="24"/>
        <v>567</v>
      </c>
      <c r="G578" s="48" t="str">
        <f>IF(F578=""," ",IF(ISNA(VLOOKUP(D578,'[2]stock-take'!$A:$E,4,FALSE)), "OUT OF STOCK", VLOOKUP(D578,'[2]stock-take'!$A:$E,4,FALSE)))</f>
        <v xml:space="preserve"> </v>
      </c>
      <c r="H578" s="48">
        <f>IF(ISNA(VLOOKUP(D578,'[2]stock-take'!$A:$E,3,FALSE)), 0, VLOOKUP(D578,'[2]stock-take'!$A:$E,3,FALSE))</f>
        <v>0</v>
      </c>
      <c r="I578" s="48" t="str">
        <f>IF(F578="", " ",IF(ISNA(VLOOKUP(D578,'[2]stock-take'!$G:$K,4,FALSE)), "OUT OF STOCK", VLOOKUP(D578,'[2]stock-take'!$G:$K,4,FALSE)))</f>
        <v xml:space="preserve"> </v>
      </c>
      <c r="J578" s="39">
        <f>IF(ISNA(VLOOKUP(D578,'[2]stock-take'!$G:$K,3,FALSE)), 0, VLOOKUP(D578,'[2]stock-take'!$G:$K,3,FALSE))</f>
        <v>0</v>
      </c>
      <c r="K578" s="49" t="str">
        <f>IF(F578="", " ", IF(ISNA(VLOOKUP(D578,'[2]stock-take'!$M:$Q,4,FALSE)), "OUT OF STOCK", VLOOKUP(D578,'[2]stock-take'!$M:$Q,4,FALSE)))</f>
        <v xml:space="preserve"> </v>
      </c>
      <c r="L578" s="47">
        <f>IF(ISNA(VLOOKUP(D578,'[2]stock-take'!$M:$Q,3,FALSE)), 0, VLOOKUP(D578,'[2]stock-take'!$M:$Q,3,FALSE))</f>
        <v>0</v>
      </c>
      <c r="M578" s="48" t="str">
        <f t="shared" si="25"/>
        <v xml:space="preserve"> </v>
      </c>
      <c r="N578" s="39" t="str">
        <f t="shared" si="26"/>
        <v xml:space="preserve"> </v>
      </c>
    </row>
    <row r="579" spans="1:14">
      <c r="A579" s="37">
        <f t="shared" si="24"/>
        <v>568</v>
      </c>
      <c r="G579" s="48" t="str">
        <f>IF(F579=""," ",IF(ISNA(VLOOKUP(D579,'[2]stock-take'!$A:$E,4,FALSE)), "OUT OF STOCK", VLOOKUP(D579,'[2]stock-take'!$A:$E,4,FALSE)))</f>
        <v xml:space="preserve"> </v>
      </c>
      <c r="H579" s="48">
        <f>IF(ISNA(VLOOKUP(D579,'[2]stock-take'!$A:$E,3,FALSE)), 0, VLOOKUP(D579,'[2]stock-take'!$A:$E,3,FALSE))</f>
        <v>0</v>
      </c>
      <c r="I579" s="48" t="str">
        <f>IF(F579="", " ",IF(ISNA(VLOOKUP(D579,'[2]stock-take'!$G:$K,4,FALSE)), "OUT OF STOCK", VLOOKUP(D579,'[2]stock-take'!$G:$K,4,FALSE)))</f>
        <v xml:space="preserve"> </v>
      </c>
      <c r="J579" s="39">
        <f>IF(ISNA(VLOOKUP(D579,'[2]stock-take'!$G:$K,3,FALSE)), 0, VLOOKUP(D579,'[2]stock-take'!$G:$K,3,FALSE))</f>
        <v>0</v>
      </c>
      <c r="K579" s="49" t="str">
        <f>IF(F579="", " ", IF(ISNA(VLOOKUP(D579,'[2]stock-take'!$M:$Q,4,FALSE)), "OUT OF STOCK", VLOOKUP(D579,'[2]stock-take'!$M:$Q,4,FALSE)))</f>
        <v xml:space="preserve"> </v>
      </c>
      <c r="L579" s="47">
        <f>IF(ISNA(VLOOKUP(D579,'[2]stock-take'!$M:$Q,3,FALSE)), 0, VLOOKUP(D579,'[2]stock-take'!$M:$Q,3,FALSE))</f>
        <v>0</v>
      </c>
      <c r="M579" s="48" t="str">
        <f t="shared" si="25"/>
        <v xml:space="preserve"> </v>
      </c>
      <c r="N579" s="39" t="str">
        <f t="shared" si="26"/>
        <v xml:space="preserve"> </v>
      </c>
    </row>
    <row r="580" spans="1:14">
      <c r="A580" s="37">
        <f t="shared" si="24"/>
        <v>569</v>
      </c>
      <c r="G580" s="48" t="str">
        <f>IF(F580=""," ",IF(ISNA(VLOOKUP(D580,'[2]stock-take'!$A:$E,4,FALSE)), "OUT OF STOCK", VLOOKUP(D580,'[2]stock-take'!$A:$E,4,FALSE)))</f>
        <v xml:space="preserve"> </v>
      </c>
      <c r="H580" s="48">
        <f>IF(ISNA(VLOOKUP(D580,'[2]stock-take'!$A:$E,3,FALSE)), 0, VLOOKUP(D580,'[2]stock-take'!$A:$E,3,FALSE))</f>
        <v>0</v>
      </c>
      <c r="I580" s="48" t="str">
        <f>IF(F580="", " ",IF(ISNA(VLOOKUP(D580,'[2]stock-take'!$G:$K,4,FALSE)), "OUT OF STOCK", VLOOKUP(D580,'[2]stock-take'!$G:$K,4,FALSE)))</f>
        <v xml:space="preserve"> </v>
      </c>
      <c r="J580" s="39">
        <f>IF(ISNA(VLOOKUP(D580,'[2]stock-take'!$G:$K,3,FALSE)), 0, VLOOKUP(D580,'[2]stock-take'!$G:$K,3,FALSE))</f>
        <v>0</v>
      </c>
      <c r="K580" s="49" t="str">
        <f>IF(F580="", " ", IF(ISNA(VLOOKUP(D580,'[2]stock-take'!$M:$Q,4,FALSE)), "OUT OF STOCK", VLOOKUP(D580,'[2]stock-take'!$M:$Q,4,FALSE)))</f>
        <v xml:space="preserve"> </v>
      </c>
      <c r="L580" s="47">
        <f>IF(ISNA(VLOOKUP(D580,'[2]stock-take'!$M:$Q,3,FALSE)), 0, VLOOKUP(D580,'[2]stock-take'!$M:$Q,3,FALSE))</f>
        <v>0</v>
      </c>
      <c r="M580" s="48" t="str">
        <f t="shared" si="25"/>
        <v xml:space="preserve"> </v>
      </c>
      <c r="N580" s="39" t="str">
        <f t="shared" si="26"/>
        <v xml:space="preserve"> </v>
      </c>
    </row>
    <row r="581" spans="1:14">
      <c r="A581" s="37">
        <f t="shared" si="24"/>
        <v>570</v>
      </c>
      <c r="G581" s="48" t="str">
        <f>IF(F581=""," ",IF(ISNA(VLOOKUP(D581,'[2]stock-take'!$A:$E,4,FALSE)), "OUT OF STOCK", VLOOKUP(D581,'[2]stock-take'!$A:$E,4,FALSE)))</f>
        <v xml:space="preserve"> </v>
      </c>
      <c r="H581" s="48">
        <f>IF(ISNA(VLOOKUP(D581,'[2]stock-take'!$A:$E,3,FALSE)), 0, VLOOKUP(D581,'[2]stock-take'!$A:$E,3,FALSE))</f>
        <v>0</v>
      </c>
      <c r="I581" s="48" t="str">
        <f>IF(F581="", " ",IF(ISNA(VLOOKUP(D581,'[2]stock-take'!$G:$K,4,FALSE)), "OUT OF STOCK", VLOOKUP(D581,'[2]stock-take'!$G:$K,4,FALSE)))</f>
        <v xml:space="preserve"> </v>
      </c>
      <c r="J581" s="39">
        <f>IF(ISNA(VLOOKUP(D581,'[2]stock-take'!$G:$K,3,FALSE)), 0, VLOOKUP(D581,'[2]stock-take'!$G:$K,3,FALSE))</f>
        <v>0</v>
      </c>
      <c r="K581" s="49" t="str">
        <f>IF(F581="", " ", IF(ISNA(VLOOKUP(D581,'[2]stock-take'!$M:$Q,4,FALSE)), "OUT OF STOCK", VLOOKUP(D581,'[2]stock-take'!$M:$Q,4,FALSE)))</f>
        <v xml:space="preserve"> </v>
      </c>
      <c r="L581" s="47">
        <f>IF(ISNA(VLOOKUP(D581,'[2]stock-take'!$M:$Q,3,FALSE)), 0, VLOOKUP(D581,'[2]stock-take'!$M:$Q,3,FALSE))</f>
        <v>0</v>
      </c>
      <c r="M581" s="48" t="str">
        <f t="shared" si="25"/>
        <v xml:space="preserve"> </v>
      </c>
      <c r="N581" s="39" t="str">
        <f t="shared" si="26"/>
        <v xml:space="preserve"> </v>
      </c>
    </row>
    <row r="582" spans="1:14">
      <c r="A582" s="37">
        <f t="shared" si="24"/>
        <v>571</v>
      </c>
      <c r="G582" s="48" t="str">
        <f>IF(F582=""," ",IF(ISNA(VLOOKUP(D582,'[2]stock-take'!$A:$E,4,FALSE)), "OUT OF STOCK", VLOOKUP(D582,'[2]stock-take'!$A:$E,4,FALSE)))</f>
        <v xml:space="preserve"> </v>
      </c>
      <c r="H582" s="48">
        <f>IF(ISNA(VLOOKUP(D582,'[2]stock-take'!$A:$E,3,FALSE)), 0, VLOOKUP(D582,'[2]stock-take'!$A:$E,3,FALSE))</f>
        <v>0</v>
      </c>
      <c r="I582" s="48" t="str">
        <f>IF(F582="", " ",IF(ISNA(VLOOKUP(D582,'[2]stock-take'!$G:$K,4,FALSE)), "OUT OF STOCK", VLOOKUP(D582,'[2]stock-take'!$G:$K,4,FALSE)))</f>
        <v xml:space="preserve"> </v>
      </c>
      <c r="J582" s="39">
        <f>IF(ISNA(VLOOKUP(D582,'[2]stock-take'!$G:$K,3,FALSE)), 0, VLOOKUP(D582,'[2]stock-take'!$G:$K,3,FALSE))</f>
        <v>0</v>
      </c>
      <c r="K582" s="49" t="str">
        <f>IF(F582="", " ", IF(ISNA(VLOOKUP(D582,'[2]stock-take'!$M:$Q,4,FALSE)), "OUT OF STOCK", VLOOKUP(D582,'[2]stock-take'!$M:$Q,4,FALSE)))</f>
        <v xml:space="preserve"> </v>
      </c>
      <c r="L582" s="47">
        <f>IF(ISNA(VLOOKUP(D582,'[2]stock-take'!$M:$Q,3,FALSE)), 0, VLOOKUP(D582,'[2]stock-take'!$M:$Q,3,FALSE))</f>
        <v>0</v>
      </c>
      <c r="M582" s="48" t="str">
        <f t="shared" si="25"/>
        <v xml:space="preserve"> </v>
      </c>
      <c r="N582" s="39" t="str">
        <f t="shared" si="26"/>
        <v xml:space="preserve"> </v>
      </c>
    </row>
    <row r="583" spans="1:14">
      <c r="A583" s="37">
        <f t="shared" si="24"/>
        <v>572</v>
      </c>
      <c r="G583" s="48" t="str">
        <f>IF(F583=""," ",IF(ISNA(VLOOKUP(D583,'[2]stock-take'!$A:$E,4,FALSE)), "OUT OF STOCK", VLOOKUP(D583,'[2]stock-take'!$A:$E,4,FALSE)))</f>
        <v xml:space="preserve"> </v>
      </c>
      <c r="H583" s="48">
        <f>IF(ISNA(VLOOKUP(D583,'[2]stock-take'!$A:$E,3,FALSE)), 0, VLOOKUP(D583,'[2]stock-take'!$A:$E,3,FALSE))</f>
        <v>0</v>
      </c>
      <c r="I583" s="48" t="str">
        <f>IF(F583="", " ",IF(ISNA(VLOOKUP(D583,'[2]stock-take'!$G:$K,4,FALSE)), "OUT OF STOCK", VLOOKUP(D583,'[2]stock-take'!$G:$K,4,FALSE)))</f>
        <v xml:space="preserve"> </v>
      </c>
      <c r="J583" s="39">
        <f>IF(ISNA(VLOOKUP(D583,'[2]stock-take'!$G:$K,3,FALSE)), 0, VLOOKUP(D583,'[2]stock-take'!$G:$K,3,FALSE))</f>
        <v>0</v>
      </c>
      <c r="K583" s="49" t="str">
        <f>IF(F583="", " ", IF(ISNA(VLOOKUP(D583,'[2]stock-take'!$M:$Q,4,FALSE)), "OUT OF STOCK", VLOOKUP(D583,'[2]stock-take'!$M:$Q,4,FALSE)))</f>
        <v xml:space="preserve"> </v>
      </c>
      <c r="L583" s="47">
        <f>IF(ISNA(VLOOKUP(D583,'[2]stock-take'!$M:$Q,3,FALSE)), 0, VLOOKUP(D583,'[2]stock-take'!$M:$Q,3,FALSE))</f>
        <v>0</v>
      </c>
      <c r="M583" s="48" t="str">
        <f t="shared" si="25"/>
        <v xml:space="preserve"> </v>
      </c>
      <c r="N583" s="39" t="str">
        <f t="shared" si="26"/>
        <v xml:space="preserve"> </v>
      </c>
    </row>
    <row r="584" spans="1:14">
      <c r="A584" s="37">
        <f t="shared" si="24"/>
        <v>573</v>
      </c>
      <c r="G584" s="48" t="str">
        <f>IF(F584=""," ",IF(ISNA(VLOOKUP(D584,'[2]stock-take'!$A:$E,4,FALSE)), "OUT OF STOCK", VLOOKUP(D584,'[2]stock-take'!$A:$E,4,FALSE)))</f>
        <v xml:space="preserve"> </v>
      </c>
      <c r="H584" s="48">
        <f>IF(ISNA(VLOOKUP(D584,'[2]stock-take'!$A:$E,3,FALSE)), 0, VLOOKUP(D584,'[2]stock-take'!$A:$E,3,FALSE))</f>
        <v>0</v>
      </c>
      <c r="I584" s="48" t="str">
        <f>IF(F584="", " ",IF(ISNA(VLOOKUP(D584,'[2]stock-take'!$G:$K,4,FALSE)), "OUT OF STOCK", VLOOKUP(D584,'[2]stock-take'!$G:$K,4,FALSE)))</f>
        <v xml:space="preserve"> </v>
      </c>
      <c r="J584" s="39">
        <f>IF(ISNA(VLOOKUP(D584,'[2]stock-take'!$G:$K,3,FALSE)), 0, VLOOKUP(D584,'[2]stock-take'!$G:$K,3,FALSE))</f>
        <v>0</v>
      </c>
      <c r="K584" s="49" t="str">
        <f>IF(F584="", " ", IF(ISNA(VLOOKUP(D584,'[2]stock-take'!$M:$Q,4,FALSE)), "OUT OF STOCK", VLOOKUP(D584,'[2]stock-take'!$M:$Q,4,FALSE)))</f>
        <v xml:space="preserve"> </v>
      </c>
      <c r="L584" s="47">
        <f>IF(ISNA(VLOOKUP(D584,'[2]stock-take'!$M:$Q,3,FALSE)), 0, VLOOKUP(D584,'[2]stock-take'!$M:$Q,3,FALSE))</f>
        <v>0</v>
      </c>
      <c r="M584" s="48" t="str">
        <f t="shared" si="25"/>
        <v xml:space="preserve"> </v>
      </c>
      <c r="N584" s="39" t="str">
        <f t="shared" si="26"/>
        <v xml:space="preserve"> </v>
      </c>
    </row>
    <row r="585" spans="1:14">
      <c r="A585" s="37">
        <f t="shared" si="24"/>
        <v>574</v>
      </c>
      <c r="G585" s="48" t="str">
        <f>IF(F585=""," ",IF(ISNA(VLOOKUP(D585,'[2]stock-take'!$A:$E,4,FALSE)), "OUT OF STOCK", VLOOKUP(D585,'[2]stock-take'!$A:$E,4,FALSE)))</f>
        <v xml:space="preserve"> </v>
      </c>
      <c r="H585" s="48">
        <f>IF(ISNA(VLOOKUP(D585,'[2]stock-take'!$A:$E,3,FALSE)), 0, VLOOKUP(D585,'[2]stock-take'!$A:$E,3,FALSE))</f>
        <v>0</v>
      </c>
      <c r="I585" s="48" t="str">
        <f>IF(F585="", " ",IF(ISNA(VLOOKUP(D585,'[2]stock-take'!$G:$K,4,FALSE)), "OUT OF STOCK", VLOOKUP(D585,'[2]stock-take'!$G:$K,4,FALSE)))</f>
        <v xml:space="preserve"> </v>
      </c>
      <c r="J585" s="39">
        <f>IF(ISNA(VLOOKUP(D585,'[2]stock-take'!$G:$K,3,FALSE)), 0, VLOOKUP(D585,'[2]stock-take'!$G:$K,3,FALSE))</f>
        <v>0</v>
      </c>
      <c r="K585" s="49" t="str">
        <f>IF(F585="", " ", IF(ISNA(VLOOKUP(D585,'[2]stock-take'!$M:$Q,4,FALSE)), "OUT OF STOCK", VLOOKUP(D585,'[2]stock-take'!$M:$Q,4,FALSE)))</f>
        <v xml:space="preserve"> </v>
      </c>
      <c r="L585" s="47">
        <f>IF(ISNA(VLOOKUP(D585,'[2]stock-take'!$M:$Q,3,FALSE)), 0, VLOOKUP(D585,'[2]stock-take'!$M:$Q,3,FALSE))</f>
        <v>0</v>
      </c>
      <c r="M585" s="48" t="str">
        <f t="shared" si="25"/>
        <v xml:space="preserve"> </v>
      </c>
      <c r="N585" s="39" t="str">
        <f t="shared" si="26"/>
        <v xml:space="preserve"> </v>
      </c>
    </row>
    <row r="586" spans="1:14">
      <c r="A586" s="37">
        <f t="shared" si="24"/>
        <v>575</v>
      </c>
      <c r="G586" s="48" t="str">
        <f>IF(F586=""," ",IF(ISNA(VLOOKUP(D586,'[2]stock-take'!$A:$E,4,FALSE)), "OUT OF STOCK", VLOOKUP(D586,'[2]stock-take'!$A:$E,4,FALSE)))</f>
        <v xml:space="preserve"> </v>
      </c>
      <c r="H586" s="48">
        <f>IF(ISNA(VLOOKUP(D586,'[2]stock-take'!$A:$E,3,FALSE)), 0, VLOOKUP(D586,'[2]stock-take'!$A:$E,3,FALSE))</f>
        <v>0</v>
      </c>
      <c r="I586" s="48" t="str">
        <f>IF(F586="", " ",IF(ISNA(VLOOKUP(D586,'[2]stock-take'!$G:$K,4,FALSE)), "OUT OF STOCK", VLOOKUP(D586,'[2]stock-take'!$G:$K,4,FALSE)))</f>
        <v xml:space="preserve"> </v>
      </c>
      <c r="J586" s="39">
        <f>IF(ISNA(VLOOKUP(D586,'[2]stock-take'!$G:$K,3,FALSE)), 0, VLOOKUP(D586,'[2]stock-take'!$G:$K,3,FALSE))</f>
        <v>0</v>
      </c>
      <c r="K586" s="49" t="str">
        <f>IF(F586="", " ", IF(ISNA(VLOOKUP(D586,'[2]stock-take'!$M:$Q,4,FALSE)), "OUT OF STOCK", VLOOKUP(D586,'[2]stock-take'!$M:$Q,4,FALSE)))</f>
        <v xml:space="preserve"> </v>
      </c>
      <c r="L586" s="47">
        <f>IF(ISNA(VLOOKUP(D586,'[2]stock-take'!$M:$Q,3,FALSE)), 0, VLOOKUP(D586,'[2]stock-take'!$M:$Q,3,FALSE))</f>
        <v>0</v>
      </c>
      <c r="M586" s="48" t="str">
        <f t="shared" si="25"/>
        <v xml:space="preserve"> </v>
      </c>
      <c r="N586" s="39" t="str">
        <f t="shared" si="26"/>
        <v xml:space="preserve"> </v>
      </c>
    </row>
    <row r="587" spans="1:14">
      <c r="A587" s="37">
        <f t="shared" si="24"/>
        <v>576</v>
      </c>
      <c r="G587" s="48" t="str">
        <f>IF(F587=""," ",IF(ISNA(VLOOKUP(D587,'[2]stock-take'!$A:$E,4,FALSE)), "OUT OF STOCK", VLOOKUP(D587,'[2]stock-take'!$A:$E,4,FALSE)))</f>
        <v xml:space="preserve"> </v>
      </c>
      <c r="H587" s="48">
        <f>IF(ISNA(VLOOKUP(D587,'[2]stock-take'!$A:$E,3,FALSE)), 0, VLOOKUP(D587,'[2]stock-take'!$A:$E,3,FALSE))</f>
        <v>0</v>
      </c>
      <c r="I587" s="48" t="str">
        <f>IF(F587="", " ",IF(ISNA(VLOOKUP(D587,'[2]stock-take'!$G:$K,4,FALSE)), "OUT OF STOCK", VLOOKUP(D587,'[2]stock-take'!$G:$K,4,FALSE)))</f>
        <v xml:space="preserve"> </v>
      </c>
      <c r="J587" s="39">
        <f>IF(ISNA(VLOOKUP(D587,'[2]stock-take'!$G:$K,3,FALSE)), 0, VLOOKUP(D587,'[2]stock-take'!$G:$K,3,FALSE))</f>
        <v>0</v>
      </c>
      <c r="K587" s="49" t="str">
        <f>IF(F587="", " ", IF(ISNA(VLOOKUP(D587,'[2]stock-take'!$M:$Q,4,FALSE)), "OUT OF STOCK", VLOOKUP(D587,'[2]stock-take'!$M:$Q,4,FALSE)))</f>
        <v xml:space="preserve"> </v>
      </c>
      <c r="L587" s="47">
        <f>IF(ISNA(VLOOKUP(D587,'[2]stock-take'!$M:$Q,3,FALSE)), 0, VLOOKUP(D587,'[2]stock-take'!$M:$Q,3,FALSE))</f>
        <v>0</v>
      </c>
      <c r="M587" s="48" t="str">
        <f t="shared" si="25"/>
        <v xml:space="preserve"> </v>
      </c>
      <c r="N587" s="39" t="str">
        <f t="shared" si="26"/>
        <v xml:space="preserve"> </v>
      </c>
    </row>
    <row r="588" spans="1:14">
      <c r="A588" s="37">
        <f t="shared" ref="A588:A651" si="27">ROW(A588)-11</f>
        <v>577</v>
      </c>
      <c r="G588" s="48" t="str">
        <f>IF(F588=""," ",IF(ISNA(VLOOKUP(D588,'[2]stock-take'!$A:$E,4,FALSE)), "OUT OF STOCK", VLOOKUP(D588,'[2]stock-take'!$A:$E,4,FALSE)))</f>
        <v xml:space="preserve"> </v>
      </c>
      <c r="H588" s="48">
        <f>IF(ISNA(VLOOKUP(D588,'[2]stock-take'!$A:$E,3,FALSE)), 0, VLOOKUP(D588,'[2]stock-take'!$A:$E,3,FALSE))</f>
        <v>0</v>
      </c>
      <c r="I588" s="48" t="str">
        <f>IF(F588="", " ",IF(ISNA(VLOOKUP(D588,'[2]stock-take'!$G:$K,4,FALSE)), "OUT OF STOCK", VLOOKUP(D588,'[2]stock-take'!$G:$K,4,FALSE)))</f>
        <v xml:space="preserve"> </v>
      </c>
      <c r="J588" s="39">
        <f>IF(ISNA(VLOOKUP(D588,'[2]stock-take'!$G:$K,3,FALSE)), 0, VLOOKUP(D588,'[2]stock-take'!$G:$K,3,FALSE))</f>
        <v>0</v>
      </c>
      <c r="K588" s="49" t="str">
        <f>IF(F588="", " ", IF(ISNA(VLOOKUP(D588,'[2]stock-take'!$M:$Q,4,FALSE)), "OUT OF STOCK", VLOOKUP(D588,'[2]stock-take'!$M:$Q,4,FALSE)))</f>
        <v xml:space="preserve"> </v>
      </c>
      <c r="L588" s="47">
        <f>IF(ISNA(VLOOKUP(D588,'[2]stock-take'!$M:$Q,3,FALSE)), 0, VLOOKUP(D588,'[2]stock-take'!$M:$Q,3,FALSE))</f>
        <v>0</v>
      </c>
      <c r="M588" s="48" t="str">
        <f t="shared" si="25"/>
        <v xml:space="preserve"> </v>
      </c>
      <c r="N588" s="39" t="str">
        <f t="shared" si="26"/>
        <v xml:space="preserve"> </v>
      </c>
    </row>
    <row r="589" spans="1:14">
      <c r="A589" s="37">
        <f t="shared" si="27"/>
        <v>578</v>
      </c>
      <c r="G589" s="48" t="str">
        <f>IF(F589=""," ",IF(ISNA(VLOOKUP(D589,'[2]stock-take'!$A:$E,4,FALSE)), "OUT OF STOCK", VLOOKUP(D589,'[2]stock-take'!$A:$E,4,FALSE)))</f>
        <v xml:space="preserve"> </v>
      </c>
      <c r="H589" s="48">
        <f>IF(ISNA(VLOOKUP(D589,'[2]stock-take'!$A:$E,3,FALSE)), 0, VLOOKUP(D589,'[2]stock-take'!$A:$E,3,FALSE))</f>
        <v>0</v>
      </c>
      <c r="I589" s="48" t="str">
        <f>IF(F589="", " ",IF(ISNA(VLOOKUP(D589,'[2]stock-take'!$G:$K,4,FALSE)), "OUT OF STOCK", VLOOKUP(D589,'[2]stock-take'!$G:$K,4,FALSE)))</f>
        <v xml:space="preserve"> </v>
      </c>
      <c r="J589" s="39">
        <f>IF(ISNA(VLOOKUP(D589,'[2]stock-take'!$G:$K,3,FALSE)), 0, VLOOKUP(D589,'[2]stock-take'!$G:$K,3,FALSE))</f>
        <v>0</v>
      </c>
      <c r="K589" s="49" t="str">
        <f>IF(F589="", " ", IF(ISNA(VLOOKUP(D589,'[2]stock-take'!$M:$Q,4,FALSE)), "OUT OF STOCK", VLOOKUP(D589,'[2]stock-take'!$M:$Q,4,FALSE)))</f>
        <v xml:space="preserve"> </v>
      </c>
      <c r="L589" s="47">
        <f>IF(ISNA(VLOOKUP(D589,'[2]stock-take'!$M:$Q,3,FALSE)), 0, VLOOKUP(D589,'[2]stock-take'!$M:$Q,3,FALSE))</f>
        <v>0</v>
      </c>
      <c r="M589" s="48" t="str">
        <f t="shared" ref="M589:M652" si="28">IF(F589=""," ",IF(H589&gt;=F589,"Y",IF(J589&gt;=F589,"Y",IF(L589&gt;=F589,"Y",IF(SUM(H589,J589,L589)&gt;=F589,"Y","N")))))</f>
        <v xml:space="preserve"> </v>
      </c>
      <c r="N589" s="39" t="str">
        <f t="shared" ref="N589:N652" si="29">IF(F589=""," ",IF(H589&gt;=F589,"ILOOM",IF(J589&gt;=F589,"NO.6",IF(L589&gt;=F589,"RMD",IF(SUM(H589,J589,L589)&gt;=F589,"MULTI","LACK")))))</f>
        <v xml:space="preserve"> </v>
      </c>
    </row>
    <row r="590" spans="1:14">
      <c r="A590" s="37">
        <f t="shared" si="27"/>
        <v>579</v>
      </c>
      <c r="G590" s="48" t="str">
        <f>IF(F590=""," ",IF(ISNA(VLOOKUP(D590,'[2]stock-take'!$A:$E,4,FALSE)), "OUT OF STOCK", VLOOKUP(D590,'[2]stock-take'!$A:$E,4,FALSE)))</f>
        <v xml:space="preserve"> </v>
      </c>
      <c r="H590" s="48">
        <f>IF(ISNA(VLOOKUP(D590,'[2]stock-take'!$A:$E,3,FALSE)), 0, VLOOKUP(D590,'[2]stock-take'!$A:$E,3,FALSE))</f>
        <v>0</v>
      </c>
      <c r="I590" s="48" t="str">
        <f>IF(F590="", " ",IF(ISNA(VLOOKUP(D590,'[2]stock-take'!$G:$K,4,FALSE)), "OUT OF STOCK", VLOOKUP(D590,'[2]stock-take'!$G:$K,4,FALSE)))</f>
        <v xml:space="preserve"> </v>
      </c>
      <c r="J590" s="39">
        <f>IF(ISNA(VLOOKUP(D590,'[2]stock-take'!$G:$K,3,FALSE)), 0, VLOOKUP(D590,'[2]stock-take'!$G:$K,3,FALSE))</f>
        <v>0</v>
      </c>
      <c r="K590" s="49" t="str">
        <f>IF(F590="", " ", IF(ISNA(VLOOKUP(D590,'[2]stock-take'!$M:$Q,4,FALSE)), "OUT OF STOCK", VLOOKUP(D590,'[2]stock-take'!$M:$Q,4,FALSE)))</f>
        <v xml:space="preserve"> </v>
      </c>
      <c r="L590" s="47">
        <f>IF(ISNA(VLOOKUP(D590,'[2]stock-take'!$M:$Q,3,FALSE)), 0, VLOOKUP(D590,'[2]stock-take'!$M:$Q,3,FALSE))</f>
        <v>0</v>
      </c>
      <c r="M590" s="48" t="str">
        <f t="shared" si="28"/>
        <v xml:space="preserve"> </v>
      </c>
      <c r="N590" s="39" t="str">
        <f t="shared" si="29"/>
        <v xml:space="preserve"> </v>
      </c>
    </row>
    <row r="591" spans="1:14">
      <c r="A591" s="37">
        <f t="shared" si="27"/>
        <v>580</v>
      </c>
      <c r="G591" s="48" t="str">
        <f>IF(F591=""," ",IF(ISNA(VLOOKUP(D591,'[2]stock-take'!$A:$E,4,FALSE)), "OUT OF STOCK", VLOOKUP(D591,'[2]stock-take'!$A:$E,4,FALSE)))</f>
        <v xml:space="preserve"> </v>
      </c>
      <c r="H591" s="48">
        <f>IF(ISNA(VLOOKUP(D591,'[2]stock-take'!$A:$E,3,FALSE)), 0, VLOOKUP(D591,'[2]stock-take'!$A:$E,3,FALSE))</f>
        <v>0</v>
      </c>
      <c r="I591" s="48" t="str">
        <f>IF(F591="", " ",IF(ISNA(VLOOKUP(D591,'[2]stock-take'!$G:$K,4,FALSE)), "OUT OF STOCK", VLOOKUP(D591,'[2]stock-take'!$G:$K,4,FALSE)))</f>
        <v xml:space="preserve"> </v>
      </c>
      <c r="J591" s="39">
        <f>IF(ISNA(VLOOKUP(D591,'[2]stock-take'!$G:$K,3,FALSE)), 0, VLOOKUP(D591,'[2]stock-take'!$G:$K,3,FALSE))</f>
        <v>0</v>
      </c>
      <c r="K591" s="49" t="str">
        <f>IF(F591="", " ", IF(ISNA(VLOOKUP(D591,'[2]stock-take'!$M:$Q,4,FALSE)), "OUT OF STOCK", VLOOKUP(D591,'[2]stock-take'!$M:$Q,4,FALSE)))</f>
        <v xml:space="preserve"> </v>
      </c>
      <c r="L591" s="47">
        <f>IF(ISNA(VLOOKUP(D591,'[2]stock-take'!$M:$Q,3,FALSE)), 0, VLOOKUP(D591,'[2]stock-take'!$M:$Q,3,FALSE))</f>
        <v>0</v>
      </c>
      <c r="M591" s="48" t="str">
        <f t="shared" si="28"/>
        <v xml:space="preserve"> </v>
      </c>
      <c r="N591" s="39" t="str">
        <f t="shared" si="29"/>
        <v xml:space="preserve"> </v>
      </c>
    </row>
    <row r="592" spans="1:14">
      <c r="A592" s="37">
        <f t="shared" si="27"/>
        <v>581</v>
      </c>
      <c r="G592" s="48" t="str">
        <f>IF(F592=""," ",IF(ISNA(VLOOKUP(D592,'[2]stock-take'!$A:$E,4,FALSE)), "OUT OF STOCK", VLOOKUP(D592,'[2]stock-take'!$A:$E,4,FALSE)))</f>
        <v xml:space="preserve"> </v>
      </c>
      <c r="H592" s="48">
        <f>IF(ISNA(VLOOKUP(D592,'[2]stock-take'!$A:$E,3,FALSE)), 0, VLOOKUP(D592,'[2]stock-take'!$A:$E,3,FALSE))</f>
        <v>0</v>
      </c>
      <c r="I592" s="48" t="str">
        <f>IF(F592="", " ",IF(ISNA(VLOOKUP(D592,'[2]stock-take'!$G:$K,4,FALSE)), "OUT OF STOCK", VLOOKUP(D592,'[2]stock-take'!$G:$K,4,FALSE)))</f>
        <v xml:space="preserve"> </v>
      </c>
      <c r="J592" s="39">
        <f>IF(ISNA(VLOOKUP(D592,'[2]stock-take'!$G:$K,3,FALSE)), 0, VLOOKUP(D592,'[2]stock-take'!$G:$K,3,FALSE))</f>
        <v>0</v>
      </c>
      <c r="K592" s="49" t="str">
        <f>IF(F592="", " ", IF(ISNA(VLOOKUP(D592,'[2]stock-take'!$M:$Q,4,FALSE)), "OUT OF STOCK", VLOOKUP(D592,'[2]stock-take'!$M:$Q,4,FALSE)))</f>
        <v xml:space="preserve"> </v>
      </c>
      <c r="L592" s="47">
        <f>IF(ISNA(VLOOKUP(D592,'[2]stock-take'!$M:$Q,3,FALSE)), 0, VLOOKUP(D592,'[2]stock-take'!$M:$Q,3,FALSE))</f>
        <v>0</v>
      </c>
      <c r="M592" s="48" t="str">
        <f t="shared" si="28"/>
        <v xml:space="preserve"> </v>
      </c>
      <c r="N592" s="39" t="str">
        <f t="shared" si="29"/>
        <v xml:space="preserve"> </v>
      </c>
    </row>
    <row r="593" spans="1:14">
      <c r="A593" s="37">
        <f t="shared" si="27"/>
        <v>582</v>
      </c>
      <c r="G593" s="48" t="str">
        <f>IF(F593=""," ",IF(ISNA(VLOOKUP(D593,'[2]stock-take'!$A:$E,4,FALSE)), "OUT OF STOCK", VLOOKUP(D593,'[2]stock-take'!$A:$E,4,FALSE)))</f>
        <v xml:space="preserve"> </v>
      </c>
      <c r="H593" s="48">
        <f>IF(ISNA(VLOOKUP(D593,'[2]stock-take'!$A:$E,3,FALSE)), 0, VLOOKUP(D593,'[2]stock-take'!$A:$E,3,FALSE))</f>
        <v>0</v>
      </c>
      <c r="I593" s="48" t="str">
        <f>IF(F593="", " ",IF(ISNA(VLOOKUP(D593,'[2]stock-take'!$G:$K,4,FALSE)), "OUT OF STOCK", VLOOKUP(D593,'[2]stock-take'!$G:$K,4,FALSE)))</f>
        <v xml:space="preserve"> </v>
      </c>
      <c r="J593" s="39">
        <f>IF(ISNA(VLOOKUP(D593,'[2]stock-take'!$G:$K,3,FALSE)), 0, VLOOKUP(D593,'[2]stock-take'!$G:$K,3,FALSE))</f>
        <v>0</v>
      </c>
      <c r="K593" s="49" t="str">
        <f>IF(F593="", " ", IF(ISNA(VLOOKUP(D593,'[2]stock-take'!$M:$Q,4,FALSE)), "OUT OF STOCK", VLOOKUP(D593,'[2]stock-take'!$M:$Q,4,FALSE)))</f>
        <v xml:space="preserve"> </v>
      </c>
      <c r="L593" s="47">
        <f>IF(ISNA(VLOOKUP(D593,'[2]stock-take'!$M:$Q,3,FALSE)), 0, VLOOKUP(D593,'[2]stock-take'!$M:$Q,3,FALSE))</f>
        <v>0</v>
      </c>
      <c r="M593" s="48" t="str">
        <f t="shared" si="28"/>
        <v xml:space="preserve"> </v>
      </c>
      <c r="N593" s="39" t="str">
        <f t="shared" si="29"/>
        <v xml:space="preserve"> </v>
      </c>
    </row>
    <row r="594" spans="1:14">
      <c r="A594" s="37">
        <f t="shared" si="27"/>
        <v>583</v>
      </c>
      <c r="G594" s="48" t="str">
        <f>IF(F594=""," ",IF(ISNA(VLOOKUP(D594,'[2]stock-take'!$A:$E,4,FALSE)), "OUT OF STOCK", VLOOKUP(D594,'[2]stock-take'!$A:$E,4,FALSE)))</f>
        <v xml:space="preserve"> </v>
      </c>
      <c r="H594" s="48">
        <f>IF(ISNA(VLOOKUP(D594,'[2]stock-take'!$A:$E,3,FALSE)), 0, VLOOKUP(D594,'[2]stock-take'!$A:$E,3,FALSE))</f>
        <v>0</v>
      </c>
      <c r="I594" s="48" t="str">
        <f>IF(F594="", " ",IF(ISNA(VLOOKUP(D594,'[2]stock-take'!$G:$K,4,FALSE)), "OUT OF STOCK", VLOOKUP(D594,'[2]stock-take'!$G:$K,4,FALSE)))</f>
        <v xml:space="preserve"> </v>
      </c>
      <c r="J594" s="39">
        <f>IF(ISNA(VLOOKUP(D594,'[2]stock-take'!$G:$K,3,FALSE)), 0, VLOOKUP(D594,'[2]stock-take'!$G:$K,3,FALSE))</f>
        <v>0</v>
      </c>
      <c r="K594" s="49" t="str">
        <f>IF(F594="", " ", IF(ISNA(VLOOKUP(D594,'[2]stock-take'!$M:$Q,4,FALSE)), "OUT OF STOCK", VLOOKUP(D594,'[2]stock-take'!$M:$Q,4,FALSE)))</f>
        <v xml:space="preserve"> </v>
      </c>
      <c r="L594" s="47">
        <f>IF(ISNA(VLOOKUP(D594,'[2]stock-take'!$M:$Q,3,FALSE)), 0, VLOOKUP(D594,'[2]stock-take'!$M:$Q,3,FALSE))</f>
        <v>0</v>
      </c>
      <c r="M594" s="48" t="str">
        <f t="shared" si="28"/>
        <v xml:space="preserve"> </v>
      </c>
      <c r="N594" s="39" t="str">
        <f t="shared" si="29"/>
        <v xml:space="preserve"> </v>
      </c>
    </row>
    <row r="595" spans="1:14">
      <c r="A595" s="37">
        <f t="shared" si="27"/>
        <v>584</v>
      </c>
      <c r="G595" s="48" t="str">
        <f>IF(F595=""," ",IF(ISNA(VLOOKUP(D595,'[2]stock-take'!$A:$E,4,FALSE)), "OUT OF STOCK", VLOOKUP(D595,'[2]stock-take'!$A:$E,4,FALSE)))</f>
        <v xml:space="preserve"> </v>
      </c>
      <c r="H595" s="48">
        <f>IF(ISNA(VLOOKUP(D595,'[2]stock-take'!$A:$E,3,FALSE)), 0, VLOOKUP(D595,'[2]stock-take'!$A:$E,3,FALSE))</f>
        <v>0</v>
      </c>
      <c r="I595" s="48" t="str">
        <f>IF(F595="", " ",IF(ISNA(VLOOKUP(D595,'[2]stock-take'!$G:$K,4,FALSE)), "OUT OF STOCK", VLOOKUP(D595,'[2]stock-take'!$G:$K,4,FALSE)))</f>
        <v xml:space="preserve"> </v>
      </c>
      <c r="J595" s="39">
        <f>IF(ISNA(VLOOKUP(D595,'[2]stock-take'!$G:$K,3,FALSE)), 0, VLOOKUP(D595,'[2]stock-take'!$G:$K,3,FALSE))</f>
        <v>0</v>
      </c>
      <c r="K595" s="49" t="str">
        <f>IF(F595="", " ", IF(ISNA(VLOOKUP(D595,'[2]stock-take'!$M:$Q,4,FALSE)), "OUT OF STOCK", VLOOKUP(D595,'[2]stock-take'!$M:$Q,4,FALSE)))</f>
        <v xml:space="preserve"> </v>
      </c>
      <c r="L595" s="47">
        <f>IF(ISNA(VLOOKUP(D595,'[2]stock-take'!$M:$Q,3,FALSE)), 0, VLOOKUP(D595,'[2]stock-take'!$M:$Q,3,FALSE))</f>
        <v>0</v>
      </c>
      <c r="M595" s="48" t="str">
        <f t="shared" si="28"/>
        <v xml:space="preserve"> </v>
      </c>
      <c r="N595" s="39" t="str">
        <f t="shared" si="29"/>
        <v xml:space="preserve"> </v>
      </c>
    </row>
    <row r="596" spans="1:14">
      <c r="A596" s="37">
        <f t="shared" si="27"/>
        <v>585</v>
      </c>
      <c r="G596" s="48" t="str">
        <f>IF(F596=""," ",IF(ISNA(VLOOKUP(D596,'[2]stock-take'!$A:$E,4,FALSE)), "OUT OF STOCK", VLOOKUP(D596,'[2]stock-take'!$A:$E,4,FALSE)))</f>
        <v xml:space="preserve"> </v>
      </c>
      <c r="H596" s="48">
        <f>IF(ISNA(VLOOKUP(D596,'[2]stock-take'!$A:$E,3,FALSE)), 0, VLOOKUP(D596,'[2]stock-take'!$A:$E,3,FALSE))</f>
        <v>0</v>
      </c>
      <c r="I596" s="48" t="str">
        <f>IF(F596="", " ",IF(ISNA(VLOOKUP(D596,'[2]stock-take'!$G:$K,4,FALSE)), "OUT OF STOCK", VLOOKUP(D596,'[2]stock-take'!$G:$K,4,FALSE)))</f>
        <v xml:space="preserve"> </v>
      </c>
      <c r="J596" s="39">
        <f>IF(ISNA(VLOOKUP(D596,'[2]stock-take'!$G:$K,3,FALSE)), 0, VLOOKUP(D596,'[2]stock-take'!$G:$K,3,FALSE))</f>
        <v>0</v>
      </c>
      <c r="K596" s="49" t="str">
        <f>IF(F596="", " ", IF(ISNA(VLOOKUP(D596,'[2]stock-take'!$M:$Q,4,FALSE)), "OUT OF STOCK", VLOOKUP(D596,'[2]stock-take'!$M:$Q,4,FALSE)))</f>
        <v xml:space="preserve"> </v>
      </c>
      <c r="L596" s="47">
        <f>IF(ISNA(VLOOKUP(D596,'[2]stock-take'!$M:$Q,3,FALSE)), 0, VLOOKUP(D596,'[2]stock-take'!$M:$Q,3,FALSE))</f>
        <v>0</v>
      </c>
      <c r="M596" s="48" t="str">
        <f t="shared" si="28"/>
        <v xml:space="preserve"> </v>
      </c>
      <c r="N596" s="39" t="str">
        <f t="shared" si="29"/>
        <v xml:space="preserve"> </v>
      </c>
    </row>
    <row r="597" spans="1:14">
      <c r="A597" s="37">
        <f t="shared" si="27"/>
        <v>586</v>
      </c>
      <c r="G597" s="48" t="str">
        <f>IF(F597=""," ",IF(ISNA(VLOOKUP(D597,'[2]stock-take'!$A:$E,4,FALSE)), "OUT OF STOCK", VLOOKUP(D597,'[2]stock-take'!$A:$E,4,FALSE)))</f>
        <v xml:space="preserve"> </v>
      </c>
      <c r="H597" s="48">
        <f>IF(ISNA(VLOOKUP(D597,'[2]stock-take'!$A:$E,3,FALSE)), 0, VLOOKUP(D597,'[2]stock-take'!$A:$E,3,FALSE))</f>
        <v>0</v>
      </c>
      <c r="I597" s="48" t="str">
        <f>IF(F597="", " ",IF(ISNA(VLOOKUP(D597,'[2]stock-take'!$G:$K,4,FALSE)), "OUT OF STOCK", VLOOKUP(D597,'[2]stock-take'!$G:$K,4,FALSE)))</f>
        <v xml:space="preserve"> </v>
      </c>
      <c r="J597" s="39">
        <f>IF(ISNA(VLOOKUP(D597,'[2]stock-take'!$G:$K,3,FALSE)), 0, VLOOKUP(D597,'[2]stock-take'!$G:$K,3,FALSE))</f>
        <v>0</v>
      </c>
      <c r="K597" s="49" t="str">
        <f>IF(F597="", " ", IF(ISNA(VLOOKUP(D597,'[2]stock-take'!$M:$Q,4,FALSE)), "OUT OF STOCK", VLOOKUP(D597,'[2]stock-take'!$M:$Q,4,FALSE)))</f>
        <v xml:space="preserve"> </v>
      </c>
      <c r="L597" s="47">
        <f>IF(ISNA(VLOOKUP(D597,'[2]stock-take'!$M:$Q,3,FALSE)), 0, VLOOKUP(D597,'[2]stock-take'!$M:$Q,3,FALSE))</f>
        <v>0</v>
      </c>
      <c r="M597" s="48" t="str">
        <f t="shared" si="28"/>
        <v xml:space="preserve"> </v>
      </c>
      <c r="N597" s="39" t="str">
        <f t="shared" si="29"/>
        <v xml:space="preserve"> </v>
      </c>
    </row>
    <row r="598" spans="1:14">
      <c r="A598" s="37">
        <f t="shared" si="27"/>
        <v>587</v>
      </c>
      <c r="G598" s="48" t="str">
        <f>IF(F598=""," ",IF(ISNA(VLOOKUP(D598,'[2]stock-take'!$A:$E,4,FALSE)), "OUT OF STOCK", VLOOKUP(D598,'[2]stock-take'!$A:$E,4,FALSE)))</f>
        <v xml:space="preserve"> </v>
      </c>
      <c r="H598" s="48">
        <f>IF(ISNA(VLOOKUP(D598,'[2]stock-take'!$A:$E,3,FALSE)), 0, VLOOKUP(D598,'[2]stock-take'!$A:$E,3,FALSE))</f>
        <v>0</v>
      </c>
      <c r="I598" s="48" t="str">
        <f>IF(F598="", " ",IF(ISNA(VLOOKUP(D598,'[2]stock-take'!$G:$K,4,FALSE)), "OUT OF STOCK", VLOOKUP(D598,'[2]stock-take'!$G:$K,4,FALSE)))</f>
        <v xml:space="preserve"> </v>
      </c>
      <c r="J598" s="39">
        <f>IF(ISNA(VLOOKUP(D598,'[2]stock-take'!$G:$K,3,FALSE)), 0, VLOOKUP(D598,'[2]stock-take'!$G:$K,3,FALSE))</f>
        <v>0</v>
      </c>
      <c r="K598" s="49" t="str">
        <f>IF(F598="", " ", IF(ISNA(VLOOKUP(D598,'[2]stock-take'!$M:$Q,4,FALSE)), "OUT OF STOCK", VLOOKUP(D598,'[2]stock-take'!$M:$Q,4,FALSE)))</f>
        <v xml:space="preserve"> </v>
      </c>
      <c r="L598" s="47">
        <f>IF(ISNA(VLOOKUP(D598,'[2]stock-take'!$M:$Q,3,FALSE)), 0, VLOOKUP(D598,'[2]stock-take'!$M:$Q,3,FALSE))</f>
        <v>0</v>
      </c>
      <c r="M598" s="48" t="str">
        <f t="shared" si="28"/>
        <v xml:space="preserve"> </v>
      </c>
      <c r="N598" s="39" t="str">
        <f t="shared" si="29"/>
        <v xml:space="preserve"> </v>
      </c>
    </row>
    <row r="599" spans="1:14">
      <c r="A599" s="37">
        <f t="shared" si="27"/>
        <v>588</v>
      </c>
      <c r="G599" s="48" t="str">
        <f>IF(F599=""," ",IF(ISNA(VLOOKUP(D599,'[2]stock-take'!$A:$E,4,FALSE)), "OUT OF STOCK", VLOOKUP(D599,'[2]stock-take'!$A:$E,4,FALSE)))</f>
        <v xml:space="preserve"> </v>
      </c>
      <c r="H599" s="48">
        <f>IF(ISNA(VLOOKUP(D599,'[2]stock-take'!$A:$E,3,FALSE)), 0, VLOOKUP(D599,'[2]stock-take'!$A:$E,3,FALSE))</f>
        <v>0</v>
      </c>
      <c r="I599" s="48" t="str">
        <f>IF(F599="", " ",IF(ISNA(VLOOKUP(D599,'[2]stock-take'!$G:$K,4,FALSE)), "OUT OF STOCK", VLOOKUP(D599,'[2]stock-take'!$G:$K,4,FALSE)))</f>
        <v xml:space="preserve"> </v>
      </c>
      <c r="J599" s="39">
        <f>IF(ISNA(VLOOKUP(D599,'[2]stock-take'!$G:$K,3,FALSE)), 0, VLOOKUP(D599,'[2]stock-take'!$G:$K,3,FALSE))</f>
        <v>0</v>
      </c>
      <c r="K599" s="49" t="str">
        <f>IF(F599="", " ", IF(ISNA(VLOOKUP(D599,'[2]stock-take'!$M:$Q,4,FALSE)), "OUT OF STOCK", VLOOKUP(D599,'[2]stock-take'!$M:$Q,4,FALSE)))</f>
        <v xml:space="preserve"> </v>
      </c>
      <c r="L599" s="47">
        <f>IF(ISNA(VLOOKUP(D599,'[2]stock-take'!$M:$Q,3,FALSE)), 0, VLOOKUP(D599,'[2]stock-take'!$M:$Q,3,FALSE))</f>
        <v>0</v>
      </c>
      <c r="M599" s="48" t="str">
        <f t="shared" si="28"/>
        <v xml:space="preserve"> </v>
      </c>
      <c r="N599" s="39" t="str">
        <f t="shared" si="29"/>
        <v xml:space="preserve"> </v>
      </c>
    </row>
    <row r="600" spans="1:14">
      <c r="A600" s="37">
        <f t="shared" si="27"/>
        <v>589</v>
      </c>
      <c r="G600" s="48" t="str">
        <f>IF(F600=""," ",IF(ISNA(VLOOKUP(D600,'[2]stock-take'!$A:$E,4,FALSE)), "OUT OF STOCK", VLOOKUP(D600,'[2]stock-take'!$A:$E,4,FALSE)))</f>
        <v xml:space="preserve"> </v>
      </c>
      <c r="H600" s="48">
        <f>IF(ISNA(VLOOKUP(D600,'[2]stock-take'!$A:$E,3,FALSE)), 0, VLOOKUP(D600,'[2]stock-take'!$A:$E,3,FALSE))</f>
        <v>0</v>
      </c>
      <c r="I600" s="48" t="str">
        <f>IF(F600="", " ",IF(ISNA(VLOOKUP(D600,'[2]stock-take'!$G:$K,4,FALSE)), "OUT OF STOCK", VLOOKUP(D600,'[2]stock-take'!$G:$K,4,FALSE)))</f>
        <v xml:space="preserve"> </v>
      </c>
      <c r="J600" s="39">
        <f>IF(ISNA(VLOOKUP(D600,'[2]stock-take'!$G:$K,3,FALSE)), 0, VLOOKUP(D600,'[2]stock-take'!$G:$K,3,FALSE))</f>
        <v>0</v>
      </c>
      <c r="K600" s="49" t="str">
        <f>IF(F600="", " ", IF(ISNA(VLOOKUP(D600,'[2]stock-take'!$M:$Q,4,FALSE)), "OUT OF STOCK", VLOOKUP(D600,'[2]stock-take'!$M:$Q,4,FALSE)))</f>
        <v xml:space="preserve"> </v>
      </c>
      <c r="L600" s="47">
        <f>IF(ISNA(VLOOKUP(D600,'[2]stock-take'!$M:$Q,3,FALSE)), 0, VLOOKUP(D600,'[2]stock-take'!$M:$Q,3,FALSE))</f>
        <v>0</v>
      </c>
      <c r="M600" s="48" t="str">
        <f t="shared" si="28"/>
        <v xml:space="preserve"> </v>
      </c>
      <c r="N600" s="39" t="str">
        <f t="shared" si="29"/>
        <v xml:space="preserve"> </v>
      </c>
    </row>
    <row r="601" spans="1:14">
      <c r="A601" s="37">
        <f t="shared" si="27"/>
        <v>590</v>
      </c>
      <c r="G601" s="48" t="str">
        <f>IF(F601=""," ",IF(ISNA(VLOOKUP(D601,'[2]stock-take'!$A:$E,4,FALSE)), "OUT OF STOCK", VLOOKUP(D601,'[2]stock-take'!$A:$E,4,FALSE)))</f>
        <v xml:space="preserve"> </v>
      </c>
      <c r="H601" s="48">
        <f>IF(ISNA(VLOOKUP(D601,'[2]stock-take'!$A:$E,3,FALSE)), 0, VLOOKUP(D601,'[2]stock-take'!$A:$E,3,FALSE))</f>
        <v>0</v>
      </c>
      <c r="I601" s="48" t="str">
        <f>IF(F601="", " ",IF(ISNA(VLOOKUP(D601,'[2]stock-take'!$G:$K,4,FALSE)), "OUT OF STOCK", VLOOKUP(D601,'[2]stock-take'!$G:$K,4,FALSE)))</f>
        <v xml:space="preserve"> </v>
      </c>
      <c r="J601" s="39">
        <f>IF(ISNA(VLOOKUP(D601,'[2]stock-take'!$G:$K,3,FALSE)), 0, VLOOKUP(D601,'[2]stock-take'!$G:$K,3,FALSE))</f>
        <v>0</v>
      </c>
      <c r="K601" s="49" t="str">
        <f>IF(F601="", " ", IF(ISNA(VLOOKUP(D601,'[2]stock-take'!$M:$Q,4,FALSE)), "OUT OF STOCK", VLOOKUP(D601,'[2]stock-take'!$M:$Q,4,FALSE)))</f>
        <v xml:space="preserve"> </v>
      </c>
      <c r="L601" s="47">
        <f>IF(ISNA(VLOOKUP(D601,'[2]stock-take'!$M:$Q,3,FALSE)), 0, VLOOKUP(D601,'[2]stock-take'!$M:$Q,3,FALSE))</f>
        <v>0</v>
      </c>
      <c r="M601" s="48" t="str">
        <f t="shared" si="28"/>
        <v xml:space="preserve"> </v>
      </c>
      <c r="N601" s="39" t="str">
        <f t="shared" si="29"/>
        <v xml:space="preserve"> </v>
      </c>
    </row>
    <row r="602" spans="1:14">
      <c r="A602" s="37">
        <f t="shared" si="27"/>
        <v>591</v>
      </c>
      <c r="G602" s="48" t="str">
        <f>IF(F602=""," ",IF(ISNA(VLOOKUP(D602,'[2]stock-take'!$A:$E,4,FALSE)), "OUT OF STOCK", VLOOKUP(D602,'[2]stock-take'!$A:$E,4,FALSE)))</f>
        <v xml:space="preserve"> </v>
      </c>
      <c r="H602" s="48">
        <f>IF(ISNA(VLOOKUP(D602,'[2]stock-take'!$A:$E,3,FALSE)), 0, VLOOKUP(D602,'[2]stock-take'!$A:$E,3,FALSE))</f>
        <v>0</v>
      </c>
      <c r="I602" s="48" t="str">
        <f>IF(F602="", " ",IF(ISNA(VLOOKUP(D602,'[2]stock-take'!$G:$K,4,FALSE)), "OUT OF STOCK", VLOOKUP(D602,'[2]stock-take'!$G:$K,4,FALSE)))</f>
        <v xml:space="preserve"> </v>
      </c>
      <c r="J602" s="39">
        <f>IF(ISNA(VLOOKUP(D602,'[2]stock-take'!$G:$K,3,FALSE)), 0, VLOOKUP(D602,'[2]stock-take'!$G:$K,3,FALSE))</f>
        <v>0</v>
      </c>
      <c r="K602" s="49" t="str">
        <f>IF(F602="", " ", IF(ISNA(VLOOKUP(D602,'[2]stock-take'!$M:$Q,4,FALSE)), "OUT OF STOCK", VLOOKUP(D602,'[2]stock-take'!$M:$Q,4,FALSE)))</f>
        <v xml:space="preserve"> </v>
      </c>
      <c r="L602" s="47">
        <f>IF(ISNA(VLOOKUP(D602,'[2]stock-take'!$M:$Q,3,FALSE)), 0, VLOOKUP(D602,'[2]stock-take'!$M:$Q,3,FALSE))</f>
        <v>0</v>
      </c>
      <c r="M602" s="48" t="str">
        <f t="shared" si="28"/>
        <v xml:space="preserve"> </v>
      </c>
      <c r="N602" s="39" t="str">
        <f t="shared" si="29"/>
        <v xml:space="preserve"> </v>
      </c>
    </row>
    <row r="603" spans="1:14">
      <c r="A603" s="37">
        <f t="shared" si="27"/>
        <v>592</v>
      </c>
      <c r="G603" s="48" t="str">
        <f>IF(F603=""," ",IF(ISNA(VLOOKUP(D603,'[2]stock-take'!$A:$E,4,FALSE)), "OUT OF STOCK", VLOOKUP(D603,'[2]stock-take'!$A:$E,4,FALSE)))</f>
        <v xml:space="preserve"> </v>
      </c>
      <c r="H603" s="48">
        <f>IF(ISNA(VLOOKUP(D603,'[2]stock-take'!$A:$E,3,FALSE)), 0, VLOOKUP(D603,'[2]stock-take'!$A:$E,3,FALSE))</f>
        <v>0</v>
      </c>
      <c r="I603" s="48" t="str">
        <f>IF(F603="", " ",IF(ISNA(VLOOKUP(D603,'[2]stock-take'!$G:$K,4,FALSE)), "OUT OF STOCK", VLOOKUP(D603,'[2]stock-take'!$G:$K,4,FALSE)))</f>
        <v xml:space="preserve"> </v>
      </c>
      <c r="J603" s="39">
        <f>IF(ISNA(VLOOKUP(D603,'[2]stock-take'!$G:$K,3,FALSE)), 0, VLOOKUP(D603,'[2]stock-take'!$G:$K,3,FALSE))</f>
        <v>0</v>
      </c>
      <c r="K603" s="49" t="str">
        <f>IF(F603="", " ", IF(ISNA(VLOOKUP(D603,'[2]stock-take'!$M:$Q,4,FALSE)), "OUT OF STOCK", VLOOKUP(D603,'[2]stock-take'!$M:$Q,4,FALSE)))</f>
        <v xml:space="preserve"> </v>
      </c>
      <c r="L603" s="47">
        <f>IF(ISNA(VLOOKUP(D603,'[2]stock-take'!$M:$Q,3,FALSE)), 0, VLOOKUP(D603,'[2]stock-take'!$M:$Q,3,FALSE))</f>
        <v>0</v>
      </c>
      <c r="M603" s="48" t="str">
        <f t="shared" si="28"/>
        <v xml:space="preserve"> </v>
      </c>
      <c r="N603" s="39" t="str">
        <f t="shared" si="29"/>
        <v xml:space="preserve"> </v>
      </c>
    </row>
    <row r="604" spans="1:14">
      <c r="A604" s="37">
        <f t="shared" si="27"/>
        <v>593</v>
      </c>
      <c r="G604" s="48" t="str">
        <f>IF(F604=""," ",IF(ISNA(VLOOKUP(D604,'[2]stock-take'!$A:$E,4,FALSE)), "OUT OF STOCK", VLOOKUP(D604,'[2]stock-take'!$A:$E,4,FALSE)))</f>
        <v xml:space="preserve"> </v>
      </c>
      <c r="H604" s="48">
        <f>IF(ISNA(VLOOKUP(D604,'[2]stock-take'!$A:$E,3,FALSE)), 0, VLOOKUP(D604,'[2]stock-take'!$A:$E,3,FALSE))</f>
        <v>0</v>
      </c>
      <c r="I604" s="48" t="str">
        <f>IF(F604="", " ",IF(ISNA(VLOOKUP(D604,'[2]stock-take'!$G:$K,4,FALSE)), "OUT OF STOCK", VLOOKUP(D604,'[2]stock-take'!$G:$K,4,FALSE)))</f>
        <v xml:space="preserve"> </v>
      </c>
      <c r="J604" s="39">
        <f>IF(ISNA(VLOOKUP(D604,'[2]stock-take'!$G:$K,3,FALSE)), 0, VLOOKUP(D604,'[2]stock-take'!$G:$K,3,FALSE))</f>
        <v>0</v>
      </c>
      <c r="K604" s="49" t="str">
        <f>IF(F604="", " ", IF(ISNA(VLOOKUP(D604,'[2]stock-take'!$M:$Q,4,FALSE)), "OUT OF STOCK", VLOOKUP(D604,'[2]stock-take'!$M:$Q,4,FALSE)))</f>
        <v xml:space="preserve"> </v>
      </c>
      <c r="L604" s="47">
        <f>IF(ISNA(VLOOKUP(D604,'[2]stock-take'!$M:$Q,3,FALSE)), 0, VLOOKUP(D604,'[2]stock-take'!$M:$Q,3,FALSE))</f>
        <v>0</v>
      </c>
      <c r="M604" s="48" t="str">
        <f t="shared" si="28"/>
        <v xml:space="preserve"> </v>
      </c>
      <c r="N604" s="39" t="str">
        <f t="shared" si="29"/>
        <v xml:space="preserve"> </v>
      </c>
    </row>
    <row r="605" spans="1:14">
      <c r="A605" s="37">
        <f t="shared" si="27"/>
        <v>594</v>
      </c>
      <c r="G605" s="48" t="str">
        <f>IF(F605=""," ",IF(ISNA(VLOOKUP(D605,'[2]stock-take'!$A:$E,4,FALSE)), "OUT OF STOCK", VLOOKUP(D605,'[2]stock-take'!$A:$E,4,FALSE)))</f>
        <v xml:space="preserve"> </v>
      </c>
      <c r="H605" s="48">
        <f>IF(ISNA(VLOOKUP(D605,'[2]stock-take'!$A:$E,3,FALSE)), 0, VLOOKUP(D605,'[2]stock-take'!$A:$E,3,FALSE))</f>
        <v>0</v>
      </c>
      <c r="I605" s="48" t="str">
        <f>IF(F605="", " ",IF(ISNA(VLOOKUP(D605,'[2]stock-take'!$G:$K,4,FALSE)), "OUT OF STOCK", VLOOKUP(D605,'[2]stock-take'!$G:$K,4,FALSE)))</f>
        <v xml:space="preserve"> </v>
      </c>
      <c r="J605" s="39">
        <f>IF(ISNA(VLOOKUP(D605,'[2]stock-take'!$G:$K,3,FALSE)), 0, VLOOKUP(D605,'[2]stock-take'!$G:$K,3,FALSE))</f>
        <v>0</v>
      </c>
      <c r="K605" s="49" t="str">
        <f>IF(F605="", " ", IF(ISNA(VLOOKUP(D605,'[2]stock-take'!$M:$Q,4,FALSE)), "OUT OF STOCK", VLOOKUP(D605,'[2]stock-take'!$M:$Q,4,FALSE)))</f>
        <v xml:space="preserve"> </v>
      </c>
      <c r="L605" s="47">
        <f>IF(ISNA(VLOOKUP(D605,'[2]stock-take'!$M:$Q,3,FALSE)), 0, VLOOKUP(D605,'[2]stock-take'!$M:$Q,3,FALSE))</f>
        <v>0</v>
      </c>
      <c r="M605" s="48" t="str">
        <f t="shared" si="28"/>
        <v xml:space="preserve"> </v>
      </c>
      <c r="N605" s="39" t="str">
        <f t="shared" si="29"/>
        <v xml:space="preserve"> </v>
      </c>
    </row>
    <row r="606" spans="1:14">
      <c r="A606" s="37">
        <f t="shared" si="27"/>
        <v>595</v>
      </c>
      <c r="G606" s="48" t="str">
        <f>IF(F606=""," ",IF(ISNA(VLOOKUP(D606,'[2]stock-take'!$A:$E,4,FALSE)), "OUT OF STOCK", VLOOKUP(D606,'[2]stock-take'!$A:$E,4,FALSE)))</f>
        <v xml:space="preserve"> </v>
      </c>
      <c r="H606" s="48">
        <f>IF(ISNA(VLOOKUP(D606,'[2]stock-take'!$A:$E,3,FALSE)), 0, VLOOKUP(D606,'[2]stock-take'!$A:$E,3,FALSE))</f>
        <v>0</v>
      </c>
      <c r="I606" s="48" t="str">
        <f>IF(F606="", " ",IF(ISNA(VLOOKUP(D606,'[2]stock-take'!$G:$K,4,FALSE)), "OUT OF STOCK", VLOOKUP(D606,'[2]stock-take'!$G:$K,4,FALSE)))</f>
        <v xml:space="preserve"> </v>
      </c>
      <c r="J606" s="39">
        <f>IF(ISNA(VLOOKUP(D606,'[2]stock-take'!$G:$K,3,FALSE)), 0, VLOOKUP(D606,'[2]stock-take'!$G:$K,3,FALSE))</f>
        <v>0</v>
      </c>
      <c r="K606" s="49" t="str">
        <f>IF(F606="", " ", IF(ISNA(VLOOKUP(D606,'[2]stock-take'!$M:$Q,4,FALSE)), "OUT OF STOCK", VLOOKUP(D606,'[2]stock-take'!$M:$Q,4,FALSE)))</f>
        <v xml:space="preserve"> </v>
      </c>
      <c r="L606" s="47">
        <f>IF(ISNA(VLOOKUP(D606,'[2]stock-take'!$M:$Q,3,FALSE)), 0, VLOOKUP(D606,'[2]stock-take'!$M:$Q,3,FALSE))</f>
        <v>0</v>
      </c>
      <c r="M606" s="48" t="str">
        <f t="shared" si="28"/>
        <v xml:space="preserve"> </v>
      </c>
      <c r="N606" s="39" t="str">
        <f t="shared" si="29"/>
        <v xml:space="preserve"> </v>
      </c>
    </row>
    <row r="607" spans="1:14">
      <c r="A607" s="37">
        <f t="shared" si="27"/>
        <v>596</v>
      </c>
      <c r="G607" s="48" t="str">
        <f>IF(F607=""," ",IF(ISNA(VLOOKUP(D607,'[2]stock-take'!$A:$E,4,FALSE)), "OUT OF STOCK", VLOOKUP(D607,'[2]stock-take'!$A:$E,4,FALSE)))</f>
        <v xml:space="preserve"> </v>
      </c>
      <c r="H607" s="48">
        <f>IF(ISNA(VLOOKUP(D607,'[2]stock-take'!$A:$E,3,FALSE)), 0, VLOOKUP(D607,'[2]stock-take'!$A:$E,3,FALSE))</f>
        <v>0</v>
      </c>
      <c r="I607" s="48" t="str">
        <f>IF(F607="", " ",IF(ISNA(VLOOKUP(D607,'[2]stock-take'!$G:$K,4,FALSE)), "OUT OF STOCK", VLOOKUP(D607,'[2]stock-take'!$G:$K,4,FALSE)))</f>
        <v xml:space="preserve"> </v>
      </c>
      <c r="J607" s="39">
        <f>IF(ISNA(VLOOKUP(D607,'[2]stock-take'!$G:$K,3,FALSE)), 0, VLOOKUP(D607,'[2]stock-take'!$G:$K,3,FALSE))</f>
        <v>0</v>
      </c>
      <c r="K607" s="49" t="str">
        <f>IF(F607="", " ", IF(ISNA(VLOOKUP(D607,'[2]stock-take'!$M:$Q,4,FALSE)), "OUT OF STOCK", VLOOKUP(D607,'[2]stock-take'!$M:$Q,4,FALSE)))</f>
        <v xml:space="preserve"> </v>
      </c>
      <c r="L607" s="47">
        <f>IF(ISNA(VLOOKUP(D607,'[2]stock-take'!$M:$Q,3,FALSE)), 0, VLOOKUP(D607,'[2]stock-take'!$M:$Q,3,FALSE))</f>
        <v>0</v>
      </c>
      <c r="M607" s="48" t="str">
        <f t="shared" si="28"/>
        <v xml:space="preserve"> </v>
      </c>
      <c r="N607" s="39" t="str">
        <f t="shared" si="29"/>
        <v xml:space="preserve"> </v>
      </c>
    </row>
    <row r="608" spans="1:14">
      <c r="A608" s="37">
        <f t="shared" si="27"/>
        <v>597</v>
      </c>
      <c r="G608" s="48" t="str">
        <f>IF(F608=""," ",IF(ISNA(VLOOKUP(D608,'[2]stock-take'!$A:$E,4,FALSE)), "OUT OF STOCK", VLOOKUP(D608,'[2]stock-take'!$A:$E,4,FALSE)))</f>
        <v xml:space="preserve"> </v>
      </c>
      <c r="H608" s="48">
        <f>IF(ISNA(VLOOKUP(D608,'[2]stock-take'!$A:$E,3,FALSE)), 0, VLOOKUP(D608,'[2]stock-take'!$A:$E,3,FALSE))</f>
        <v>0</v>
      </c>
      <c r="I608" s="48" t="str">
        <f>IF(F608="", " ",IF(ISNA(VLOOKUP(D608,'[2]stock-take'!$G:$K,4,FALSE)), "OUT OF STOCK", VLOOKUP(D608,'[2]stock-take'!$G:$K,4,FALSE)))</f>
        <v xml:space="preserve"> </v>
      </c>
      <c r="J608" s="39">
        <f>IF(ISNA(VLOOKUP(D608,'[2]stock-take'!$G:$K,3,FALSE)), 0, VLOOKUP(D608,'[2]stock-take'!$G:$K,3,FALSE))</f>
        <v>0</v>
      </c>
      <c r="K608" s="49" t="str">
        <f>IF(F608="", " ", IF(ISNA(VLOOKUP(D608,'[2]stock-take'!$M:$Q,4,FALSE)), "OUT OF STOCK", VLOOKUP(D608,'[2]stock-take'!$M:$Q,4,FALSE)))</f>
        <v xml:space="preserve"> </v>
      </c>
      <c r="L608" s="47">
        <f>IF(ISNA(VLOOKUP(D608,'[2]stock-take'!$M:$Q,3,FALSE)), 0, VLOOKUP(D608,'[2]stock-take'!$M:$Q,3,FALSE))</f>
        <v>0</v>
      </c>
      <c r="M608" s="48" t="str">
        <f t="shared" si="28"/>
        <v xml:space="preserve"> </v>
      </c>
      <c r="N608" s="39" t="str">
        <f t="shared" si="29"/>
        <v xml:space="preserve"> </v>
      </c>
    </row>
    <row r="609" spans="1:14">
      <c r="A609" s="37">
        <f t="shared" si="27"/>
        <v>598</v>
      </c>
      <c r="G609" s="48" t="str">
        <f>IF(F609=""," ",IF(ISNA(VLOOKUP(D609,'[2]stock-take'!$A:$E,4,FALSE)), "OUT OF STOCK", VLOOKUP(D609,'[2]stock-take'!$A:$E,4,FALSE)))</f>
        <v xml:space="preserve"> </v>
      </c>
      <c r="H609" s="48">
        <f>IF(ISNA(VLOOKUP(D609,'[2]stock-take'!$A:$E,3,FALSE)), 0, VLOOKUP(D609,'[2]stock-take'!$A:$E,3,FALSE))</f>
        <v>0</v>
      </c>
      <c r="I609" s="48" t="str">
        <f>IF(F609="", " ",IF(ISNA(VLOOKUP(D609,'[2]stock-take'!$G:$K,4,FALSE)), "OUT OF STOCK", VLOOKUP(D609,'[2]stock-take'!$G:$K,4,FALSE)))</f>
        <v xml:space="preserve"> </v>
      </c>
      <c r="J609" s="39">
        <f>IF(ISNA(VLOOKUP(D609,'[2]stock-take'!$G:$K,3,FALSE)), 0, VLOOKUP(D609,'[2]stock-take'!$G:$K,3,FALSE))</f>
        <v>0</v>
      </c>
      <c r="K609" s="49" t="str">
        <f>IF(F609="", " ", IF(ISNA(VLOOKUP(D609,'[2]stock-take'!$M:$Q,4,FALSE)), "OUT OF STOCK", VLOOKUP(D609,'[2]stock-take'!$M:$Q,4,FALSE)))</f>
        <v xml:space="preserve"> </v>
      </c>
      <c r="L609" s="47">
        <f>IF(ISNA(VLOOKUP(D609,'[2]stock-take'!$M:$Q,3,FALSE)), 0, VLOOKUP(D609,'[2]stock-take'!$M:$Q,3,FALSE))</f>
        <v>0</v>
      </c>
      <c r="M609" s="48" t="str">
        <f t="shared" si="28"/>
        <v xml:space="preserve"> </v>
      </c>
      <c r="N609" s="39" t="str">
        <f t="shared" si="29"/>
        <v xml:space="preserve"> </v>
      </c>
    </row>
    <row r="610" spans="1:14">
      <c r="A610" s="37">
        <f t="shared" si="27"/>
        <v>599</v>
      </c>
      <c r="G610" s="48" t="str">
        <f>IF(F610=""," ",IF(ISNA(VLOOKUP(D610,'[2]stock-take'!$A:$E,4,FALSE)), "OUT OF STOCK", VLOOKUP(D610,'[2]stock-take'!$A:$E,4,FALSE)))</f>
        <v xml:space="preserve"> </v>
      </c>
      <c r="H610" s="48">
        <f>IF(ISNA(VLOOKUP(D610,'[2]stock-take'!$A:$E,3,FALSE)), 0, VLOOKUP(D610,'[2]stock-take'!$A:$E,3,FALSE))</f>
        <v>0</v>
      </c>
      <c r="I610" s="48" t="str">
        <f>IF(F610="", " ",IF(ISNA(VLOOKUP(D610,'[2]stock-take'!$G:$K,4,FALSE)), "OUT OF STOCK", VLOOKUP(D610,'[2]stock-take'!$G:$K,4,FALSE)))</f>
        <v xml:space="preserve"> </v>
      </c>
      <c r="J610" s="39">
        <f>IF(ISNA(VLOOKUP(D610,'[2]stock-take'!$G:$K,3,FALSE)), 0, VLOOKUP(D610,'[2]stock-take'!$G:$K,3,FALSE))</f>
        <v>0</v>
      </c>
      <c r="K610" s="49" t="str">
        <f>IF(F610="", " ", IF(ISNA(VLOOKUP(D610,'[2]stock-take'!$M:$Q,4,FALSE)), "OUT OF STOCK", VLOOKUP(D610,'[2]stock-take'!$M:$Q,4,FALSE)))</f>
        <v xml:space="preserve"> </v>
      </c>
      <c r="L610" s="47">
        <f>IF(ISNA(VLOOKUP(D610,'[2]stock-take'!$M:$Q,3,FALSE)), 0, VLOOKUP(D610,'[2]stock-take'!$M:$Q,3,FALSE))</f>
        <v>0</v>
      </c>
      <c r="M610" s="48" t="str">
        <f t="shared" si="28"/>
        <v xml:space="preserve"> </v>
      </c>
      <c r="N610" s="39" t="str">
        <f t="shared" si="29"/>
        <v xml:space="preserve"> </v>
      </c>
    </row>
    <row r="611" spans="1:14">
      <c r="A611" s="37">
        <f t="shared" si="27"/>
        <v>600</v>
      </c>
      <c r="G611" s="48" t="str">
        <f>IF(F611=""," ",IF(ISNA(VLOOKUP(D611,'[2]stock-take'!$A:$E,4,FALSE)), "OUT OF STOCK", VLOOKUP(D611,'[2]stock-take'!$A:$E,4,FALSE)))</f>
        <v xml:space="preserve"> </v>
      </c>
      <c r="H611" s="48">
        <f>IF(ISNA(VLOOKUP(D611,'[2]stock-take'!$A:$E,3,FALSE)), 0, VLOOKUP(D611,'[2]stock-take'!$A:$E,3,FALSE))</f>
        <v>0</v>
      </c>
      <c r="I611" s="48" t="str">
        <f>IF(F611="", " ",IF(ISNA(VLOOKUP(D611,'[2]stock-take'!$G:$K,4,FALSE)), "OUT OF STOCK", VLOOKUP(D611,'[2]stock-take'!$G:$K,4,FALSE)))</f>
        <v xml:space="preserve"> </v>
      </c>
      <c r="J611" s="39">
        <f>IF(ISNA(VLOOKUP(D611,'[2]stock-take'!$G:$K,3,FALSE)), 0, VLOOKUP(D611,'[2]stock-take'!$G:$K,3,FALSE))</f>
        <v>0</v>
      </c>
      <c r="K611" s="49" t="str">
        <f>IF(F611="", " ", IF(ISNA(VLOOKUP(D611,'[2]stock-take'!$M:$Q,4,FALSE)), "OUT OF STOCK", VLOOKUP(D611,'[2]stock-take'!$M:$Q,4,FALSE)))</f>
        <v xml:space="preserve"> </v>
      </c>
      <c r="L611" s="47">
        <f>IF(ISNA(VLOOKUP(D611,'[2]stock-take'!$M:$Q,3,FALSE)), 0, VLOOKUP(D611,'[2]stock-take'!$M:$Q,3,FALSE))</f>
        <v>0</v>
      </c>
      <c r="M611" s="48" t="str">
        <f t="shared" si="28"/>
        <v xml:space="preserve"> </v>
      </c>
      <c r="N611" s="39" t="str">
        <f t="shared" si="29"/>
        <v xml:space="preserve"> </v>
      </c>
    </row>
    <row r="612" spans="1:14">
      <c r="A612" s="37">
        <f t="shared" si="27"/>
        <v>601</v>
      </c>
      <c r="G612" s="48" t="str">
        <f>IF(F612=""," ",IF(ISNA(VLOOKUP(D612,'[2]stock-take'!$A:$E,4,FALSE)), "OUT OF STOCK", VLOOKUP(D612,'[2]stock-take'!$A:$E,4,FALSE)))</f>
        <v xml:space="preserve"> </v>
      </c>
      <c r="H612" s="48">
        <f>IF(ISNA(VLOOKUP(D612,'[2]stock-take'!$A:$E,3,FALSE)), 0, VLOOKUP(D612,'[2]stock-take'!$A:$E,3,FALSE))</f>
        <v>0</v>
      </c>
      <c r="I612" s="48" t="str">
        <f>IF(F612="", " ",IF(ISNA(VLOOKUP(D612,'[2]stock-take'!$G:$K,4,FALSE)), "OUT OF STOCK", VLOOKUP(D612,'[2]stock-take'!$G:$K,4,FALSE)))</f>
        <v xml:space="preserve"> </v>
      </c>
      <c r="J612" s="39">
        <f>IF(ISNA(VLOOKUP(D612,'[2]stock-take'!$G:$K,3,FALSE)), 0, VLOOKUP(D612,'[2]stock-take'!$G:$K,3,FALSE))</f>
        <v>0</v>
      </c>
      <c r="K612" s="49" t="str">
        <f>IF(F612="", " ", IF(ISNA(VLOOKUP(D612,'[2]stock-take'!$M:$Q,4,FALSE)), "OUT OF STOCK", VLOOKUP(D612,'[2]stock-take'!$M:$Q,4,FALSE)))</f>
        <v xml:space="preserve"> </v>
      </c>
      <c r="L612" s="47">
        <f>IF(ISNA(VLOOKUP(D612,'[2]stock-take'!$M:$Q,3,FALSE)), 0, VLOOKUP(D612,'[2]stock-take'!$M:$Q,3,FALSE))</f>
        <v>0</v>
      </c>
      <c r="M612" s="48" t="str">
        <f t="shared" si="28"/>
        <v xml:space="preserve"> </v>
      </c>
      <c r="N612" s="39" t="str">
        <f t="shared" si="29"/>
        <v xml:space="preserve"> </v>
      </c>
    </row>
    <row r="613" spans="1:14">
      <c r="A613" s="37">
        <f t="shared" si="27"/>
        <v>602</v>
      </c>
      <c r="G613" s="48" t="str">
        <f>IF(F613=""," ",IF(ISNA(VLOOKUP(D613,'[2]stock-take'!$A:$E,4,FALSE)), "OUT OF STOCK", VLOOKUP(D613,'[2]stock-take'!$A:$E,4,FALSE)))</f>
        <v xml:space="preserve"> </v>
      </c>
      <c r="H613" s="48">
        <f>IF(ISNA(VLOOKUP(D613,'[2]stock-take'!$A:$E,3,FALSE)), 0, VLOOKUP(D613,'[2]stock-take'!$A:$E,3,FALSE))</f>
        <v>0</v>
      </c>
      <c r="I613" s="48" t="str">
        <f>IF(F613="", " ",IF(ISNA(VLOOKUP(D613,'[2]stock-take'!$G:$K,4,FALSE)), "OUT OF STOCK", VLOOKUP(D613,'[2]stock-take'!$G:$K,4,FALSE)))</f>
        <v xml:space="preserve"> </v>
      </c>
      <c r="J613" s="39">
        <f>IF(ISNA(VLOOKUP(D613,'[2]stock-take'!$G:$K,3,FALSE)), 0, VLOOKUP(D613,'[2]stock-take'!$G:$K,3,FALSE))</f>
        <v>0</v>
      </c>
      <c r="K613" s="49" t="str">
        <f>IF(F613="", " ", IF(ISNA(VLOOKUP(D613,'[2]stock-take'!$M:$Q,4,FALSE)), "OUT OF STOCK", VLOOKUP(D613,'[2]stock-take'!$M:$Q,4,FALSE)))</f>
        <v xml:space="preserve"> </v>
      </c>
      <c r="L613" s="47">
        <f>IF(ISNA(VLOOKUP(D613,'[2]stock-take'!$M:$Q,3,FALSE)), 0, VLOOKUP(D613,'[2]stock-take'!$M:$Q,3,FALSE))</f>
        <v>0</v>
      </c>
      <c r="M613" s="48" t="str">
        <f t="shared" si="28"/>
        <v xml:space="preserve"> </v>
      </c>
      <c r="N613" s="39" t="str">
        <f t="shared" si="29"/>
        <v xml:space="preserve"> </v>
      </c>
    </row>
    <row r="614" spans="1:14">
      <c r="A614" s="37">
        <f t="shared" si="27"/>
        <v>603</v>
      </c>
      <c r="G614" s="48" t="str">
        <f>IF(F614=""," ",IF(ISNA(VLOOKUP(D614,'[2]stock-take'!$A:$E,4,FALSE)), "OUT OF STOCK", VLOOKUP(D614,'[2]stock-take'!$A:$E,4,FALSE)))</f>
        <v xml:space="preserve"> </v>
      </c>
      <c r="H614" s="48">
        <f>IF(ISNA(VLOOKUP(D614,'[2]stock-take'!$A:$E,3,FALSE)), 0, VLOOKUP(D614,'[2]stock-take'!$A:$E,3,FALSE))</f>
        <v>0</v>
      </c>
      <c r="I614" s="48" t="str">
        <f>IF(F614="", " ",IF(ISNA(VLOOKUP(D614,'[2]stock-take'!$G:$K,4,FALSE)), "OUT OF STOCK", VLOOKUP(D614,'[2]stock-take'!$G:$K,4,FALSE)))</f>
        <v xml:space="preserve"> </v>
      </c>
      <c r="J614" s="39">
        <f>IF(ISNA(VLOOKUP(D614,'[2]stock-take'!$G:$K,3,FALSE)), 0, VLOOKUP(D614,'[2]stock-take'!$G:$K,3,FALSE))</f>
        <v>0</v>
      </c>
      <c r="K614" s="49" t="str">
        <f>IF(F614="", " ", IF(ISNA(VLOOKUP(D614,'[2]stock-take'!$M:$Q,4,FALSE)), "OUT OF STOCK", VLOOKUP(D614,'[2]stock-take'!$M:$Q,4,FALSE)))</f>
        <v xml:space="preserve"> </v>
      </c>
      <c r="L614" s="47">
        <f>IF(ISNA(VLOOKUP(D614,'[2]stock-take'!$M:$Q,3,FALSE)), 0, VLOOKUP(D614,'[2]stock-take'!$M:$Q,3,FALSE))</f>
        <v>0</v>
      </c>
      <c r="M614" s="48" t="str">
        <f t="shared" si="28"/>
        <v xml:space="preserve"> </v>
      </c>
      <c r="N614" s="39" t="str">
        <f t="shared" si="29"/>
        <v xml:space="preserve"> </v>
      </c>
    </row>
    <row r="615" spans="1:14">
      <c r="A615" s="37">
        <f t="shared" si="27"/>
        <v>604</v>
      </c>
      <c r="G615" s="48" t="str">
        <f>IF(F615=""," ",IF(ISNA(VLOOKUP(D615,'[2]stock-take'!$A:$E,4,FALSE)), "OUT OF STOCK", VLOOKUP(D615,'[2]stock-take'!$A:$E,4,FALSE)))</f>
        <v xml:space="preserve"> </v>
      </c>
      <c r="H615" s="48">
        <f>IF(ISNA(VLOOKUP(D615,'[2]stock-take'!$A:$E,3,FALSE)), 0, VLOOKUP(D615,'[2]stock-take'!$A:$E,3,FALSE))</f>
        <v>0</v>
      </c>
      <c r="I615" s="48" t="str">
        <f>IF(F615="", " ",IF(ISNA(VLOOKUP(D615,'[2]stock-take'!$G:$K,4,FALSE)), "OUT OF STOCK", VLOOKUP(D615,'[2]stock-take'!$G:$K,4,FALSE)))</f>
        <v xml:space="preserve"> </v>
      </c>
      <c r="J615" s="39">
        <f>IF(ISNA(VLOOKUP(D615,'[2]stock-take'!$G:$K,3,FALSE)), 0, VLOOKUP(D615,'[2]stock-take'!$G:$K,3,FALSE))</f>
        <v>0</v>
      </c>
      <c r="K615" s="49" t="str">
        <f>IF(F615="", " ", IF(ISNA(VLOOKUP(D615,'[2]stock-take'!$M:$Q,4,FALSE)), "OUT OF STOCK", VLOOKUP(D615,'[2]stock-take'!$M:$Q,4,FALSE)))</f>
        <v xml:space="preserve"> </v>
      </c>
      <c r="L615" s="47">
        <f>IF(ISNA(VLOOKUP(D615,'[2]stock-take'!$M:$Q,3,FALSE)), 0, VLOOKUP(D615,'[2]stock-take'!$M:$Q,3,FALSE))</f>
        <v>0</v>
      </c>
      <c r="M615" s="48" t="str">
        <f t="shared" si="28"/>
        <v xml:space="preserve"> </v>
      </c>
      <c r="N615" s="39" t="str">
        <f t="shared" si="29"/>
        <v xml:space="preserve"> </v>
      </c>
    </row>
    <row r="616" spans="1:14">
      <c r="A616" s="37">
        <f t="shared" si="27"/>
        <v>605</v>
      </c>
      <c r="G616" s="48" t="str">
        <f>IF(F616=""," ",IF(ISNA(VLOOKUP(D616,'[2]stock-take'!$A:$E,4,FALSE)), "OUT OF STOCK", VLOOKUP(D616,'[2]stock-take'!$A:$E,4,FALSE)))</f>
        <v xml:space="preserve"> </v>
      </c>
      <c r="H616" s="48">
        <f>IF(ISNA(VLOOKUP(D616,'[2]stock-take'!$A:$E,3,FALSE)), 0, VLOOKUP(D616,'[2]stock-take'!$A:$E,3,FALSE))</f>
        <v>0</v>
      </c>
      <c r="I616" s="48" t="str">
        <f>IF(F616="", " ",IF(ISNA(VLOOKUP(D616,'[2]stock-take'!$G:$K,4,FALSE)), "OUT OF STOCK", VLOOKUP(D616,'[2]stock-take'!$G:$K,4,FALSE)))</f>
        <v xml:space="preserve"> </v>
      </c>
      <c r="J616" s="39">
        <f>IF(ISNA(VLOOKUP(D616,'[2]stock-take'!$G:$K,3,FALSE)), 0, VLOOKUP(D616,'[2]stock-take'!$G:$K,3,FALSE))</f>
        <v>0</v>
      </c>
      <c r="K616" s="49" t="str">
        <f>IF(F616="", " ", IF(ISNA(VLOOKUP(D616,'[2]stock-take'!$M:$Q,4,FALSE)), "OUT OF STOCK", VLOOKUP(D616,'[2]stock-take'!$M:$Q,4,FALSE)))</f>
        <v xml:space="preserve"> </v>
      </c>
      <c r="L616" s="47">
        <f>IF(ISNA(VLOOKUP(D616,'[2]stock-take'!$M:$Q,3,FALSE)), 0, VLOOKUP(D616,'[2]stock-take'!$M:$Q,3,FALSE))</f>
        <v>0</v>
      </c>
      <c r="M616" s="48" t="str">
        <f t="shared" si="28"/>
        <v xml:space="preserve"> </v>
      </c>
      <c r="N616" s="39" t="str">
        <f t="shared" si="29"/>
        <v xml:space="preserve"> </v>
      </c>
    </row>
    <row r="617" spans="1:14">
      <c r="A617" s="37">
        <f t="shared" si="27"/>
        <v>606</v>
      </c>
      <c r="G617" s="48" t="str">
        <f>IF(F617=""," ",IF(ISNA(VLOOKUP(D617,'[2]stock-take'!$A:$E,4,FALSE)), "OUT OF STOCK", VLOOKUP(D617,'[2]stock-take'!$A:$E,4,FALSE)))</f>
        <v xml:space="preserve"> </v>
      </c>
      <c r="H617" s="48">
        <f>IF(ISNA(VLOOKUP(D617,'[2]stock-take'!$A:$E,3,FALSE)), 0, VLOOKUP(D617,'[2]stock-take'!$A:$E,3,FALSE))</f>
        <v>0</v>
      </c>
      <c r="I617" s="48" t="str">
        <f>IF(F617="", " ",IF(ISNA(VLOOKUP(D617,'[2]stock-take'!$G:$K,4,FALSE)), "OUT OF STOCK", VLOOKUP(D617,'[2]stock-take'!$G:$K,4,FALSE)))</f>
        <v xml:space="preserve"> </v>
      </c>
      <c r="J617" s="39">
        <f>IF(ISNA(VLOOKUP(D617,'[2]stock-take'!$G:$K,3,FALSE)), 0, VLOOKUP(D617,'[2]stock-take'!$G:$K,3,FALSE))</f>
        <v>0</v>
      </c>
      <c r="K617" s="49" t="str">
        <f>IF(F617="", " ", IF(ISNA(VLOOKUP(D617,'[2]stock-take'!$M:$Q,4,FALSE)), "OUT OF STOCK", VLOOKUP(D617,'[2]stock-take'!$M:$Q,4,FALSE)))</f>
        <v xml:space="preserve"> </v>
      </c>
      <c r="L617" s="47">
        <f>IF(ISNA(VLOOKUP(D617,'[2]stock-take'!$M:$Q,3,FALSE)), 0, VLOOKUP(D617,'[2]stock-take'!$M:$Q,3,FALSE))</f>
        <v>0</v>
      </c>
      <c r="M617" s="48" t="str">
        <f t="shared" si="28"/>
        <v xml:space="preserve"> </v>
      </c>
      <c r="N617" s="39" t="str">
        <f t="shared" si="29"/>
        <v xml:space="preserve"> </v>
      </c>
    </row>
    <row r="618" spans="1:14">
      <c r="A618" s="37">
        <f t="shared" si="27"/>
        <v>607</v>
      </c>
      <c r="G618" s="48" t="str">
        <f>IF(F618=""," ",IF(ISNA(VLOOKUP(D618,'[2]stock-take'!$A:$E,4,FALSE)), "OUT OF STOCK", VLOOKUP(D618,'[2]stock-take'!$A:$E,4,FALSE)))</f>
        <v xml:space="preserve"> </v>
      </c>
      <c r="H618" s="48">
        <f>IF(ISNA(VLOOKUP(D618,'[2]stock-take'!$A:$E,3,FALSE)), 0, VLOOKUP(D618,'[2]stock-take'!$A:$E,3,FALSE))</f>
        <v>0</v>
      </c>
      <c r="I618" s="48" t="str">
        <f>IF(F618="", " ",IF(ISNA(VLOOKUP(D618,'[2]stock-take'!$G:$K,4,FALSE)), "OUT OF STOCK", VLOOKUP(D618,'[2]stock-take'!$G:$K,4,FALSE)))</f>
        <v xml:space="preserve"> </v>
      </c>
      <c r="J618" s="39">
        <f>IF(ISNA(VLOOKUP(D618,'[2]stock-take'!$G:$K,3,FALSE)), 0, VLOOKUP(D618,'[2]stock-take'!$G:$K,3,FALSE))</f>
        <v>0</v>
      </c>
      <c r="K618" s="49" t="str">
        <f>IF(F618="", " ", IF(ISNA(VLOOKUP(D618,'[2]stock-take'!$M:$Q,4,FALSE)), "OUT OF STOCK", VLOOKUP(D618,'[2]stock-take'!$M:$Q,4,FALSE)))</f>
        <v xml:space="preserve"> </v>
      </c>
      <c r="L618" s="47">
        <f>IF(ISNA(VLOOKUP(D618,'[2]stock-take'!$M:$Q,3,FALSE)), 0, VLOOKUP(D618,'[2]stock-take'!$M:$Q,3,FALSE))</f>
        <v>0</v>
      </c>
      <c r="M618" s="48" t="str">
        <f t="shared" si="28"/>
        <v xml:space="preserve"> </v>
      </c>
      <c r="N618" s="39" t="str">
        <f t="shared" si="29"/>
        <v xml:space="preserve"> </v>
      </c>
    </row>
    <row r="619" spans="1:14">
      <c r="A619" s="37">
        <f t="shared" si="27"/>
        <v>608</v>
      </c>
      <c r="G619" s="48" t="str">
        <f>IF(F619=""," ",IF(ISNA(VLOOKUP(D619,'[2]stock-take'!$A:$E,4,FALSE)), "OUT OF STOCK", VLOOKUP(D619,'[2]stock-take'!$A:$E,4,FALSE)))</f>
        <v xml:space="preserve"> </v>
      </c>
      <c r="H619" s="48">
        <f>IF(ISNA(VLOOKUP(D619,'[2]stock-take'!$A:$E,3,FALSE)), 0, VLOOKUP(D619,'[2]stock-take'!$A:$E,3,FALSE))</f>
        <v>0</v>
      </c>
      <c r="I619" s="48" t="str">
        <f>IF(F619="", " ",IF(ISNA(VLOOKUP(D619,'[2]stock-take'!$G:$K,4,FALSE)), "OUT OF STOCK", VLOOKUP(D619,'[2]stock-take'!$G:$K,4,FALSE)))</f>
        <v xml:space="preserve"> </v>
      </c>
      <c r="J619" s="39">
        <f>IF(ISNA(VLOOKUP(D619,'[2]stock-take'!$G:$K,3,FALSE)), 0, VLOOKUP(D619,'[2]stock-take'!$G:$K,3,FALSE))</f>
        <v>0</v>
      </c>
      <c r="K619" s="49" t="str">
        <f>IF(F619="", " ", IF(ISNA(VLOOKUP(D619,'[2]stock-take'!$M:$Q,4,FALSE)), "OUT OF STOCK", VLOOKUP(D619,'[2]stock-take'!$M:$Q,4,FALSE)))</f>
        <v xml:space="preserve"> </v>
      </c>
      <c r="L619" s="47">
        <f>IF(ISNA(VLOOKUP(D619,'[2]stock-take'!$M:$Q,3,FALSE)), 0, VLOOKUP(D619,'[2]stock-take'!$M:$Q,3,FALSE))</f>
        <v>0</v>
      </c>
      <c r="M619" s="48" t="str">
        <f t="shared" si="28"/>
        <v xml:space="preserve"> </v>
      </c>
      <c r="N619" s="39" t="str">
        <f t="shared" si="29"/>
        <v xml:space="preserve"> </v>
      </c>
    </row>
    <row r="620" spans="1:14">
      <c r="A620" s="37">
        <f t="shared" si="27"/>
        <v>609</v>
      </c>
      <c r="G620" s="48" t="str">
        <f>IF(F620=""," ",IF(ISNA(VLOOKUP(D620,'[2]stock-take'!$A:$E,4,FALSE)), "OUT OF STOCK", VLOOKUP(D620,'[2]stock-take'!$A:$E,4,FALSE)))</f>
        <v xml:space="preserve"> </v>
      </c>
      <c r="H620" s="48">
        <f>IF(ISNA(VLOOKUP(D620,'[2]stock-take'!$A:$E,3,FALSE)), 0, VLOOKUP(D620,'[2]stock-take'!$A:$E,3,FALSE))</f>
        <v>0</v>
      </c>
      <c r="I620" s="48" t="str">
        <f>IF(F620="", " ",IF(ISNA(VLOOKUP(D620,'[2]stock-take'!$G:$K,4,FALSE)), "OUT OF STOCK", VLOOKUP(D620,'[2]stock-take'!$G:$K,4,FALSE)))</f>
        <v xml:space="preserve"> </v>
      </c>
      <c r="J620" s="39">
        <f>IF(ISNA(VLOOKUP(D620,'[2]stock-take'!$G:$K,3,FALSE)), 0, VLOOKUP(D620,'[2]stock-take'!$G:$K,3,FALSE))</f>
        <v>0</v>
      </c>
      <c r="K620" s="49" t="str">
        <f>IF(F620="", " ", IF(ISNA(VLOOKUP(D620,'[2]stock-take'!$M:$Q,4,FALSE)), "OUT OF STOCK", VLOOKUP(D620,'[2]stock-take'!$M:$Q,4,FALSE)))</f>
        <v xml:space="preserve"> </v>
      </c>
      <c r="L620" s="47">
        <f>IF(ISNA(VLOOKUP(D620,'[2]stock-take'!$M:$Q,3,FALSE)), 0, VLOOKUP(D620,'[2]stock-take'!$M:$Q,3,FALSE))</f>
        <v>0</v>
      </c>
      <c r="M620" s="48" t="str">
        <f t="shared" si="28"/>
        <v xml:space="preserve"> </v>
      </c>
      <c r="N620" s="39" t="str">
        <f t="shared" si="29"/>
        <v xml:space="preserve"> </v>
      </c>
    </row>
    <row r="621" spans="1:14">
      <c r="A621" s="37">
        <f t="shared" si="27"/>
        <v>610</v>
      </c>
      <c r="G621" s="48" t="str">
        <f>IF(F621=""," ",IF(ISNA(VLOOKUP(D621,'[2]stock-take'!$A:$E,4,FALSE)), "OUT OF STOCK", VLOOKUP(D621,'[2]stock-take'!$A:$E,4,FALSE)))</f>
        <v xml:space="preserve"> </v>
      </c>
      <c r="H621" s="48">
        <f>IF(ISNA(VLOOKUP(D621,'[2]stock-take'!$A:$E,3,FALSE)), 0, VLOOKUP(D621,'[2]stock-take'!$A:$E,3,FALSE))</f>
        <v>0</v>
      </c>
      <c r="I621" s="48" t="str">
        <f>IF(F621="", " ",IF(ISNA(VLOOKUP(D621,'[2]stock-take'!$G:$K,4,FALSE)), "OUT OF STOCK", VLOOKUP(D621,'[2]stock-take'!$G:$K,4,FALSE)))</f>
        <v xml:space="preserve"> </v>
      </c>
      <c r="J621" s="39">
        <f>IF(ISNA(VLOOKUP(D621,'[2]stock-take'!$G:$K,3,FALSE)), 0, VLOOKUP(D621,'[2]stock-take'!$G:$K,3,FALSE))</f>
        <v>0</v>
      </c>
      <c r="K621" s="49" t="str">
        <f>IF(F621="", " ", IF(ISNA(VLOOKUP(D621,'[2]stock-take'!$M:$Q,4,FALSE)), "OUT OF STOCK", VLOOKUP(D621,'[2]stock-take'!$M:$Q,4,FALSE)))</f>
        <v xml:space="preserve"> </v>
      </c>
      <c r="L621" s="47">
        <f>IF(ISNA(VLOOKUP(D621,'[2]stock-take'!$M:$Q,3,FALSE)), 0, VLOOKUP(D621,'[2]stock-take'!$M:$Q,3,FALSE))</f>
        <v>0</v>
      </c>
      <c r="M621" s="48" t="str">
        <f t="shared" si="28"/>
        <v xml:space="preserve"> </v>
      </c>
      <c r="N621" s="39" t="str">
        <f t="shared" si="29"/>
        <v xml:space="preserve"> </v>
      </c>
    </row>
    <row r="622" spans="1:14">
      <c r="A622" s="37">
        <f t="shared" si="27"/>
        <v>611</v>
      </c>
      <c r="G622" s="48" t="str">
        <f>IF(F622=""," ",IF(ISNA(VLOOKUP(D622,'[2]stock-take'!$A:$E,4,FALSE)), "OUT OF STOCK", VLOOKUP(D622,'[2]stock-take'!$A:$E,4,FALSE)))</f>
        <v xml:space="preserve"> </v>
      </c>
      <c r="H622" s="48">
        <f>IF(ISNA(VLOOKUP(D622,'[2]stock-take'!$A:$E,3,FALSE)), 0, VLOOKUP(D622,'[2]stock-take'!$A:$E,3,FALSE))</f>
        <v>0</v>
      </c>
      <c r="I622" s="48" t="str">
        <f>IF(F622="", " ",IF(ISNA(VLOOKUP(D622,'[2]stock-take'!$G:$K,4,FALSE)), "OUT OF STOCK", VLOOKUP(D622,'[2]stock-take'!$G:$K,4,FALSE)))</f>
        <v xml:space="preserve"> </v>
      </c>
      <c r="J622" s="39">
        <f>IF(ISNA(VLOOKUP(D622,'[2]stock-take'!$G:$K,3,FALSE)), 0, VLOOKUP(D622,'[2]stock-take'!$G:$K,3,FALSE))</f>
        <v>0</v>
      </c>
      <c r="K622" s="49" t="str">
        <f>IF(F622="", " ", IF(ISNA(VLOOKUP(D622,'[2]stock-take'!$M:$Q,4,FALSE)), "OUT OF STOCK", VLOOKUP(D622,'[2]stock-take'!$M:$Q,4,FALSE)))</f>
        <v xml:space="preserve"> </v>
      </c>
      <c r="L622" s="47">
        <f>IF(ISNA(VLOOKUP(D622,'[2]stock-take'!$M:$Q,3,FALSE)), 0, VLOOKUP(D622,'[2]stock-take'!$M:$Q,3,FALSE))</f>
        <v>0</v>
      </c>
      <c r="M622" s="48" t="str">
        <f t="shared" si="28"/>
        <v xml:space="preserve"> </v>
      </c>
      <c r="N622" s="39" t="str">
        <f t="shared" si="29"/>
        <v xml:space="preserve"> </v>
      </c>
    </row>
    <row r="623" spans="1:14">
      <c r="A623" s="37">
        <f t="shared" si="27"/>
        <v>612</v>
      </c>
      <c r="G623" s="48" t="str">
        <f>IF(F623=""," ",IF(ISNA(VLOOKUP(D623,'[2]stock-take'!$A:$E,4,FALSE)), "OUT OF STOCK", VLOOKUP(D623,'[2]stock-take'!$A:$E,4,FALSE)))</f>
        <v xml:space="preserve"> </v>
      </c>
      <c r="H623" s="48">
        <f>IF(ISNA(VLOOKUP(D623,'[2]stock-take'!$A:$E,3,FALSE)), 0, VLOOKUP(D623,'[2]stock-take'!$A:$E,3,FALSE))</f>
        <v>0</v>
      </c>
      <c r="I623" s="48" t="str">
        <f>IF(F623="", " ",IF(ISNA(VLOOKUP(D623,'[2]stock-take'!$G:$K,4,FALSE)), "OUT OF STOCK", VLOOKUP(D623,'[2]stock-take'!$G:$K,4,FALSE)))</f>
        <v xml:space="preserve"> </v>
      </c>
      <c r="J623" s="39">
        <f>IF(ISNA(VLOOKUP(D623,'[2]stock-take'!$G:$K,3,FALSE)), 0, VLOOKUP(D623,'[2]stock-take'!$G:$K,3,FALSE))</f>
        <v>0</v>
      </c>
      <c r="K623" s="49" t="str">
        <f>IF(F623="", " ", IF(ISNA(VLOOKUP(D623,'[2]stock-take'!$M:$Q,4,FALSE)), "OUT OF STOCK", VLOOKUP(D623,'[2]stock-take'!$M:$Q,4,FALSE)))</f>
        <v xml:space="preserve"> </v>
      </c>
      <c r="L623" s="47">
        <f>IF(ISNA(VLOOKUP(D623,'[2]stock-take'!$M:$Q,3,FALSE)), 0, VLOOKUP(D623,'[2]stock-take'!$M:$Q,3,FALSE))</f>
        <v>0</v>
      </c>
      <c r="M623" s="48" t="str">
        <f t="shared" si="28"/>
        <v xml:space="preserve"> </v>
      </c>
      <c r="N623" s="39" t="str">
        <f t="shared" si="29"/>
        <v xml:space="preserve"> </v>
      </c>
    </row>
    <row r="624" spans="1:14">
      <c r="A624" s="37">
        <f t="shared" si="27"/>
        <v>613</v>
      </c>
      <c r="G624" s="48" t="str">
        <f>IF(F624=""," ",IF(ISNA(VLOOKUP(D624,'[2]stock-take'!$A:$E,4,FALSE)), "OUT OF STOCK", VLOOKUP(D624,'[2]stock-take'!$A:$E,4,FALSE)))</f>
        <v xml:space="preserve"> </v>
      </c>
      <c r="H624" s="48">
        <f>IF(ISNA(VLOOKUP(D624,'[2]stock-take'!$A:$E,3,FALSE)), 0, VLOOKUP(D624,'[2]stock-take'!$A:$E,3,FALSE))</f>
        <v>0</v>
      </c>
      <c r="I624" s="48" t="str">
        <f>IF(F624="", " ",IF(ISNA(VLOOKUP(D624,'[2]stock-take'!$G:$K,4,FALSE)), "OUT OF STOCK", VLOOKUP(D624,'[2]stock-take'!$G:$K,4,FALSE)))</f>
        <v xml:space="preserve"> </v>
      </c>
      <c r="J624" s="39">
        <f>IF(ISNA(VLOOKUP(D624,'[2]stock-take'!$G:$K,3,FALSE)), 0, VLOOKUP(D624,'[2]stock-take'!$G:$K,3,FALSE))</f>
        <v>0</v>
      </c>
      <c r="K624" s="49" t="str">
        <f>IF(F624="", " ", IF(ISNA(VLOOKUP(D624,'[2]stock-take'!$M:$Q,4,FALSE)), "OUT OF STOCK", VLOOKUP(D624,'[2]stock-take'!$M:$Q,4,FALSE)))</f>
        <v xml:space="preserve"> </v>
      </c>
      <c r="L624" s="47">
        <f>IF(ISNA(VLOOKUP(D624,'[2]stock-take'!$M:$Q,3,FALSE)), 0, VLOOKUP(D624,'[2]stock-take'!$M:$Q,3,FALSE))</f>
        <v>0</v>
      </c>
      <c r="M624" s="48" t="str">
        <f t="shared" si="28"/>
        <v xml:space="preserve"> </v>
      </c>
      <c r="N624" s="39" t="str">
        <f t="shared" si="29"/>
        <v xml:space="preserve"> </v>
      </c>
    </row>
    <row r="625" spans="1:14">
      <c r="A625" s="37">
        <f t="shared" si="27"/>
        <v>614</v>
      </c>
      <c r="G625" s="48" t="str">
        <f>IF(F625=""," ",IF(ISNA(VLOOKUP(D625,'[2]stock-take'!$A:$E,4,FALSE)), "OUT OF STOCK", VLOOKUP(D625,'[2]stock-take'!$A:$E,4,FALSE)))</f>
        <v xml:space="preserve"> </v>
      </c>
      <c r="H625" s="48">
        <f>IF(ISNA(VLOOKUP(D625,'[2]stock-take'!$A:$E,3,FALSE)), 0, VLOOKUP(D625,'[2]stock-take'!$A:$E,3,FALSE))</f>
        <v>0</v>
      </c>
      <c r="I625" s="48" t="str">
        <f>IF(F625="", " ",IF(ISNA(VLOOKUP(D625,'[2]stock-take'!$G:$K,4,FALSE)), "OUT OF STOCK", VLOOKUP(D625,'[2]stock-take'!$G:$K,4,FALSE)))</f>
        <v xml:space="preserve"> </v>
      </c>
      <c r="J625" s="39">
        <f>IF(ISNA(VLOOKUP(D625,'[2]stock-take'!$G:$K,3,FALSE)), 0, VLOOKUP(D625,'[2]stock-take'!$G:$K,3,FALSE))</f>
        <v>0</v>
      </c>
      <c r="K625" s="49" t="str">
        <f>IF(F625="", " ", IF(ISNA(VLOOKUP(D625,'[2]stock-take'!$M:$Q,4,FALSE)), "OUT OF STOCK", VLOOKUP(D625,'[2]stock-take'!$M:$Q,4,FALSE)))</f>
        <v xml:space="preserve"> </v>
      </c>
      <c r="L625" s="47">
        <f>IF(ISNA(VLOOKUP(D625,'[2]stock-take'!$M:$Q,3,FALSE)), 0, VLOOKUP(D625,'[2]stock-take'!$M:$Q,3,FALSE))</f>
        <v>0</v>
      </c>
      <c r="M625" s="48" t="str">
        <f t="shared" si="28"/>
        <v xml:space="preserve"> </v>
      </c>
      <c r="N625" s="39" t="str">
        <f t="shared" si="29"/>
        <v xml:space="preserve"> </v>
      </c>
    </row>
    <row r="626" spans="1:14">
      <c r="A626" s="37">
        <f t="shared" si="27"/>
        <v>615</v>
      </c>
      <c r="G626" s="48" t="str">
        <f>IF(F626=""," ",IF(ISNA(VLOOKUP(D626,'[2]stock-take'!$A:$E,4,FALSE)), "OUT OF STOCK", VLOOKUP(D626,'[2]stock-take'!$A:$E,4,FALSE)))</f>
        <v xml:space="preserve"> </v>
      </c>
      <c r="H626" s="48">
        <f>IF(ISNA(VLOOKUP(D626,'[2]stock-take'!$A:$E,3,FALSE)), 0, VLOOKUP(D626,'[2]stock-take'!$A:$E,3,FALSE))</f>
        <v>0</v>
      </c>
      <c r="I626" s="48" t="str">
        <f>IF(F626="", " ",IF(ISNA(VLOOKUP(D626,'[2]stock-take'!$G:$K,4,FALSE)), "OUT OF STOCK", VLOOKUP(D626,'[2]stock-take'!$G:$K,4,FALSE)))</f>
        <v xml:space="preserve"> </v>
      </c>
      <c r="J626" s="39">
        <f>IF(ISNA(VLOOKUP(D626,'[2]stock-take'!$G:$K,3,FALSE)), 0, VLOOKUP(D626,'[2]stock-take'!$G:$K,3,FALSE))</f>
        <v>0</v>
      </c>
      <c r="K626" s="49" t="str">
        <f>IF(F626="", " ", IF(ISNA(VLOOKUP(D626,'[2]stock-take'!$M:$Q,4,FALSE)), "OUT OF STOCK", VLOOKUP(D626,'[2]stock-take'!$M:$Q,4,FALSE)))</f>
        <v xml:space="preserve"> </v>
      </c>
      <c r="L626" s="47">
        <f>IF(ISNA(VLOOKUP(D626,'[2]stock-take'!$M:$Q,3,FALSE)), 0, VLOOKUP(D626,'[2]stock-take'!$M:$Q,3,FALSE))</f>
        <v>0</v>
      </c>
      <c r="M626" s="48" t="str">
        <f t="shared" si="28"/>
        <v xml:space="preserve"> </v>
      </c>
      <c r="N626" s="39" t="str">
        <f t="shared" si="29"/>
        <v xml:space="preserve"> </v>
      </c>
    </row>
    <row r="627" spans="1:14">
      <c r="A627" s="37">
        <f t="shared" si="27"/>
        <v>616</v>
      </c>
      <c r="G627" s="48" t="str">
        <f>IF(F627=""," ",IF(ISNA(VLOOKUP(D627,'[2]stock-take'!$A:$E,4,FALSE)), "OUT OF STOCK", VLOOKUP(D627,'[2]stock-take'!$A:$E,4,FALSE)))</f>
        <v xml:space="preserve"> </v>
      </c>
      <c r="H627" s="48">
        <f>IF(ISNA(VLOOKUP(D627,'[2]stock-take'!$A:$E,3,FALSE)), 0, VLOOKUP(D627,'[2]stock-take'!$A:$E,3,FALSE))</f>
        <v>0</v>
      </c>
      <c r="I627" s="48" t="str">
        <f>IF(F627="", " ",IF(ISNA(VLOOKUP(D627,'[2]stock-take'!$G:$K,4,FALSE)), "OUT OF STOCK", VLOOKUP(D627,'[2]stock-take'!$G:$K,4,FALSE)))</f>
        <v xml:space="preserve"> </v>
      </c>
      <c r="J627" s="39">
        <f>IF(ISNA(VLOOKUP(D627,'[2]stock-take'!$G:$K,3,FALSE)), 0, VLOOKUP(D627,'[2]stock-take'!$G:$K,3,FALSE))</f>
        <v>0</v>
      </c>
      <c r="K627" s="49" t="str">
        <f>IF(F627="", " ", IF(ISNA(VLOOKUP(D627,'[2]stock-take'!$M:$Q,4,FALSE)), "OUT OF STOCK", VLOOKUP(D627,'[2]stock-take'!$M:$Q,4,FALSE)))</f>
        <v xml:space="preserve"> </v>
      </c>
      <c r="L627" s="47">
        <f>IF(ISNA(VLOOKUP(D627,'[2]stock-take'!$M:$Q,3,FALSE)), 0, VLOOKUP(D627,'[2]stock-take'!$M:$Q,3,FALSE))</f>
        <v>0</v>
      </c>
      <c r="M627" s="48" t="str">
        <f t="shared" si="28"/>
        <v xml:space="preserve"> </v>
      </c>
      <c r="N627" s="39" t="str">
        <f t="shared" si="29"/>
        <v xml:space="preserve"> </v>
      </c>
    </row>
    <row r="628" spans="1:14">
      <c r="A628" s="37">
        <f t="shared" si="27"/>
        <v>617</v>
      </c>
      <c r="G628" s="48" t="str">
        <f>IF(F628=""," ",IF(ISNA(VLOOKUP(D628,'[2]stock-take'!$A:$E,4,FALSE)), "OUT OF STOCK", VLOOKUP(D628,'[2]stock-take'!$A:$E,4,FALSE)))</f>
        <v xml:space="preserve"> </v>
      </c>
      <c r="H628" s="48">
        <f>IF(ISNA(VLOOKUP(D628,'[2]stock-take'!$A:$E,3,FALSE)), 0, VLOOKUP(D628,'[2]stock-take'!$A:$E,3,FALSE))</f>
        <v>0</v>
      </c>
      <c r="I628" s="48" t="str">
        <f>IF(F628="", " ",IF(ISNA(VLOOKUP(D628,'[2]stock-take'!$G:$K,4,FALSE)), "OUT OF STOCK", VLOOKUP(D628,'[2]stock-take'!$G:$K,4,FALSE)))</f>
        <v xml:space="preserve"> </v>
      </c>
      <c r="J628" s="39">
        <f>IF(ISNA(VLOOKUP(D628,'[2]stock-take'!$G:$K,3,FALSE)), 0, VLOOKUP(D628,'[2]stock-take'!$G:$K,3,FALSE))</f>
        <v>0</v>
      </c>
      <c r="K628" s="49" t="str">
        <f>IF(F628="", " ", IF(ISNA(VLOOKUP(D628,'[2]stock-take'!$M:$Q,4,FALSE)), "OUT OF STOCK", VLOOKUP(D628,'[2]stock-take'!$M:$Q,4,FALSE)))</f>
        <v xml:space="preserve"> </v>
      </c>
      <c r="L628" s="47">
        <f>IF(ISNA(VLOOKUP(D628,'[2]stock-take'!$M:$Q,3,FALSE)), 0, VLOOKUP(D628,'[2]stock-take'!$M:$Q,3,FALSE))</f>
        <v>0</v>
      </c>
      <c r="M628" s="48" t="str">
        <f t="shared" si="28"/>
        <v xml:space="preserve"> </v>
      </c>
      <c r="N628" s="39" t="str">
        <f t="shared" si="29"/>
        <v xml:space="preserve"> </v>
      </c>
    </row>
    <row r="629" spans="1:14">
      <c r="A629" s="37">
        <f t="shared" si="27"/>
        <v>618</v>
      </c>
      <c r="G629" s="48" t="str">
        <f>IF(F629=""," ",IF(ISNA(VLOOKUP(D629,'[2]stock-take'!$A:$E,4,FALSE)), "OUT OF STOCK", VLOOKUP(D629,'[2]stock-take'!$A:$E,4,FALSE)))</f>
        <v xml:space="preserve"> </v>
      </c>
      <c r="H629" s="48">
        <f>IF(ISNA(VLOOKUP(D629,'[2]stock-take'!$A:$E,3,FALSE)), 0, VLOOKUP(D629,'[2]stock-take'!$A:$E,3,FALSE))</f>
        <v>0</v>
      </c>
      <c r="I629" s="48" t="str">
        <f>IF(F629="", " ",IF(ISNA(VLOOKUP(D629,'[2]stock-take'!$G:$K,4,FALSE)), "OUT OF STOCK", VLOOKUP(D629,'[2]stock-take'!$G:$K,4,FALSE)))</f>
        <v xml:space="preserve"> </v>
      </c>
      <c r="J629" s="39">
        <f>IF(ISNA(VLOOKUP(D629,'[2]stock-take'!$G:$K,3,FALSE)), 0, VLOOKUP(D629,'[2]stock-take'!$G:$K,3,FALSE))</f>
        <v>0</v>
      </c>
      <c r="K629" s="49" t="str">
        <f>IF(F629="", " ", IF(ISNA(VLOOKUP(D629,'[2]stock-take'!$M:$Q,4,FALSE)), "OUT OF STOCK", VLOOKUP(D629,'[2]stock-take'!$M:$Q,4,FALSE)))</f>
        <v xml:space="preserve"> </v>
      </c>
      <c r="L629" s="47">
        <f>IF(ISNA(VLOOKUP(D629,'[2]stock-take'!$M:$Q,3,FALSE)), 0, VLOOKUP(D629,'[2]stock-take'!$M:$Q,3,FALSE))</f>
        <v>0</v>
      </c>
      <c r="M629" s="48" t="str">
        <f t="shared" si="28"/>
        <v xml:space="preserve"> </v>
      </c>
      <c r="N629" s="39" t="str">
        <f t="shared" si="29"/>
        <v xml:space="preserve"> </v>
      </c>
    </row>
    <row r="630" spans="1:14">
      <c r="A630" s="37">
        <f t="shared" si="27"/>
        <v>619</v>
      </c>
      <c r="G630" s="48" t="str">
        <f>IF(F630=""," ",IF(ISNA(VLOOKUP(D630,'[2]stock-take'!$A:$E,4,FALSE)), "OUT OF STOCK", VLOOKUP(D630,'[2]stock-take'!$A:$E,4,FALSE)))</f>
        <v xml:space="preserve"> </v>
      </c>
      <c r="H630" s="48">
        <f>IF(ISNA(VLOOKUP(D630,'[2]stock-take'!$A:$E,3,FALSE)), 0, VLOOKUP(D630,'[2]stock-take'!$A:$E,3,FALSE))</f>
        <v>0</v>
      </c>
      <c r="I630" s="48" t="str">
        <f>IF(F630="", " ",IF(ISNA(VLOOKUP(D630,'[2]stock-take'!$G:$K,4,FALSE)), "OUT OF STOCK", VLOOKUP(D630,'[2]stock-take'!$G:$K,4,FALSE)))</f>
        <v xml:space="preserve"> </v>
      </c>
      <c r="J630" s="39">
        <f>IF(ISNA(VLOOKUP(D630,'[2]stock-take'!$G:$K,3,FALSE)), 0, VLOOKUP(D630,'[2]stock-take'!$G:$K,3,FALSE))</f>
        <v>0</v>
      </c>
      <c r="K630" s="49" t="str">
        <f>IF(F630="", " ", IF(ISNA(VLOOKUP(D630,'[2]stock-take'!$M:$Q,4,FALSE)), "OUT OF STOCK", VLOOKUP(D630,'[2]stock-take'!$M:$Q,4,FALSE)))</f>
        <v xml:space="preserve"> </v>
      </c>
      <c r="L630" s="47">
        <f>IF(ISNA(VLOOKUP(D630,'[2]stock-take'!$M:$Q,3,FALSE)), 0, VLOOKUP(D630,'[2]stock-take'!$M:$Q,3,FALSE))</f>
        <v>0</v>
      </c>
      <c r="M630" s="48" t="str">
        <f t="shared" si="28"/>
        <v xml:space="preserve"> </v>
      </c>
      <c r="N630" s="39" t="str">
        <f t="shared" si="29"/>
        <v xml:space="preserve"> </v>
      </c>
    </row>
    <row r="631" spans="1:14">
      <c r="A631" s="37">
        <f t="shared" si="27"/>
        <v>620</v>
      </c>
      <c r="G631" s="48" t="str">
        <f>IF(F631=""," ",IF(ISNA(VLOOKUP(D631,'[2]stock-take'!$A:$E,4,FALSE)), "OUT OF STOCK", VLOOKUP(D631,'[2]stock-take'!$A:$E,4,FALSE)))</f>
        <v xml:space="preserve"> </v>
      </c>
      <c r="H631" s="48">
        <f>IF(ISNA(VLOOKUP(D631,'[2]stock-take'!$A:$E,3,FALSE)), 0, VLOOKUP(D631,'[2]stock-take'!$A:$E,3,FALSE))</f>
        <v>0</v>
      </c>
      <c r="I631" s="48" t="str">
        <f>IF(F631="", " ",IF(ISNA(VLOOKUP(D631,'[2]stock-take'!$G:$K,4,FALSE)), "OUT OF STOCK", VLOOKUP(D631,'[2]stock-take'!$G:$K,4,FALSE)))</f>
        <v xml:space="preserve"> </v>
      </c>
      <c r="J631" s="39">
        <f>IF(ISNA(VLOOKUP(D631,'[2]stock-take'!$G:$K,3,FALSE)), 0, VLOOKUP(D631,'[2]stock-take'!$G:$K,3,FALSE))</f>
        <v>0</v>
      </c>
      <c r="K631" s="49" t="str">
        <f>IF(F631="", " ", IF(ISNA(VLOOKUP(D631,'[2]stock-take'!$M:$Q,4,FALSE)), "OUT OF STOCK", VLOOKUP(D631,'[2]stock-take'!$M:$Q,4,FALSE)))</f>
        <v xml:space="preserve"> </v>
      </c>
      <c r="L631" s="47">
        <f>IF(ISNA(VLOOKUP(D631,'[2]stock-take'!$M:$Q,3,FALSE)), 0, VLOOKUP(D631,'[2]stock-take'!$M:$Q,3,FALSE))</f>
        <v>0</v>
      </c>
      <c r="M631" s="48" t="str">
        <f t="shared" si="28"/>
        <v xml:space="preserve"> </v>
      </c>
      <c r="N631" s="39" t="str">
        <f t="shared" si="29"/>
        <v xml:space="preserve"> </v>
      </c>
    </row>
    <row r="632" spans="1:14">
      <c r="A632" s="37">
        <f t="shared" si="27"/>
        <v>621</v>
      </c>
      <c r="G632" s="48" t="str">
        <f>IF(F632=""," ",IF(ISNA(VLOOKUP(D632,'[2]stock-take'!$A:$E,4,FALSE)), "OUT OF STOCK", VLOOKUP(D632,'[2]stock-take'!$A:$E,4,FALSE)))</f>
        <v xml:space="preserve"> </v>
      </c>
      <c r="H632" s="48">
        <f>IF(ISNA(VLOOKUP(D632,'[2]stock-take'!$A:$E,3,FALSE)), 0, VLOOKUP(D632,'[2]stock-take'!$A:$E,3,FALSE))</f>
        <v>0</v>
      </c>
      <c r="I632" s="48" t="str">
        <f>IF(F632="", " ",IF(ISNA(VLOOKUP(D632,'[2]stock-take'!$G:$K,4,FALSE)), "OUT OF STOCK", VLOOKUP(D632,'[2]stock-take'!$G:$K,4,FALSE)))</f>
        <v xml:space="preserve"> </v>
      </c>
      <c r="J632" s="39">
        <f>IF(ISNA(VLOOKUP(D632,'[2]stock-take'!$G:$K,3,FALSE)), 0, VLOOKUP(D632,'[2]stock-take'!$G:$K,3,FALSE))</f>
        <v>0</v>
      </c>
      <c r="K632" s="49" t="str">
        <f>IF(F632="", " ", IF(ISNA(VLOOKUP(D632,'[2]stock-take'!$M:$Q,4,FALSE)), "OUT OF STOCK", VLOOKUP(D632,'[2]stock-take'!$M:$Q,4,FALSE)))</f>
        <v xml:space="preserve"> </v>
      </c>
      <c r="L632" s="47">
        <f>IF(ISNA(VLOOKUP(D632,'[2]stock-take'!$M:$Q,3,FALSE)), 0, VLOOKUP(D632,'[2]stock-take'!$M:$Q,3,FALSE))</f>
        <v>0</v>
      </c>
      <c r="M632" s="48" t="str">
        <f t="shared" si="28"/>
        <v xml:space="preserve"> </v>
      </c>
      <c r="N632" s="39" t="str">
        <f t="shared" si="29"/>
        <v xml:space="preserve"> </v>
      </c>
    </row>
    <row r="633" spans="1:14">
      <c r="A633" s="37">
        <f t="shared" si="27"/>
        <v>622</v>
      </c>
      <c r="G633" s="48" t="str">
        <f>IF(F633=""," ",IF(ISNA(VLOOKUP(D633,'[2]stock-take'!$A:$E,4,FALSE)), "OUT OF STOCK", VLOOKUP(D633,'[2]stock-take'!$A:$E,4,FALSE)))</f>
        <v xml:space="preserve"> </v>
      </c>
      <c r="H633" s="48">
        <f>IF(ISNA(VLOOKUP(D633,'[2]stock-take'!$A:$E,3,FALSE)), 0, VLOOKUP(D633,'[2]stock-take'!$A:$E,3,FALSE))</f>
        <v>0</v>
      </c>
      <c r="I633" s="48" t="str">
        <f>IF(F633="", " ",IF(ISNA(VLOOKUP(D633,'[2]stock-take'!$G:$K,4,FALSE)), "OUT OF STOCK", VLOOKUP(D633,'[2]stock-take'!$G:$K,4,FALSE)))</f>
        <v xml:space="preserve"> </v>
      </c>
      <c r="J633" s="39">
        <f>IF(ISNA(VLOOKUP(D633,'[2]stock-take'!$G:$K,3,FALSE)), 0, VLOOKUP(D633,'[2]stock-take'!$G:$K,3,FALSE))</f>
        <v>0</v>
      </c>
      <c r="K633" s="49" t="str">
        <f>IF(F633="", " ", IF(ISNA(VLOOKUP(D633,'[2]stock-take'!$M:$Q,4,FALSE)), "OUT OF STOCK", VLOOKUP(D633,'[2]stock-take'!$M:$Q,4,FALSE)))</f>
        <v xml:space="preserve"> </v>
      </c>
      <c r="L633" s="47">
        <f>IF(ISNA(VLOOKUP(D633,'[2]stock-take'!$M:$Q,3,FALSE)), 0, VLOOKUP(D633,'[2]stock-take'!$M:$Q,3,FALSE))</f>
        <v>0</v>
      </c>
      <c r="M633" s="48" t="str">
        <f t="shared" si="28"/>
        <v xml:space="preserve"> </v>
      </c>
      <c r="N633" s="39" t="str">
        <f t="shared" si="29"/>
        <v xml:space="preserve"> </v>
      </c>
    </row>
    <row r="634" spans="1:14">
      <c r="A634" s="37">
        <f t="shared" si="27"/>
        <v>623</v>
      </c>
      <c r="G634" s="48" t="str">
        <f>IF(F634=""," ",IF(ISNA(VLOOKUP(D634,'[2]stock-take'!$A:$E,4,FALSE)), "OUT OF STOCK", VLOOKUP(D634,'[2]stock-take'!$A:$E,4,FALSE)))</f>
        <v xml:space="preserve"> </v>
      </c>
      <c r="H634" s="48">
        <f>IF(ISNA(VLOOKUP(D634,'[2]stock-take'!$A:$E,3,FALSE)), 0, VLOOKUP(D634,'[2]stock-take'!$A:$E,3,FALSE))</f>
        <v>0</v>
      </c>
      <c r="I634" s="48" t="str">
        <f>IF(F634="", " ",IF(ISNA(VLOOKUP(D634,'[2]stock-take'!$G:$K,4,FALSE)), "OUT OF STOCK", VLOOKUP(D634,'[2]stock-take'!$G:$K,4,FALSE)))</f>
        <v xml:space="preserve"> </v>
      </c>
      <c r="J634" s="39">
        <f>IF(ISNA(VLOOKUP(D634,'[2]stock-take'!$G:$K,3,FALSE)), 0, VLOOKUP(D634,'[2]stock-take'!$G:$K,3,FALSE))</f>
        <v>0</v>
      </c>
      <c r="K634" s="49" t="str">
        <f>IF(F634="", " ", IF(ISNA(VLOOKUP(D634,'[2]stock-take'!$M:$Q,4,FALSE)), "OUT OF STOCK", VLOOKUP(D634,'[2]stock-take'!$M:$Q,4,FALSE)))</f>
        <v xml:space="preserve"> </v>
      </c>
      <c r="L634" s="47">
        <f>IF(ISNA(VLOOKUP(D634,'[2]stock-take'!$M:$Q,3,FALSE)), 0, VLOOKUP(D634,'[2]stock-take'!$M:$Q,3,FALSE))</f>
        <v>0</v>
      </c>
      <c r="M634" s="48" t="str">
        <f t="shared" si="28"/>
        <v xml:space="preserve"> </v>
      </c>
      <c r="N634" s="39" t="str">
        <f t="shared" si="29"/>
        <v xml:space="preserve"> </v>
      </c>
    </row>
    <row r="635" spans="1:14">
      <c r="A635" s="37">
        <f t="shared" si="27"/>
        <v>624</v>
      </c>
      <c r="G635" s="48" t="str">
        <f>IF(F635=""," ",IF(ISNA(VLOOKUP(D635,'[2]stock-take'!$A:$E,4,FALSE)), "OUT OF STOCK", VLOOKUP(D635,'[2]stock-take'!$A:$E,4,FALSE)))</f>
        <v xml:space="preserve"> </v>
      </c>
      <c r="H635" s="48">
        <f>IF(ISNA(VLOOKUP(D635,'[2]stock-take'!$A:$E,3,FALSE)), 0, VLOOKUP(D635,'[2]stock-take'!$A:$E,3,FALSE))</f>
        <v>0</v>
      </c>
      <c r="I635" s="48" t="str">
        <f>IF(F635="", " ",IF(ISNA(VLOOKUP(D635,'[2]stock-take'!$G:$K,4,FALSE)), "OUT OF STOCK", VLOOKUP(D635,'[2]stock-take'!$G:$K,4,FALSE)))</f>
        <v xml:space="preserve"> </v>
      </c>
      <c r="J635" s="39">
        <f>IF(ISNA(VLOOKUP(D635,'[2]stock-take'!$G:$K,3,FALSE)), 0, VLOOKUP(D635,'[2]stock-take'!$G:$K,3,FALSE))</f>
        <v>0</v>
      </c>
      <c r="K635" s="49" t="str">
        <f>IF(F635="", " ", IF(ISNA(VLOOKUP(D635,'[2]stock-take'!$M:$Q,4,FALSE)), "OUT OF STOCK", VLOOKUP(D635,'[2]stock-take'!$M:$Q,4,FALSE)))</f>
        <v xml:space="preserve"> </v>
      </c>
      <c r="L635" s="47">
        <f>IF(ISNA(VLOOKUP(D635,'[2]stock-take'!$M:$Q,3,FALSE)), 0, VLOOKUP(D635,'[2]stock-take'!$M:$Q,3,FALSE))</f>
        <v>0</v>
      </c>
      <c r="M635" s="48" t="str">
        <f t="shared" si="28"/>
        <v xml:space="preserve"> </v>
      </c>
      <c r="N635" s="39" t="str">
        <f t="shared" si="29"/>
        <v xml:space="preserve"> </v>
      </c>
    </row>
    <row r="636" spans="1:14">
      <c r="A636" s="37">
        <f t="shared" si="27"/>
        <v>625</v>
      </c>
      <c r="G636" s="48" t="str">
        <f>IF(F636=""," ",IF(ISNA(VLOOKUP(D636,'[2]stock-take'!$A:$E,4,FALSE)), "OUT OF STOCK", VLOOKUP(D636,'[2]stock-take'!$A:$E,4,FALSE)))</f>
        <v xml:space="preserve"> </v>
      </c>
      <c r="H636" s="48">
        <f>IF(ISNA(VLOOKUP(D636,'[2]stock-take'!$A:$E,3,FALSE)), 0, VLOOKUP(D636,'[2]stock-take'!$A:$E,3,FALSE))</f>
        <v>0</v>
      </c>
      <c r="I636" s="48" t="str">
        <f>IF(F636="", " ",IF(ISNA(VLOOKUP(D636,'[2]stock-take'!$G:$K,4,FALSE)), "OUT OF STOCK", VLOOKUP(D636,'[2]stock-take'!$G:$K,4,FALSE)))</f>
        <v xml:space="preserve"> </v>
      </c>
      <c r="J636" s="39">
        <f>IF(ISNA(VLOOKUP(D636,'[2]stock-take'!$G:$K,3,FALSE)), 0, VLOOKUP(D636,'[2]stock-take'!$G:$K,3,FALSE))</f>
        <v>0</v>
      </c>
      <c r="K636" s="49" t="str">
        <f>IF(F636="", " ", IF(ISNA(VLOOKUP(D636,'[2]stock-take'!$M:$Q,4,FALSE)), "OUT OF STOCK", VLOOKUP(D636,'[2]stock-take'!$M:$Q,4,FALSE)))</f>
        <v xml:space="preserve"> </v>
      </c>
      <c r="L636" s="47">
        <f>IF(ISNA(VLOOKUP(D636,'[2]stock-take'!$M:$Q,3,FALSE)), 0, VLOOKUP(D636,'[2]stock-take'!$M:$Q,3,FALSE))</f>
        <v>0</v>
      </c>
      <c r="M636" s="48" t="str">
        <f t="shared" si="28"/>
        <v xml:space="preserve"> </v>
      </c>
      <c r="N636" s="39" t="str">
        <f t="shared" si="29"/>
        <v xml:space="preserve"> </v>
      </c>
    </row>
    <row r="637" spans="1:14">
      <c r="A637" s="37">
        <f t="shared" si="27"/>
        <v>626</v>
      </c>
      <c r="G637" s="48" t="str">
        <f>IF(F637=""," ",IF(ISNA(VLOOKUP(D637,'[2]stock-take'!$A:$E,4,FALSE)), "OUT OF STOCK", VLOOKUP(D637,'[2]stock-take'!$A:$E,4,FALSE)))</f>
        <v xml:space="preserve"> </v>
      </c>
      <c r="H637" s="48">
        <f>IF(ISNA(VLOOKUP(D637,'[2]stock-take'!$A:$E,3,FALSE)), 0, VLOOKUP(D637,'[2]stock-take'!$A:$E,3,FALSE))</f>
        <v>0</v>
      </c>
      <c r="I637" s="48" t="str">
        <f>IF(F637="", " ",IF(ISNA(VLOOKUP(D637,'[2]stock-take'!$G:$K,4,FALSE)), "OUT OF STOCK", VLOOKUP(D637,'[2]stock-take'!$G:$K,4,FALSE)))</f>
        <v xml:space="preserve"> </v>
      </c>
      <c r="J637" s="39">
        <f>IF(ISNA(VLOOKUP(D637,'[2]stock-take'!$G:$K,3,FALSE)), 0, VLOOKUP(D637,'[2]stock-take'!$G:$K,3,FALSE))</f>
        <v>0</v>
      </c>
      <c r="K637" s="49" t="str">
        <f>IF(F637="", " ", IF(ISNA(VLOOKUP(D637,'[2]stock-take'!$M:$Q,4,FALSE)), "OUT OF STOCK", VLOOKUP(D637,'[2]stock-take'!$M:$Q,4,FALSE)))</f>
        <v xml:space="preserve"> </v>
      </c>
      <c r="L637" s="47">
        <f>IF(ISNA(VLOOKUP(D637,'[2]stock-take'!$M:$Q,3,FALSE)), 0, VLOOKUP(D637,'[2]stock-take'!$M:$Q,3,FALSE))</f>
        <v>0</v>
      </c>
      <c r="M637" s="48" t="str">
        <f t="shared" si="28"/>
        <v xml:space="preserve"> </v>
      </c>
      <c r="N637" s="39" t="str">
        <f t="shared" si="29"/>
        <v xml:space="preserve"> </v>
      </c>
    </row>
    <row r="638" spans="1:14">
      <c r="A638" s="37">
        <f t="shared" si="27"/>
        <v>627</v>
      </c>
      <c r="G638" s="48" t="str">
        <f>IF(F638=""," ",IF(ISNA(VLOOKUP(D638,'[2]stock-take'!$A:$E,4,FALSE)), "OUT OF STOCK", VLOOKUP(D638,'[2]stock-take'!$A:$E,4,FALSE)))</f>
        <v xml:space="preserve"> </v>
      </c>
      <c r="H638" s="48">
        <f>IF(ISNA(VLOOKUP(D638,'[2]stock-take'!$A:$E,3,FALSE)), 0, VLOOKUP(D638,'[2]stock-take'!$A:$E,3,FALSE))</f>
        <v>0</v>
      </c>
      <c r="I638" s="48" t="str">
        <f>IF(F638="", " ",IF(ISNA(VLOOKUP(D638,'[2]stock-take'!$G:$K,4,FALSE)), "OUT OF STOCK", VLOOKUP(D638,'[2]stock-take'!$G:$K,4,FALSE)))</f>
        <v xml:space="preserve"> </v>
      </c>
      <c r="J638" s="39">
        <f>IF(ISNA(VLOOKUP(D638,'[2]stock-take'!$G:$K,3,FALSE)), 0, VLOOKUP(D638,'[2]stock-take'!$G:$K,3,FALSE))</f>
        <v>0</v>
      </c>
      <c r="K638" s="49" t="str">
        <f>IF(F638="", " ", IF(ISNA(VLOOKUP(D638,'[2]stock-take'!$M:$Q,4,FALSE)), "OUT OF STOCK", VLOOKUP(D638,'[2]stock-take'!$M:$Q,4,FALSE)))</f>
        <v xml:space="preserve"> </v>
      </c>
      <c r="L638" s="47">
        <f>IF(ISNA(VLOOKUP(D638,'[2]stock-take'!$M:$Q,3,FALSE)), 0, VLOOKUP(D638,'[2]stock-take'!$M:$Q,3,FALSE))</f>
        <v>0</v>
      </c>
      <c r="M638" s="48" t="str">
        <f t="shared" si="28"/>
        <v xml:space="preserve"> </v>
      </c>
      <c r="N638" s="39" t="str">
        <f t="shared" si="29"/>
        <v xml:space="preserve"> </v>
      </c>
    </row>
    <row r="639" spans="1:14">
      <c r="A639" s="37">
        <f t="shared" si="27"/>
        <v>628</v>
      </c>
      <c r="G639" s="48" t="str">
        <f>IF(F639=""," ",IF(ISNA(VLOOKUP(D639,'[2]stock-take'!$A:$E,4,FALSE)), "OUT OF STOCK", VLOOKUP(D639,'[2]stock-take'!$A:$E,4,FALSE)))</f>
        <v xml:space="preserve"> </v>
      </c>
      <c r="H639" s="48">
        <f>IF(ISNA(VLOOKUP(D639,'[2]stock-take'!$A:$E,3,FALSE)), 0, VLOOKUP(D639,'[2]stock-take'!$A:$E,3,FALSE))</f>
        <v>0</v>
      </c>
      <c r="I639" s="48" t="str">
        <f>IF(F639="", " ",IF(ISNA(VLOOKUP(D639,'[2]stock-take'!$G:$K,4,FALSE)), "OUT OF STOCK", VLOOKUP(D639,'[2]stock-take'!$G:$K,4,FALSE)))</f>
        <v xml:space="preserve"> </v>
      </c>
      <c r="J639" s="39">
        <f>IF(ISNA(VLOOKUP(D639,'[2]stock-take'!$G:$K,3,FALSE)), 0, VLOOKUP(D639,'[2]stock-take'!$G:$K,3,FALSE))</f>
        <v>0</v>
      </c>
      <c r="K639" s="49" t="str">
        <f>IF(F639="", " ", IF(ISNA(VLOOKUP(D639,'[2]stock-take'!$M:$Q,4,FALSE)), "OUT OF STOCK", VLOOKUP(D639,'[2]stock-take'!$M:$Q,4,FALSE)))</f>
        <v xml:space="preserve"> </v>
      </c>
      <c r="L639" s="47">
        <f>IF(ISNA(VLOOKUP(D639,'[2]stock-take'!$M:$Q,3,FALSE)), 0, VLOOKUP(D639,'[2]stock-take'!$M:$Q,3,FALSE))</f>
        <v>0</v>
      </c>
      <c r="M639" s="48" t="str">
        <f t="shared" si="28"/>
        <v xml:space="preserve"> </v>
      </c>
      <c r="N639" s="39" t="str">
        <f t="shared" si="29"/>
        <v xml:space="preserve"> </v>
      </c>
    </row>
    <row r="640" spans="1:14">
      <c r="A640" s="37">
        <f t="shared" si="27"/>
        <v>629</v>
      </c>
      <c r="G640" s="48" t="str">
        <f>IF(F640=""," ",IF(ISNA(VLOOKUP(D640,'[2]stock-take'!$A:$E,4,FALSE)), "OUT OF STOCK", VLOOKUP(D640,'[2]stock-take'!$A:$E,4,FALSE)))</f>
        <v xml:space="preserve"> </v>
      </c>
      <c r="H640" s="48">
        <f>IF(ISNA(VLOOKUP(D640,'[2]stock-take'!$A:$E,3,FALSE)), 0, VLOOKUP(D640,'[2]stock-take'!$A:$E,3,FALSE))</f>
        <v>0</v>
      </c>
      <c r="I640" s="48" t="str">
        <f>IF(F640="", " ",IF(ISNA(VLOOKUP(D640,'[2]stock-take'!$G:$K,4,FALSE)), "OUT OF STOCK", VLOOKUP(D640,'[2]stock-take'!$G:$K,4,FALSE)))</f>
        <v xml:space="preserve"> </v>
      </c>
      <c r="J640" s="39">
        <f>IF(ISNA(VLOOKUP(D640,'[2]stock-take'!$G:$K,3,FALSE)), 0, VLOOKUP(D640,'[2]stock-take'!$G:$K,3,FALSE))</f>
        <v>0</v>
      </c>
      <c r="K640" s="49" t="str">
        <f>IF(F640="", " ", IF(ISNA(VLOOKUP(D640,'[2]stock-take'!$M:$Q,4,FALSE)), "OUT OF STOCK", VLOOKUP(D640,'[2]stock-take'!$M:$Q,4,FALSE)))</f>
        <v xml:space="preserve"> </v>
      </c>
      <c r="L640" s="47">
        <f>IF(ISNA(VLOOKUP(D640,'[2]stock-take'!$M:$Q,3,FALSE)), 0, VLOOKUP(D640,'[2]stock-take'!$M:$Q,3,FALSE))</f>
        <v>0</v>
      </c>
      <c r="M640" s="48" t="str">
        <f t="shared" si="28"/>
        <v xml:space="preserve"> </v>
      </c>
      <c r="N640" s="39" t="str">
        <f t="shared" si="29"/>
        <v xml:space="preserve"> </v>
      </c>
    </row>
    <row r="641" spans="1:14">
      <c r="A641" s="37">
        <f t="shared" si="27"/>
        <v>630</v>
      </c>
      <c r="G641" s="48" t="str">
        <f>IF(F641=""," ",IF(ISNA(VLOOKUP(D641,'[2]stock-take'!$A:$E,4,FALSE)), "OUT OF STOCK", VLOOKUP(D641,'[2]stock-take'!$A:$E,4,FALSE)))</f>
        <v xml:space="preserve"> </v>
      </c>
      <c r="H641" s="48">
        <f>IF(ISNA(VLOOKUP(D641,'[2]stock-take'!$A:$E,3,FALSE)), 0, VLOOKUP(D641,'[2]stock-take'!$A:$E,3,FALSE))</f>
        <v>0</v>
      </c>
      <c r="I641" s="48" t="str">
        <f>IF(F641="", " ",IF(ISNA(VLOOKUP(D641,'[2]stock-take'!$G:$K,4,FALSE)), "OUT OF STOCK", VLOOKUP(D641,'[2]stock-take'!$G:$K,4,FALSE)))</f>
        <v xml:space="preserve"> </v>
      </c>
      <c r="J641" s="39">
        <f>IF(ISNA(VLOOKUP(D641,'[2]stock-take'!$G:$K,3,FALSE)), 0, VLOOKUP(D641,'[2]stock-take'!$G:$K,3,FALSE))</f>
        <v>0</v>
      </c>
      <c r="K641" s="49" t="str">
        <f>IF(F641="", " ", IF(ISNA(VLOOKUP(D641,'[2]stock-take'!$M:$Q,4,FALSE)), "OUT OF STOCK", VLOOKUP(D641,'[2]stock-take'!$M:$Q,4,FALSE)))</f>
        <v xml:space="preserve"> </v>
      </c>
      <c r="L641" s="47">
        <f>IF(ISNA(VLOOKUP(D641,'[2]stock-take'!$M:$Q,3,FALSE)), 0, VLOOKUP(D641,'[2]stock-take'!$M:$Q,3,FALSE))</f>
        <v>0</v>
      </c>
      <c r="M641" s="48" t="str">
        <f t="shared" si="28"/>
        <v xml:space="preserve"> </v>
      </c>
      <c r="N641" s="39" t="str">
        <f t="shared" si="29"/>
        <v xml:space="preserve"> </v>
      </c>
    </row>
    <row r="642" spans="1:14">
      <c r="A642" s="37">
        <f t="shared" si="27"/>
        <v>631</v>
      </c>
      <c r="G642" s="48" t="str">
        <f>IF(F642=""," ",IF(ISNA(VLOOKUP(D642,'[2]stock-take'!$A:$E,4,FALSE)), "OUT OF STOCK", VLOOKUP(D642,'[2]stock-take'!$A:$E,4,FALSE)))</f>
        <v xml:space="preserve"> </v>
      </c>
      <c r="H642" s="48">
        <f>IF(ISNA(VLOOKUP(D642,'[2]stock-take'!$A:$E,3,FALSE)), 0, VLOOKUP(D642,'[2]stock-take'!$A:$E,3,FALSE))</f>
        <v>0</v>
      </c>
      <c r="I642" s="48" t="str">
        <f>IF(F642="", " ",IF(ISNA(VLOOKUP(D642,'[2]stock-take'!$G:$K,4,FALSE)), "OUT OF STOCK", VLOOKUP(D642,'[2]stock-take'!$G:$K,4,FALSE)))</f>
        <v xml:space="preserve"> </v>
      </c>
      <c r="J642" s="39">
        <f>IF(ISNA(VLOOKUP(D642,'[2]stock-take'!$G:$K,3,FALSE)), 0, VLOOKUP(D642,'[2]stock-take'!$G:$K,3,FALSE))</f>
        <v>0</v>
      </c>
      <c r="K642" s="49" t="str">
        <f>IF(F642="", " ", IF(ISNA(VLOOKUP(D642,'[2]stock-take'!$M:$Q,4,FALSE)), "OUT OF STOCK", VLOOKUP(D642,'[2]stock-take'!$M:$Q,4,FALSE)))</f>
        <v xml:space="preserve"> </v>
      </c>
      <c r="L642" s="47">
        <f>IF(ISNA(VLOOKUP(D642,'[2]stock-take'!$M:$Q,3,FALSE)), 0, VLOOKUP(D642,'[2]stock-take'!$M:$Q,3,FALSE))</f>
        <v>0</v>
      </c>
      <c r="M642" s="48" t="str">
        <f t="shared" si="28"/>
        <v xml:space="preserve"> </v>
      </c>
      <c r="N642" s="39" t="str">
        <f t="shared" si="29"/>
        <v xml:space="preserve"> </v>
      </c>
    </row>
    <row r="643" spans="1:14">
      <c r="A643" s="37">
        <f t="shared" si="27"/>
        <v>632</v>
      </c>
      <c r="G643" s="48" t="str">
        <f>IF(F643=""," ",IF(ISNA(VLOOKUP(D643,'[2]stock-take'!$A:$E,4,FALSE)), "OUT OF STOCK", VLOOKUP(D643,'[2]stock-take'!$A:$E,4,FALSE)))</f>
        <v xml:space="preserve"> </v>
      </c>
      <c r="H643" s="48">
        <f>IF(ISNA(VLOOKUP(D643,'[2]stock-take'!$A:$E,3,FALSE)), 0, VLOOKUP(D643,'[2]stock-take'!$A:$E,3,FALSE))</f>
        <v>0</v>
      </c>
      <c r="I643" s="48" t="str">
        <f>IF(F643="", " ",IF(ISNA(VLOOKUP(D643,'[2]stock-take'!$G:$K,4,FALSE)), "OUT OF STOCK", VLOOKUP(D643,'[2]stock-take'!$G:$K,4,FALSE)))</f>
        <v xml:space="preserve"> </v>
      </c>
      <c r="J643" s="39">
        <f>IF(ISNA(VLOOKUP(D643,'[2]stock-take'!$G:$K,3,FALSE)), 0, VLOOKUP(D643,'[2]stock-take'!$G:$K,3,FALSE))</f>
        <v>0</v>
      </c>
      <c r="K643" s="49" t="str">
        <f>IF(F643="", " ", IF(ISNA(VLOOKUP(D643,'[2]stock-take'!$M:$Q,4,FALSE)), "OUT OF STOCK", VLOOKUP(D643,'[2]stock-take'!$M:$Q,4,FALSE)))</f>
        <v xml:space="preserve"> </v>
      </c>
      <c r="L643" s="47">
        <f>IF(ISNA(VLOOKUP(D643,'[2]stock-take'!$M:$Q,3,FALSE)), 0, VLOOKUP(D643,'[2]stock-take'!$M:$Q,3,FALSE))</f>
        <v>0</v>
      </c>
      <c r="M643" s="48" t="str">
        <f t="shared" si="28"/>
        <v xml:space="preserve"> </v>
      </c>
      <c r="N643" s="39" t="str">
        <f t="shared" si="29"/>
        <v xml:space="preserve"> </v>
      </c>
    </row>
    <row r="644" spans="1:14">
      <c r="A644" s="37">
        <f t="shared" si="27"/>
        <v>633</v>
      </c>
      <c r="G644" s="48" t="str">
        <f>IF(F644=""," ",IF(ISNA(VLOOKUP(D644,'[2]stock-take'!$A:$E,4,FALSE)), "OUT OF STOCK", VLOOKUP(D644,'[2]stock-take'!$A:$E,4,FALSE)))</f>
        <v xml:space="preserve"> </v>
      </c>
      <c r="H644" s="48">
        <f>IF(ISNA(VLOOKUP(D644,'[2]stock-take'!$A:$E,3,FALSE)), 0, VLOOKUP(D644,'[2]stock-take'!$A:$E,3,FALSE))</f>
        <v>0</v>
      </c>
      <c r="I644" s="48" t="str">
        <f>IF(F644="", " ",IF(ISNA(VLOOKUP(D644,'[2]stock-take'!$G:$K,4,FALSE)), "OUT OF STOCK", VLOOKUP(D644,'[2]stock-take'!$G:$K,4,FALSE)))</f>
        <v xml:space="preserve"> </v>
      </c>
      <c r="J644" s="39">
        <f>IF(ISNA(VLOOKUP(D644,'[2]stock-take'!$G:$K,3,FALSE)), 0, VLOOKUP(D644,'[2]stock-take'!$G:$K,3,FALSE))</f>
        <v>0</v>
      </c>
      <c r="K644" s="49" t="str">
        <f>IF(F644="", " ", IF(ISNA(VLOOKUP(D644,'[2]stock-take'!$M:$Q,4,FALSE)), "OUT OF STOCK", VLOOKUP(D644,'[2]stock-take'!$M:$Q,4,FALSE)))</f>
        <v xml:space="preserve"> </v>
      </c>
      <c r="L644" s="47">
        <f>IF(ISNA(VLOOKUP(D644,'[2]stock-take'!$M:$Q,3,FALSE)), 0, VLOOKUP(D644,'[2]stock-take'!$M:$Q,3,FALSE))</f>
        <v>0</v>
      </c>
      <c r="M644" s="48" t="str">
        <f t="shared" si="28"/>
        <v xml:space="preserve"> </v>
      </c>
      <c r="N644" s="39" t="str">
        <f t="shared" si="29"/>
        <v xml:space="preserve"> </v>
      </c>
    </row>
    <row r="645" spans="1:14">
      <c r="A645" s="37">
        <f t="shared" si="27"/>
        <v>634</v>
      </c>
      <c r="G645" s="48" t="str">
        <f>IF(F645=""," ",IF(ISNA(VLOOKUP(D645,'[2]stock-take'!$A:$E,4,FALSE)), "OUT OF STOCK", VLOOKUP(D645,'[2]stock-take'!$A:$E,4,FALSE)))</f>
        <v xml:space="preserve"> </v>
      </c>
      <c r="H645" s="48">
        <f>IF(ISNA(VLOOKUP(D645,'[2]stock-take'!$A:$E,3,FALSE)), 0, VLOOKUP(D645,'[2]stock-take'!$A:$E,3,FALSE))</f>
        <v>0</v>
      </c>
      <c r="I645" s="48" t="str">
        <f>IF(F645="", " ",IF(ISNA(VLOOKUP(D645,'[2]stock-take'!$G:$K,4,FALSE)), "OUT OF STOCK", VLOOKUP(D645,'[2]stock-take'!$G:$K,4,FALSE)))</f>
        <v xml:space="preserve"> </v>
      </c>
      <c r="J645" s="39">
        <f>IF(ISNA(VLOOKUP(D645,'[2]stock-take'!$G:$K,3,FALSE)), 0, VLOOKUP(D645,'[2]stock-take'!$G:$K,3,FALSE))</f>
        <v>0</v>
      </c>
      <c r="K645" s="49" t="str">
        <f>IF(F645="", " ", IF(ISNA(VLOOKUP(D645,'[2]stock-take'!$M:$Q,4,FALSE)), "OUT OF STOCK", VLOOKUP(D645,'[2]stock-take'!$M:$Q,4,FALSE)))</f>
        <v xml:space="preserve"> </v>
      </c>
      <c r="L645" s="47">
        <f>IF(ISNA(VLOOKUP(D645,'[2]stock-take'!$M:$Q,3,FALSE)), 0, VLOOKUP(D645,'[2]stock-take'!$M:$Q,3,FALSE))</f>
        <v>0</v>
      </c>
      <c r="M645" s="48" t="str">
        <f t="shared" si="28"/>
        <v xml:space="preserve"> </v>
      </c>
      <c r="N645" s="39" t="str">
        <f t="shared" si="29"/>
        <v xml:space="preserve"> </v>
      </c>
    </row>
    <row r="646" spans="1:14">
      <c r="A646" s="37">
        <f t="shared" si="27"/>
        <v>635</v>
      </c>
      <c r="G646" s="48" t="str">
        <f>IF(F646=""," ",IF(ISNA(VLOOKUP(D646,'[2]stock-take'!$A:$E,4,FALSE)), "OUT OF STOCK", VLOOKUP(D646,'[2]stock-take'!$A:$E,4,FALSE)))</f>
        <v xml:space="preserve"> </v>
      </c>
      <c r="H646" s="48">
        <f>IF(ISNA(VLOOKUP(D646,'[2]stock-take'!$A:$E,3,FALSE)), 0, VLOOKUP(D646,'[2]stock-take'!$A:$E,3,FALSE))</f>
        <v>0</v>
      </c>
      <c r="I646" s="48" t="str">
        <f>IF(F646="", " ",IF(ISNA(VLOOKUP(D646,'[2]stock-take'!$G:$K,4,FALSE)), "OUT OF STOCK", VLOOKUP(D646,'[2]stock-take'!$G:$K,4,FALSE)))</f>
        <v xml:space="preserve"> </v>
      </c>
      <c r="J646" s="39">
        <f>IF(ISNA(VLOOKUP(D646,'[2]stock-take'!$G:$K,3,FALSE)), 0, VLOOKUP(D646,'[2]stock-take'!$G:$K,3,FALSE))</f>
        <v>0</v>
      </c>
      <c r="K646" s="49" t="str">
        <f>IF(F646="", " ", IF(ISNA(VLOOKUP(D646,'[2]stock-take'!$M:$Q,4,FALSE)), "OUT OF STOCK", VLOOKUP(D646,'[2]stock-take'!$M:$Q,4,FALSE)))</f>
        <v xml:space="preserve"> </v>
      </c>
      <c r="L646" s="47">
        <f>IF(ISNA(VLOOKUP(D646,'[2]stock-take'!$M:$Q,3,FALSE)), 0, VLOOKUP(D646,'[2]stock-take'!$M:$Q,3,FALSE))</f>
        <v>0</v>
      </c>
      <c r="M646" s="48" t="str">
        <f t="shared" si="28"/>
        <v xml:space="preserve"> </v>
      </c>
      <c r="N646" s="39" t="str">
        <f t="shared" si="29"/>
        <v xml:space="preserve"> </v>
      </c>
    </row>
    <row r="647" spans="1:14">
      <c r="A647" s="37">
        <f t="shared" si="27"/>
        <v>636</v>
      </c>
      <c r="G647" s="48" t="str">
        <f>IF(F647=""," ",IF(ISNA(VLOOKUP(D647,'[2]stock-take'!$A:$E,4,FALSE)), "OUT OF STOCK", VLOOKUP(D647,'[2]stock-take'!$A:$E,4,FALSE)))</f>
        <v xml:space="preserve"> </v>
      </c>
      <c r="H647" s="48">
        <f>IF(ISNA(VLOOKUP(D647,'[2]stock-take'!$A:$E,3,FALSE)), 0, VLOOKUP(D647,'[2]stock-take'!$A:$E,3,FALSE))</f>
        <v>0</v>
      </c>
      <c r="I647" s="48" t="str">
        <f>IF(F647="", " ",IF(ISNA(VLOOKUP(D647,'[2]stock-take'!$G:$K,4,FALSE)), "OUT OF STOCK", VLOOKUP(D647,'[2]stock-take'!$G:$K,4,FALSE)))</f>
        <v xml:space="preserve"> </v>
      </c>
      <c r="J647" s="39">
        <f>IF(ISNA(VLOOKUP(D647,'[2]stock-take'!$G:$K,3,FALSE)), 0, VLOOKUP(D647,'[2]stock-take'!$G:$K,3,FALSE))</f>
        <v>0</v>
      </c>
      <c r="K647" s="49" t="str">
        <f>IF(F647="", " ", IF(ISNA(VLOOKUP(D647,'[2]stock-take'!$M:$Q,4,FALSE)), "OUT OF STOCK", VLOOKUP(D647,'[2]stock-take'!$M:$Q,4,FALSE)))</f>
        <v xml:space="preserve"> </v>
      </c>
      <c r="L647" s="47">
        <f>IF(ISNA(VLOOKUP(D647,'[2]stock-take'!$M:$Q,3,FALSE)), 0, VLOOKUP(D647,'[2]stock-take'!$M:$Q,3,FALSE))</f>
        <v>0</v>
      </c>
      <c r="M647" s="48" t="str">
        <f t="shared" si="28"/>
        <v xml:space="preserve"> </v>
      </c>
      <c r="N647" s="39" t="str">
        <f t="shared" si="29"/>
        <v xml:space="preserve"> </v>
      </c>
    </row>
    <row r="648" spans="1:14">
      <c r="A648" s="37">
        <f t="shared" si="27"/>
        <v>637</v>
      </c>
      <c r="G648" s="48" t="str">
        <f>IF(F648=""," ",IF(ISNA(VLOOKUP(D648,'[2]stock-take'!$A:$E,4,FALSE)), "OUT OF STOCK", VLOOKUP(D648,'[2]stock-take'!$A:$E,4,FALSE)))</f>
        <v xml:space="preserve"> </v>
      </c>
      <c r="H648" s="48">
        <f>IF(ISNA(VLOOKUP(D648,'[2]stock-take'!$A:$E,3,FALSE)), 0, VLOOKUP(D648,'[2]stock-take'!$A:$E,3,FALSE))</f>
        <v>0</v>
      </c>
      <c r="I648" s="48" t="str">
        <f>IF(F648="", " ",IF(ISNA(VLOOKUP(D648,'[2]stock-take'!$G:$K,4,FALSE)), "OUT OF STOCK", VLOOKUP(D648,'[2]stock-take'!$G:$K,4,FALSE)))</f>
        <v xml:space="preserve"> </v>
      </c>
      <c r="J648" s="39">
        <f>IF(ISNA(VLOOKUP(D648,'[2]stock-take'!$G:$K,3,FALSE)), 0, VLOOKUP(D648,'[2]stock-take'!$G:$K,3,FALSE))</f>
        <v>0</v>
      </c>
      <c r="K648" s="49" t="str">
        <f>IF(F648="", " ", IF(ISNA(VLOOKUP(D648,'[2]stock-take'!$M:$Q,4,FALSE)), "OUT OF STOCK", VLOOKUP(D648,'[2]stock-take'!$M:$Q,4,FALSE)))</f>
        <v xml:space="preserve"> </v>
      </c>
      <c r="L648" s="47">
        <f>IF(ISNA(VLOOKUP(D648,'[2]stock-take'!$M:$Q,3,FALSE)), 0, VLOOKUP(D648,'[2]stock-take'!$M:$Q,3,FALSE))</f>
        <v>0</v>
      </c>
      <c r="M648" s="48" t="str">
        <f t="shared" si="28"/>
        <v xml:space="preserve"> </v>
      </c>
      <c r="N648" s="39" t="str">
        <f t="shared" si="29"/>
        <v xml:space="preserve"> </v>
      </c>
    </row>
    <row r="649" spans="1:14">
      <c r="A649" s="37">
        <f t="shared" si="27"/>
        <v>638</v>
      </c>
      <c r="G649" s="48" t="str">
        <f>IF(F649=""," ",IF(ISNA(VLOOKUP(D649,'[2]stock-take'!$A:$E,4,FALSE)), "OUT OF STOCK", VLOOKUP(D649,'[2]stock-take'!$A:$E,4,FALSE)))</f>
        <v xml:space="preserve"> </v>
      </c>
      <c r="H649" s="48">
        <f>IF(ISNA(VLOOKUP(D649,'[2]stock-take'!$A:$E,3,FALSE)), 0, VLOOKUP(D649,'[2]stock-take'!$A:$E,3,FALSE))</f>
        <v>0</v>
      </c>
      <c r="I649" s="48" t="str">
        <f>IF(F649="", " ",IF(ISNA(VLOOKUP(D649,'[2]stock-take'!$G:$K,4,FALSE)), "OUT OF STOCK", VLOOKUP(D649,'[2]stock-take'!$G:$K,4,FALSE)))</f>
        <v xml:space="preserve"> </v>
      </c>
      <c r="J649" s="39">
        <f>IF(ISNA(VLOOKUP(D649,'[2]stock-take'!$G:$K,3,FALSE)), 0, VLOOKUP(D649,'[2]stock-take'!$G:$K,3,FALSE))</f>
        <v>0</v>
      </c>
      <c r="K649" s="49" t="str">
        <f>IF(F649="", " ", IF(ISNA(VLOOKUP(D649,'[2]stock-take'!$M:$Q,4,FALSE)), "OUT OF STOCK", VLOOKUP(D649,'[2]stock-take'!$M:$Q,4,FALSE)))</f>
        <v xml:space="preserve"> </v>
      </c>
      <c r="L649" s="47">
        <f>IF(ISNA(VLOOKUP(D649,'[2]stock-take'!$M:$Q,3,FALSE)), 0, VLOOKUP(D649,'[2]stock-take'!$M:$Q,3,FALSE))</f>
        <v>0</v>
      </c>
      <c r="M649" s="48" t="str">
        <f t="shared" si="28"/>
        <v xml:space="preserve"> </v>
      </c>
      <c r="N649" s="39" t="str">
        <f t="shared" si="29"/>
        <v xml:space="preserve"> </v>
      </c>
    </row>
    <row r="650" spans="1:14">
      <c r="A650" s="37">
        <f t="shared" si="27"/>
        <v>639</v>
      </c>
      <c r="G650" s="48" t="str">
        <f>IF(F650=""," ",IF(ISNA(VLOOKUP(D650,'[2]stock-take'!$A:$E,4,FALSE)), "OUT OF STOCK", VLOOKUP(D650,'[2]stock-take'!$A:$E,4,FALSE)))</f>
        <v xml:space="preserve"> </v>
      </c>
      <c r="H650" s="48">
        <f>IF(ISNA(VLOOKUP(D650,'[2]stock-take'!$A:$E,3,FALSE)), 0, VLOOKUP(D650,'[2]stock-take'!$A:$E,3,FALSE))</f>
        <v>0</v>
      </c>
      <c r="I650" s="48" t="str">
        <f>IF(F650="", " ",IF(ISNA(VLOOKUP(D650,'[2]stock-take'!$G:$K,4,FALSE)), "OUT OF STOCK", VLOOKUP(D650,'[2]stock-take'!$G:$K,4,FALSE)))</f>
        <v xml:space="preserve"> </v>
      </c>
      <c r="J650" s="39">
        <f>IF(ISNA(VLOOKUP(D650,'[2]stock-take'!$G:$K,3,FALSE)), 0, VLOOKUP(D650,'[2]stock-take'!$G:$K,3,FALSE))</f>
        <v>0</v>
      </c>
      <c r="K650" s="49" t="str">
        <f>IF(F650="", " ", IF(ISNA(VLOOKUP(D650,'[2]stock-take'!$M:$Q,4,FALSE)), "OUT OF STOCK", VLOOKUP(D650,'[2]stock-take'!$M:$Q,4,FALSE)))</f>
        <v xml:space="preserve"> </v>
      </c>
      <c r="L650" s="47">
        <f>IF(ISNA(VLOOKUP(D650,'[2]stock-take'!$M:$Q,3,FALSE)), 0, VLOOKUP(D650,'[2]stock-take'!$M:$Q,3,FALSE))</f>
        <v>0</v>
      </c>
      <c r="M650" s="48" t="str">
        <f t="shared" si="28"/>
        <v xml:space="preserve"> </v>
      </c>
      <c r="N650" s="39" t="str">
        <f t="shared" si="29"/>
        <v xml:space="preserve"> </v>
      </c>
    </row>
    <row r="651" spans="1:14">
      <c r="A651" s="37">
        <f t="shared" si="27"/>
        <v>640</v>
      </c>
      <c r="G651" s="48" t="str">
        <f>IF(F651=""," ",IF(ISNA(VLOOKUP(D651,'[2]stock-take'!$A:$E,4,FALSE)), "OUT OF STOCK", VLOOKUP(D651,'[2]stock-take'!$A:$E,4,FALSE)))</f>
        <v xml:space="preserve"> </v>
      </c>
      <c r="H651" s="48">
        <f>IF(ISNA(VLOOKUP(D651,'[2]stock-take'!$A:$E,3,FALSE)), 0, VLOOKUP(D651,'[2]stock-take'!$A:$E,3,FALSE))</f>
        <v>0</v>
      </c>
      <c r="I651" s="48" t="str">
        <f>IF(F651="", " ",IF(ISNA(VLOOKUP(D651,'[2]stock-take'!$G:$K,4,FALSE)), "OUT OF STOCK", VLOOKUP(D651,'[2]stock-take'!$G:$K,4,FALSE)))</f>
        <v xml:space="preserve"> </v>
      </c>
      <c r="J651" s="39">
        <f>IF(ISNA(VLOOKUP(D651,'[2]stock-take'!$G:$K,3,FALSE)), 0, VLOOKUP(D651,'[2]stock-take'!$G:$K,3,FALSE))</f>
        <v>0</v>
      </c>
      <c r="K651" s="49" t="str">
        <f>IF(F651="", " ", IF(ISNA(VLOOKUP(D651,'[2]stock-take'!$M:$Q,4,FALSE)), "OUT OF STOCK", VLOOKUP(D651,'[2]stock-take'!$M:$Q,4,FALSE)))</f>
        <v xml:space="preserve"> </v>
      </c>
      <c r="L651" s="47">
        <f>IF(ISNA(VLOOKUP(D651,'[2]stock-take'!$M:$Q,3,FALSE)), 0, VLOOKUP(D651,'[2]stock-take'!$M:$Q,3,FALSE))</f>
        <v>0</v>
      </c>
      <c r="M651" s="48" t="str">
        <f t="shared" si="28"/>
        <v xml:space="preserve"> </v>
      </c>
      <c r="N651" s="39" t="str">
        <f t="shared" si="29"/>
        <v xml:space="preserve"> </v>
      </c>
    </row>
    <row r="652" spans="1:14">
      <c r="A652" s="37">
        <f t="shared" ref="A652:A715" si="30">ROW(A652)-11</f>
        <v>641</v>
      </c>
      <c r="G652" s="48" t="str">
        <f>IF(F652=""," ",IF(ISNA(VLOOKUP(D652,'[2]stock-take'!$A:$E,4,FALSE)), "OUT OF STOCK", VLOOKUP(D652,'[2]stock-take'!$A:$E,4,FALSE)))</f>
        <v xml:space="preserve"> </v>
      </c>
      <c r="H652" s="48">
        <f>IF(ISNA(VLOOKUP(D652,'[2]stock-take'!$A:$E,3,FALSE)), 0, VLOOKUP(D652,'[2]stock-take'!$A:$E,3,FALSE))</f>
        <v>0</v>
      </c>
      <c r="I652" s="48" t="str">
        <f>IF(F652="", " ",IF(ISNA(VLOOKUP(D652,'[2]stock-take'!$G:$K,4,FALSE)), "OUT OF STOCK", VLOOKUP(D652,'[2]stock-take'!$G:$K,4,FALSE)))</f>
        <v xml:space="preserve"> </v>
      </c>
      <c r="J652" s="39">
        <f>IF(ISNA(VLOOKUP(D652,'[2]stock-take'!$G:$K,3,FALSE)), 0, VLOOKUP(D652,'[2]stock-take'!$G:$K,3,FALSE))</f>
        <v>0</v>
      </c>
      <c r="K652" s="49" t="str">
        <f>IF(F652="", " ", IF(ISNA(VLOOKUP(D652,'[2]stock-take'!$M:$Q,4,FALSE)), "OUT OF STOCK", VLOOKUP(D652,'[2]stock-take'!$M:$Q,4,FALSE)))</f>
        <v xml:space="preserve"> </v>
      </c>
      <c r="L652" s="47">
        <f>IF(ISNA(VLOOKUP(D652,'[2]stock-take'!$M:$Q,3,FALSE)), 0, VLOOKUP(D652,'[2]stock-take'!$M:$Q,3,FALSE))</f>
        <v>0</v>
      </c>
      <c r="M652" s="48" t="str">
        <f t="shared" si="28"/>
        <v xml:space="preserve"> </v>
      </c>
      <c r="N652" s="39" t="str">
        <f t="shared" si="29"/>
        <v xml:space="preserve"> </v>
      </c>
    </row>
    <row r="653" spans="1:14">
      <c r="A653" s="37">
        <f t="shared" si="30"/>
        <v>642</v>
      </c>
      <c r="G653" s="48" t="str">
        <f>IF(F653=""," ",IF(ISNA(VLOOKUP(D653,'[2]stock-take'!$A:$E,4,FALSE)), "OUT OF STOCK", VLOOKUP(D653,'[2]stock-take'!$A:$E,4,FALSE)))</f>
        <v xml:space="preserve"> </v>
      </c>
      <c r="H653" s="48">
        <f>IF(ISNA(VLOOKUP(D653,'[2]stock-take'!$A:$E,3,FALSE)), 0, VLOOKUP(D653,'[2]stock-take'!$A:$E,3,FALSE))</f>
        <v>0</v>
      </c>
      <c r="I653" s="48" t="str">
        <f>IF(F653="", " ",IF(ISNA(VLOOKUP(D653,'[2]stock-take'!$G:$K,4,FALSE)), "OUT OF STOCK", VLOOKUP(D653,'[2]stock-take'!$G:$K,4,FALSE)))</f>
        <v xml:space="preserve"> </v>
      </c>
      <c r="J653" s="39">
        <f>IF(ISNA(VLOOKUP(D653,'[2]stock-take'!$G:$K,3,FALSE)), 0, VLOOKUP(D653,'[2]stock-take'!$G:$K,3,FALSE))</f>
        <v>0</v>
      </c>
      <c r="K653" s="49" t="str">
        <f>IF(F653="", " ", IF(ISNA(VLOOKUP(D653,'[2]stock-take'!$M:$Q,4,FALSE)), "OUT OF STOCK", VLOOKUP(D653,'[2]stock-take'!$M:$Q,4,FALSE)))</f>
        <v xml:space="preserve"> </v>
      </c>
      <c r="L653" s="47">
        <f>IF(ISNA(VLOOKUP(D653,'[2]stock-take'!$M:$Q,3,FALSE)), 0, VLOOKUP(D653,'[2]stock-take'!$M:$Q,3,FALSE))</f>
        <v>0</v>
      </c>
      <c r="M653" s="48" t="str">
        <f t="shared" ref="M653:M716" si="31">IF(F653=""," ",IF(H653&gt;=F653,"Y",IF(J653&gt;=F653,"Y",IF(L653&gt;=F653,"Y",IF(SUM(H653,J653,L653)&gt;=F653,"Y","N")))))</f>
        <v xml:space="preserve"> </v>
      </c>
      <c r="N653" s="39" t="str">
        <f t="shared" ref="N653:N716" si="32">IF(F653=""," ",IF(H653&gt;=F653,"ILOOM",IF(J653&gt;=F653,"NO.6",IF(L653&gt;=F653,"RMD",IF(SUM(H653,J653,L653)&gt;=F653,"MULTI","LACK")))))</f>
        <v xml:space="preserve"> </v>
      </c>
    </row>
    <row r="654" spans="1:14">
      <c r="A654" s="37">
        <f t="shared" si="30"/>
        <v>643</v>
      </c>
      <c r="G654" s="48" t="str">
        <f>IF(F654=""," ",IF(ISNA(VLOOKUP(D654,'[2]stock-take'!$A:$E,4,FALSE)), "OUT OF STOCK", VLOOKUP(D654,'[2]stock-take'!$A:$E,4,FALSE)))</f>
        <v xml:space="preserve"> </v>
      </c>
      <c r="H654" s="48">
        <f>IF(ISNA(VLOOKUP(D654,'[2]stock-take'!$A:$E,3,FALSE)), 0, VLOOKUP(D654,'[2]stock-take'!$A:$E,3,FALSE))</f>
        <v>0</v>
      </c>
      <c r="I654" s="48" t="str">
        <f>IF(F654="", " ",IF(ISNA(VLOOKUP(D654,'[2]stock-take'!$G:$K,4,FALSE)), "OUT OF STOCK", VLOOKUP(D654,'[2]stock-take'!$G:$K,4,FALSE)))</f>
        <v xml:space="preserve"> </v>
      </c>
      <c r="J654" s="39">
        <f>IF(ISNA(VLOOKUP(D654,'[2]stock-take'!$G:$K,3,FALSE)), 0, VLOOKUP(D654,'[2]stock-take'!$G:$K,3,FALSE))</f>
        <v>0</v>
      </c>
      <c r="K654" s="49" t="str">
        <f>IF(F654="", " ", IF(ISNA(VLOOKUP(D654,'[2]stock-take'!$M:$Q,4,FALSE)), "OUT OF STOCK", VLOOKUP(D654,'[2]stock-take'!$M:$Q,4,FALSE)))</f>
        <v xml:space="preserve"> </v>
      </c>
      <c r="L654" s="47">
        <f>IF(ISNA(VLOOKUP(D654,'[2]stock-take'!$M:$Q,3,FALSE)), 0, VLOOKUP(D654,'[2]stock-take'!$M:$Q,3,FALSE))</f>
        <v>0</v>
      </c>
      <c r="M654" s="48" t="str">
        <f t="shared" si="31"/>
        <v xml:space="preserve"> </v>
      </c>
      <c r="N654" s="39" t="str">
        <f t="shared" si="32"/>
        <v xml:space="preserve"> </v>
      </c>
    </row>
    <row r="655" spans="1:14">
      <c r="A655" s="37">
        <f t="shared" si="30"/>
        <v>644</v>
      </c>
      <c r="G655" s="48" t="str">
        <f>IF(F655=""," ",IF(ISNA(VLOOKUP(D655,'[2]stock-take'!$A:$E,4,FALSE)), "OUT OF STOCK", VLOOKUP(D655,'[2]stock-take'!$A:$E,4,FALSE)))</f>
        <v xml:space="preserve"> </v>
      </c>
      <c r="H655" s="48">
        <f>IF(ISNA(VLOOKUP(D655,'[2]stock-take'!$A:$E,3,FALSE)), 0, VLOOKUP(D655,'[2]stock-take'!$A:$E,3,FALSE))</f>
        <v>0</v>
      </c>
      <c r="I655" s="48" t="str">
        <f>IF(F655="", " ",IF(ISNA(VLOOKUP(D655,'[2]stock-take'!$G:$K,4,FALSE)), "OUT OF STOCK", VLOOKUP(D655,'[2]stock-take'!$G:$K,4,FALSE)))</f>
        <v xml:space="preserve"> </v>
      </c>
      <c r="J655" s="39">
        <f>IF(ISNA(VLOOKUP(D655,'[2]stock-take'!$G:$K,3,FALSE)), 0, VLOOKUP(D655,'[2]stock-take'!$G:$K,3,FALSE))</f>
        <v>0</v>
      </c>
      <c r="K655" s="49" t="str">
        <f>IF(F655="", " ", IF(ISNA(VLOOKUP(D655,'[2]stock-take'!$M:$Q,4,FALSE)), "OUT OF STOCK", VLOOKUP(D655,'[2]stock-take'!$M:$Q,4,FALSE)))</f>
        <v xml:space="preserve"> </v>
      </c>
      <c r="L655" s="47">
        <f>IF(ISNA(VLOOKUP(D655,'[2]stock-take'!$M:$Q,3,FALSE)), 0, VLOOKUP(D655,'[2]stock-take'!$M:$Q,3,FALSE))</f>
        <v>0</v>
      </c>
      <c r="M655" s="48" t="str">
        <f t="shared" si="31"/>
        <v xml:space="preserve"> </v>
      </c>
      <c r="N655" s="39" t="str">
        <f t="shared" si="32"/>
        <v xml:space="preserve"> </v>
      </c>
    </row>
    <row r="656" spans="1:14">
      <c r="A656" s="37">
        <f t="shared" si="30"/>
        <v>645</v>
      </c>
      <c r="G656" s="48" t="str">
        <f>IF(F656=""," ",IF(ISNA(VLOOKUP(D656,'[2]stock-take'!$A:$E,4,FALSE)), "OUT OF STOCK", VLOOKUP(D656,'[2]stock-take'!$A:$E,4,FALSE)))</f>
        <v xml:space="preserve"> </v>
      </c>
      <c r="H656" s="48">
        <f>IF(ISNA(VLOOKUP(D656,'[2]stock-take'!$A:$E,3,FALSE)), 0, VLOOKUP(D656,'[2]stock-take'!$A:$E,3,FALSE))</f>
        <v>0</v>
      </c>
      <c r="I656" s="48" t="str">
        <f>IF(F656="", " ",IF(ISNA(VLOOKUP(D656,'[2]stock-take'!$G:$K,4,FALSE)), "OUT OF STOCK", VLOOKUP(D656,'[2]stock-take'!$G:$K,4,FALSE)))</f>
        <v xml:space="preserve"> </v>
      </c>
      <c r="J656" s="39">
        <f>IF(ISNA(VLOOKUP(D656,'[2]stock-take'!$G:$K,3,FALSE)), 0, VLOOKUP(D656,'[2]stock-take'!$G:$K,3,FALSE))</f>
        <v>0</v>
      </c>
      <c r="K656" s="49" t="str">
        <f>IF(F656="", " ", IF(ISNA(VLOOKUP(D656,'[2]stock-take'!$M:$Q,4,FALSE)), "OUT OF STOCK", VLOOKUP(D656,'[2]stock-take'!$M:$Q,4,FALSE)))</f>
        <v xml:space="preserve"> </v>
      </c>
      <c r="L656" s="47">
        <f>IF(ISNA(VLOOKUP(D656,'[2]stock-take'!$M:$Q,3,FALSE)), 0, VLOOKUP(D656,'[2]stock-take'!$M:$Q,3,FALSE))</f>
        <v>0</v>
      </c>
      <c r="M656" s="48" t="str">
        <f t="shared" si="31"/>
        <v xml:space="preserve"> </v>
      </c>
      <c r="N656" s="39" t="str">
        <f t="shared" si="32"/>
        <v xml:space="preserve"> </v>
      </c>
    </row>
    <row r="657" spans="1:14">
      <c r="A657" s="37">
        <f t="shared" si="30"/>
        <v>646</v>
      </c>
      <c r="G657" s="48" t="str">
        <f>IF(F657=""," ",IF(ISNA(VLOOKUP(D657,'[2]stock-take'!$A:$E,4,FALSE)), "OUT OF STOCK", VLOOKUP(D657,'[2]stock-take'!$A:$E,4,FALSE)))</f>
        <v xml:space="preserve"> </v>
      </c>
      <c r="H657" s="48">
        <f>IF(ISNA(VLOOKUP(D657,'[2]stock-take'!$A:$E,3,FALSE)), 0, VLOOKUP(D657,'[2]stock-take'!$A:$E,3,FALSE))</f>
        <v>0</v>
      </c>
      <c r="I657" s="48" t="str">
        <f>IF(F657="", " ",IF(ISNA(VLOOKUP(D657,'[2]stock-take'!$G:$K,4,FALSE)), "OUT OF STOCK", VLOOKUP(D657,'[2]stock-take'!$G:$K,4,FALSE)))</f>
        <v xml:space="preserve"> </v>
      </c>
      <c r="J657" s="39">
        <f>IF(ISNA(VLOOKUP(D657,'[2]stock-take'!$G:$K,3,FALSE)), 0, VLOOKUP(D657,'[2]stock-take'!$G:$K,3,FALSE))</f>
        <v>0</v>
      </c>
      <c r="K657" s="49" t="str">
        <f>IF(F657="", " ", IF(ISNA(VLOOKUP(D657,'[2]stock-take'!$M:$Q,4,FALSE)), "OUT OF STOCK", VLOOKUP(D657,'[2]stock-take'!$M:$Q,4,FALSE)))</f>
        <v xml:space="preserve"> </v>
      </c>
      <c r="L657" s="47">
        <f>IF(ISNA(VLOOKUP(D657,'[2]stock-take'!$M:$Q,3,FALSE)), 0, VLOOKUP(D657,'[2]stock-take'!$M:$Q,3,FALSE))</f>
        <v>0</v>
      </c>
      <c r="M657" s="48" t="str">
        <f t="shared" si="31"/>
        <v xml:space="preserve"> </v>
      </c>
      <c r="N657" s="39" t="str">
        <f t="shared" si="32"/>
        <v xml:space="preserve"> </v>
      </c>
    </row>
    <row r="658" spans="1:14">
      <c r="A658" s="37">
        <f t="shared" si="30"/>
        <v>647</v>
      </c>
      <c r="G658" s="48" t="str">
        <f>IF(F658=""," ",IF(ISNA(VLOOKUP(D658,'[2]stock-take'!$A:$E,4,FALSE)), "OUT OF STOCK", VLOOKUP(D658,'[2]stock-take'!$A:$E,4,FALSE)))</f>
        <v xml:space="preserve"> </v>
      </c>
      <c r="H658" s="48">
        <f>IF(ISNA(VLOOKUP(D658,'[2]stock-take'!$A:$E,3,FALSE)), 0, VLOOKUP(D658,'[2]stock-take'!$A:$E,3,FALSE))</f>
        <v>0</v>
      </c>
      <c r="I658" s="48" t="str">
        <f>IF(F658="", " ",IF(ISNA(VLOOKUP(D658,'[2]stock-take'!$G:$K,4,FALSE)), "OUT OF STOCK", VLOOKUP(D658,'[2]stock-take'!$G:$K,4,FALSE)))</f>
        <v xml:space="preserve"> </v>
      </c>
      <c r="J658" s="39">
        <f>IF(ISNA(VLOOKUP(D658,'[2]stock-take'!$G:$K,3,FALSE)), 0, VLOOKUP(D658,'[2]stock-take'!$G:$K,3,FALSE))</f>
        <v>0</v>
      </c>
      <c r="K658" s="49" t="str">
        <f>IF(F658="", " ", IF(ISNA(VLOOKUP(D658,'[2]stock-take'!$M:$Q,4,FALSE)), "OUT OF STOCK", VLOOKUP(D658,'[2]stock-take'!$M:$Q,4,FALSE)))</f>
        <v xml:space="preserve"> </v>
      </c>
      <c r="L658" s="47">
        <f>IF(ISNA(VLOOKUP(D658,'[2]stock-take'!$M:$Q,3,FALSE)), 0, VLOOKUP(D658,'[2]stock-take'!$M:$Q,3,FALSE))</f>
        <v>0</v>
      </c>
      <c r="M658" s="48" t="str">
        <f t="shared" si="31"/>
        <v xml:space="preserve"> </v>
      </c>
      <c r="N658" s="39" t="str">
        <f t="shared" si="32"/>
        <v xml:space="preserve"> </v>
      </c>
    </row>
    <row r="659" spans="1:14">
      <c r="A659" s="37">
        <f t="shared" si="30"/>
        <v>648</v>
      </c>
      <c r="G659" s="48" t="str">
        <f>IF(F659=""," ",IF(ISNA(VLOOKUP(D659,'[2]stock-take'!$A:$E,4,FALSE)), "OUT OF STOCK", VLOOKUP(D659,'[2]stock-take'!$A:$E,4,FALSE)))</f>
        <v xml:space="preserve"> </v>
      </c>
      <c r="H659" s="48">
        <f>IF(ISNA(VLOOKUP(D659,'[2]stock-take'!$A:$E,3,FALSE)), 0, VLOOKUP(D659,'[2]stock-take'!$A:$E,3,FALSE))</f>
        <v>0</v>
      </c>
      <c r="I659" s="48" t="str">
        <f>IF(F659="", " ",IF(ISNA(VLOOKUP(D659,'[2]stock-take'!$G:$K,4,FALSE)), "OUT OF STOCK", VLOOKUP(D659,'[2]stock-take'!$G:$K,4,FALSE)))</f>
        <v xml:space="preserve"> </v>
      </c>
      <c r="J659" s="39">
        <f>IF(ISNA(VLOOKUP(D659,'[2]stock-take'!$G:$K,3,FALSE)), 0, VLOOKUP(D659,'[2]stock-take'!$G:$K,3,FALSE))</f>
        <v>0</v>
      </c>
      <c r="K659" s="49" t="str">
        <f>IF(F659="", " ", IF(ISNA(VLOOKUP(D659,'[2]stock-take'!$M:$Q,4,FALSE)), "OUT OF STOCK", VLOOKUP(D659,'[2]stock-take'!$M:$Q,4,FALSE)))</f>
        <v xml:space="preserve"> </v>
      </c>
      <c r="L659" s="47">
        <f>IF(ISNA(VLOOKUP(D659,'[2]stock-take'!$M:$Q,3,FALSE)), 0, VLOOKUP(D659,'[2]stock-take'!$M:$Q,3,FALSE))</f>
        <v>0</v>
      </c>
      <c r="M659" s="48" t="str">
        <f t="shared" si="31"/>
        <v xml:space="preserve"> </v>
      </c>
      <c r="N659" s="39" t="str">
        <f t="shared" si="32"/>
        <v xml:space="preserve"> </v>
      </c>
    </row>
    <row r="660" spans="1:14">
      <c r="A660" s="37">
        <f t="shared" si="30"/>
        <v>649</v>
      </c>
      <c r="G660" s="48" t="str">
        <f>IF(F660=""," ",IF(ISNA(VLOOKUP(D660,'[2]stock-take'!$A:$E,4,FALSE)), "OUT OF STOCK", VLOOKUP(D660,'[2]stock-take'!$A:$E,4,FALSE)))</f>
        <v xml:space="preserve"> </v>
      </c>
      <c r="H660" s="48">
        <f>IF(ISNA(VLOOKUP(D660,'[2]stock-take'!$A:$E,3,FALSE)), 0, VLOOKUP(D660,'[2]stock-take'!$A:$E,3,FALSE))</f>
        <v>0</v>
      </c>
      <c r="I660" s="48" t="str">
        <f>IF(F660="", " ",IF(ISNA(VLOOKUP(D660,'[2]stock-take'!$G:$K,4,FALSE)), "OUT OF STOCK", VLOOKUP(D660,'[2]stock-take'!$G:$K,4,FALSE)))</f>
        <v xml:space="preserve"> </v>
      </c>
      <c r="J660" s="39">
        <f>IF(ISNA(VLOOKUP(D660,'[2]stock-take'!$G:$K,3,FALSE)), 0, VLOOKUP(D660,'[2]stock-take'!$G:$K,3,FALSE))</f>
        <v>0</v>
      </c>
      <c r="K660" s="49" t="str">
        <f>IF(F660="", " ", IF(ISNA(VLOOKUP(D660,'[2]stock-take'!$M:$Q,4,FALSE)), "OUT OF STOCK", VLOOKUP(D660,'[2]stock-take'!$M:$Q,4,FALSE)))</f>
        <v xml:space="preserve"> </v>
      </c>
      <c r="L660" s="47">
        <f>IF(ISNA(VLOOKUP(D660,'[2]stock-take'!$M:$Q,3,FALSE)), 0, VLOOKUP(D660,'[2]stock-take'!$M:$Q,3,FALSE))</f>
        <v>0</v>
      </c>
      <c r="M660" s="48" t="str">
        <f t="shared" si="31"/>
        <v xml:space="preserve"> </v>
      </c>
      <c r="N660" s="39" t="str">
        <f t="shared" si="32"/>
        <v xml:space="preserve"> </v>
      </c>
    </row>
    <row r="661" spans="1:14">
      <c r="A661" s="37">
        <f t="shared" si="30"/>
        <v>650</v>
      </c>
      <c r="G661" s="48" t="str">
        <f>IF(F661=""," ",IF(ISNA(VLOOKUP(D661,'[2]stock-take'!$A:$E,4,FALSE)), "OUT OF STOCK", VLOOKUP(D661,'[2]stock-take'!$A:$E,4,FALSE)))</f>
        <v xml:space="preserve"> </v>
      </c>
      <c r="H661" s="48">
        <f>IF(ISNA(VLOOKUP(D661,'[2]stock-take'!$A:$E,3,FALSE)), 0, VLOOKUP(D661,'[2]stock-take'!$A:$E,3,FALSE))</f>
        <v>0</v>
      </c>
      <c r="I661" s="48" t="str">
        <f>IF(F661="", " ",IF(ISNA(VLOOKUP(D661,'[2]stock-take'!$G:$K,4,FALSE)), "OUT OF STOCK", VLOOKUP(D661,'[2]stock-take'!$G:$K,4,FALSE)))</f>
        <v xml:space="preserve"> </v>
      </c>
      <c r="J661" s="39">
        <f>IF(ISNA(VLOOKUP(D661,'[2]stock-take'!$G:$K,3,FALSE)), 0, VLOOKUP(D661,'[2]stock-take'!$G:$K,3,FALSE))</f>
        <v>0</v>
      </c>
      <c r="K661" s="49" t="str">
        <f>IF(F661="", " ", IF(ISNA(VLOOKUP(D661,'[2]stock-take'!$M:$Q,4,FALSE)), "OUT OF STOCK", VLOOKUP(D661,'[2]stock-take'!$M:$Q,4,FALSE)))</f>
        <v xml:space="preserve"> </v>
      </c>
      <c r="L661" s="47">
        <f>IF(ISNA(VLOOKUP(D661,'[2]stock-take'!$M:$Q,3,FALSE)), 0, VLOOKUP(D661,'[2]stock-take'!$M:$Q,3,FALSE))</f>
        <v>0</v>
      </c>
      <c r="M661" s="48" t="str">
        <f t="shared" si="31"/>
        <v xml:space="preserve"> </v>
      </c>
      <c r="N661" s="39" t="str">
        <f t="shared" si="32"/>
        <v xml:space="preserve"> </v>
      </c>
    </row>
    <row r="662" spans="1:14">
      <c r="A662" s="37">
        <f t="shared" si="30"/>
        <v>651</v>
      </c>
      <c r="G662" s="48" t="str">
        <f>IF(F662=""," ",IF(ISNA(VLOOKUP(D662,'[2]stock-take'!$A:$E,4,FALSE)), "OUT OF STOCK", VLOOKUP(D662,'[2]stock-take'!$A:$E,4,FALSE)))</f>
        <v xml:space="preserve"> </v>
      </c>
      <c r="H662" s="48">
        <f>IF(ISNA(VLOOKUP(D662,'[2]stock-take'!$A:$E,3,FALSE)), 0, VLOOKUP(D662,'[2]stock-take'!$A:$E,3,FALSE))</f>
        <v>0</v>
      </c>
      <c r="I662" s="48" t="str">
        <f>IF(F662="", " ",IF(ISNA(VLOOKUP(D662,'[2]stock-take'!$G:$K,4,FALSE)), "OUT OF STOCK", VLOOKUP(D662,'[2]stock-take'!$G:$K,4,FALSE)))</f>
        <v xml:space="preserve"> </v>
      </c>
      <c r="J662" s="39">
        <f>IF(ISNA(VLOOKUP(D662,'[2]stock-take'!$G:$K,3,FALSE)), 0, VLOOKUP(D662,'[2]stock-take'!$G:$K,3,FALSE))</f>
        <v>0</v>
      </c>
      <c r="K662" s="49" t="str">
        <f>IF(F662="", " ", IF(ISNA(VLOOKUP(D662,'[2]stock-take'!$M:$Q,4,FALSE)), "OUT OF STOCK", VLOOKUP(D662,'[2]stock-take'!$M:$Q,4,FALSE)))</f>
        <v xml:space="preserve"> </v>
      </c>
      <c r="L662" s="47">
        <f>IF(ISNA(VLOOKUP(D662,'[2]stock-take'!$M:$Q,3,FALSE)), 0, VLOOKUP(D662,'[2]stock-take'!$M:$Q,3,FALSE))</f>
        <v>0</v>
      </c>
      <c r="M662" s="48" t="str">
        <f t="shared" si="31"/>
        <v xml:space="preserve"> </v>
      </c>
      <c r="N662" s="39" t="str">
        <f t="shared" si="32"/>
        <v xml:space="preserve"> </v>
      </c>
    </row>
    <row r="663" spans="1:14">
      <c r="A663" s="37">
        <f t="shared" si="30"/>
        <v>652</v>
      </c>
      <c r="G663" s="48" t="str">
        <f>IF(F663=""," ",IF(ISNA(VLOOKUP(D663,'[2]stock-take'!$A:$E,4,FALSE)), "OUT OF STOCK", VLOOKUP(D663,'[2]stock-take'!$A:$E,4,FALSE)))</f>
        <v xml:space="preserve"> </v>
      </c>
      <c r="H663" s="48">
        <f>IF(ISNA(VLOOKUP(D663,'[2]stock-take'!$A:$E,3,FALSE)), 0, VLOOKUP(D663,'[2]stock-take'!$A:$E,3,FALSE))</f>
        <v>0</v>
      </c>
      <c r="I663" s="48" t="str">
        <f>IF(F663="", " ",IF(ISNA(VLOOKUP(D663,'[2]stock-take'!$G:$K,4,FALSE)), "OUT OF STOCK", VLOOKUP(D663,'[2]stock-take'!$G:$K,4,FALSE)))</f>
        <v xml:space="preserve"> </v>
      </c>
      <c r="J663" s="39">
        <f>IF(ISNA(VLOOKUP(D663,'[2]stock-take'!$G:$K,3,FALSE)), 0, VLOOKUP(D663,'[2]stock-take'!$G:$K,3,FALSE))</f>
        <v>0</v>
      </c>
      <c r="K663" s="49" t="str">
        <f>IF(F663="", " ", IF(ISNA(VLOOKUP(D663,'[2]stock-take'!$M:$Q,4,FALSE)), "OUT OF STOCK", VLOOKUP(D663,'[2]stock-take'!$M:$Q,4,FALSE)))</f>
        <v xml:space="preserve"> </v>
      </c>
      <c r="L663" s="47">
        <f>IF(ISNA(VLOOKUP(D663,'[2]stock-take'!$M:$Q,3,FALSE)), 0, VLOOKUP(D663,'[2]stock-take'!$M:$Q,3,FALSE))</f>
        <v>0</v>
      </c>
      <c r="M663" s="48" t="str">
        <f t="shared" si="31"/>
        <v xml:space="preserve"> </v>
      </c>
      <c r="N663" s="39" t="str">
        <f t="shared" si="32"/>
        <v xml:space="preserve"> </v>
      </c>
    </row>
    <row r="664" spans="1:14">
      <c r="A664" s="37">
        <f t="shared" si="30"/>
        <v>653</v>
      </c>
      <c r="G664" s="48" t="str">
        <f>IF(F664=""," ",IF(ISNA(VLOOKUP(D664,'[2]stock-take'!$A:$E,4,FALSE)), "OUT OF STOCK", VLOOKUP(D664,'[2]stock-take'!$A:$E,4,FALSE)))</f>
        <v xml:space="preserve"> </v>
      </c>
      <c r="H664" s="48">
        <f>IF(ISNA(VLOOKUP(D664,'[2]stock-take'!$A:$E,3,FALSE)), 0, VLOOKUP(D664,'[2]stock-take'!$A:$E,3,FALSE))</f>
        <v>0</v>
      </c>
      <c r="I664" s="48" t="str">
        <f>IF(F664="", " ",IF(ISNA(VLOOKUP(D664,'[2]stock-take'!$G:$K,4,FALSE)), "OUT OF STOCK", VLOOKUP(D664,'[2]stock-take'!$G:$K,4,FALSE)))</f>
        <v xml:space="preserve"> </v>
      </c>
      <c r="J664" s="39">
        <f>IF(ISNA(VLOOKUP(D664,'[2]stock-take'!$G:$K,3,FALSE)), 0, VLOOKUP(D664,'[2]stock-take'!$G:$K,3,FALSE))</f>
        <v>0</v>
      </c>
      <c r="K664" s="49" t="str">
        <f>IF(F664="", " ", IF(ISNA(VLOOKUP(D664,'[2]stock-take'!$M:$Q,4,FALSE)), "OUT OF STOCK", VLOOKUP(D664,'[2]stock-take'!$M:$Q,4,FALSE)))</f>
        <v xml:space="preserve"> </v>
      </c>
      <c r="L664" s="47">
        <f>IF(ISNA(VLOOKUP(D664,'[2]stock-take'!$M:$Q,3,FALSE)), 0, VLOOKUP(D664,'[2]stock-take'!$M:$Q,3,FALSE))</f>
        <v>0</v>
      </c>
      <c r="M664" s="48" t="str">
        <f t="shared" si="31"/>
        <v xml:space="preserve"> </v>
      </c>
      <c r="N664" s="39" t="str">
        <f t="shared" si="32"/>
        <v xml:space="preserve"> </v>
      </c>
    </row>
    <row r="665" spans="1:14">
      <c r="A665" s="37">
        <f t="shared" si="30"/>
        <v>654</v>
      </c>
      <c r="G665" s="48" t="str">
        <f>IF(F665=""," ",IF(ISNA(VLOOKUP(D665,'[2]stock-take'!$A:$E,4,FALSE)), "OUT OF STOCK", VLOOKUP(D665,'[2]stock-take'!$A:$E,4,FALSE)))</f>
        <v xml:space="preserve"> </v>
      </c>
      <c r="H665" s="48">
        <f>IF(ISNA(VLOOKUP(D665,'[2]stock-take'!$A:$E,3,FALSE)), 0, VLOOKUP(D665,'[2]stock-take'!$A:$E,3,FALSE))</f>
        <v>0</v>
      </c>
      <c r="I665" s="48" t="str">
        <f>IF(F665="", " ",IF(ISNA(VLOOKUP(D665,'[2]stock-take'!$G:$K,4,FALSE)), "OUT OF STOCK", VLOOKUP(D665,'[2]stock-take'!$G:$K,4,FALSE)))</f>
        <v xml:space="preserve"> </v>
      </c>
      <c r="J665" s="39">
        <f>IF(ISNA(VLOOKUP(D665,'[2]stock-take'!$G:$K,3,FALSE)), 0, VLOOKUP(D665,'[2]stock-take'!$G:$K,3,FALSE))</f>
        <v>0</v>
      </c>
      <c r="K665" s="49" t="str">
        <f>IF(F665="", " ", IF(ISNA(VLOOKUP(D665,'[2]stock-take'!$M:$Q,4,FALSE)), "OUT OF STOCK", VLOOKUP(D665,'[2]stock-take'!$M:$Q,4,FALSE)))</f>
        <v xml:space="preserve"> </v>
      </c>
      <c r="L665" s="47">
        <f>IF(ISNA(VLOOKUP(D665,'[2]stock-take'!$M:$Q,3,FALSE)), 0, VLOOKUP(D665,'[2]stock-take'!$M:$Q,3,FALSE))</f>
        <v>0</v>
      </c>
      <c r="M665" s="48" t="str">
        <f t="shared" si="31"/>
        <v xml:space="preserve"> </v>
      </c>
      <c r="N665" s="39" t="str">
        <f t="shared" si="32"/>
        <v xml:space="preserve"> </v>
      </c>
    </row>
    <row r="666" spans="1:14">
      <c r="A666" s="37">
        <f t="shared" si="30"/>
        <v>655</v>
      </c>
      <c r="G666" s="48" t="str">
        <f>IF(F666=""," ",IF(ISNA(VLOOKUP(D666,'[2]stock-take'!$A:$E,4,FALSE)), "OUT OF STOCK", VLOOKUP(D666,'[2]stock-take'!$A:$E,4,FALSE)))</f>
        <v xml:space="preserve"> </v>
      </c>
      <c r="H666" s="48">
        <f>IF(ISNA(VLOOKUP(D666,'[2]stock-take'!$A:$E,3,FALSE)), 0, VLOOKUP(D666,'[2]stock-take'!$A:$E,3,FALSE))</f>
        <v>0</v>
      </c>
      <c r="I666" s="48" t="str">
        <f>IF(F666="", " ",IF(ISNA(VLOOKUP(D666,'[2]stock-take'!$G:$K,4,FALSE)), "OUT OF STOCK", VLOOKUP(D666,'[2]stock-take'!$G:$K,4,FALSE)))</f>
        <v xml:space="preserve"> </v>
      </c>
      <c r="J666" s="39">
        <f>IF(ISNA(VLOOKUP(D666,'[2]stock-take'!$G:$K,3,FALSE)), 0, VLOOKUP(D666,'[2]stock-take'!$G:$K,3,FALSE))</f>
        <v>0</v>
      </c>
      <c r="K666" s="49" t="str">
        <f>IF(F666="", " ", IF(ISNA(VLOOKUP(D666,'[2]stock-take'!$M:$Q,4,FALSE)), "OUT OF STOCK", VLOOKUP(D666,'[2]stock-take'!$M:$Q,4,FALSE)))</f>
        <v xml:space="preserve"> </v>
      </c>
      <c r="L666" s="47">
        <f>IF(ISNA(VLOOKUP(D666,'[2]stock-take'!$M:$Q,3,FALSE)), 0, VLOOKUP(D666,'[2]stock-take'!$M:$Q,3,FALSE))</f>
        <v>0</v>
      </c>
      <c r="M666" s="48" t="str">
        <f t="shared" si="31"/>
        <v xml:space="preserve"> </v>
      </c>
      <c r="N666" s="39" t="str">
        <f t="shared" si="32"/>
        <v xml:space="preserve"> </v>
      </c>
    </row>
    <row r="667" spans="1:14">
      <c r="A667" s="37">
        <f t="shared" si="30"/>
        <v>656</v>
      </c>
      <c r="G667" s="48" t="str">
        <f>IF(F667=""," ",IF(ISNA(VLOOKUP(D667,'[2]stock-take'!$A:$E,4,FALSE)), "OUT OF STOCK", VLOOKUP(D667,'[2]stock-take'!$A:$E,4,FALSE)))</f>
        <v xml:space="preserve"> </v>
      </c>
      <c r="H667" s="48">
        <f>IF(ISNA(VLOOKUP(D667,'[2]stock-take'!$A:$E,3,FALSE)), 0, VLOOKUP(D667,'[2]stock-take'!$A:$E,3,FALSE))</f>
        <v>0</v>
      </c>
      <c r="I667" s="48" t="str">
        <f>IF(F667="", " ",IF(ISNA(VLOOKUP(D667,'[2]stock-take'!$G:$K,4,FALSE)), "OUT OF STOCK", VLOOKUP(D667,'[2]stock-take'!$G:$K,4,FALSE)))</f>
        <v xml:space="preserve"> </v>
      </c>
      <c r="J667" s="39">
        <f>IF(ISNA(VLOOKUP(D667,'[2]stock-take'!$G:$K,3,FALSE)), 0, VLOOKUP(D667,'[2]stock-take'!$G:$K,3,FALSE))</f>
        <v>0</v>
      </c>
      <c r="K667" s="49" t="str">
        <f>IF(F667="", " ", IF(ISNA(VLOOKUP(D667,'[2]stock-take'!$M:$Q,4,FALSE)), "OUT OF STOCK", VLOOKUP(D667,'[2]stock-take'!$M:$Q,4,FALSE)))</f>
        <v xml:space="preserve"> </v>
      </c>
      <c r="L667" s="47">
        <f>IF(ISNA(VLOOKUP(D667,'[2]stock-take'!$M:$Q,3,FALSE)), 0, VLOOKUP(D667,'[2]stock-take'!$M:$Q,3,FALSE))</f>
        <v>0</v>
      </c>
      <c r="M667" s="48" t="str">
        <f t="shared" si="31"/>
        <v xml:space="preserve"> </v>
      </c>
      <c r="N667" s="39" t="str">
        <f t="shared" si="32"/>
        <v xml:space="preserve"> </v>
      </c>
    </row>
    <row r="668" spans="1:14">
      <c r="A668" s="37">
        <f t="shared" si="30"/>
        <v>657</v>
      </c>
      <c r="G668" s="48" t="str">
        <f>IF(F668=""," ",IF(ISNA(VLOOKUP(D668,'[2]stock-take'!$A:$E,4,FALSE)), "OUT OF STOCK", VLOOKUP(D668,'[2]stock-take'!$A:$E,4,FALSE)))</f>
        <v xml:space="preserve"> </v>
      </c>
      <c r="H668" s="48">
        <f>IF(ISNA(VLOOKUP(D668,'[2]stock-take'!$A:$E,3,FALSE)), 0, VLOOKUP(D668,'[2]stock-take'!$A:$E,3,FALSE))</f>
        <v>0</v>
      </c>
      <c r="I668" s="48" t="str">
        <f>IF(F668="", " ",IF(ISNA(VLOOKUP(D668,'[2]stock-take'!$G:$K,4,FALSE)), "OUT OF STOCK", VLOOKUP(D668,'[2]stock-take'!$G:$K,4,FALSE)))</f>
        <v xml:space="preserve"> </v>
      </c>
      <c r="J668" s="39">
        <f>IF(ISNA(VLOOKUP(D668,'[2]stock-take'!$G:$K,3,FALSE)), 0, VLOOKUP(D668,'[2]stock-take'!$G:$K,3,FALSE))</f>
        <v>0</v>
      </c>
      <c r="K668" s="49" t="str">
        <f>IF(F668="", " ", IF(ISNA(VLOOKUP(D668,'[2]stock-take'!$M:$Q,4,FALSE)), "OUT OF STOCK", VLOOKUP(D668,'[2]stock-take'!$M:$Q,4,FALSE)))</f>
        <v xml:space="preserve"> </v>
      </c>
      <c r="L668" s="47">
        <f>IF(ISNA(VLOOKUP(D668,'[2]stock-take'!$M:$Q,3,FALSE)), 0, VLOOKUP(D668,'[2]stock-take'!$M:$Q,3,FALSE))</f>
        <v>0</v>
      </c>
      <c r="M668" s="48" t="str">
        <f t="shared" si="31"/>
        <v xml:space="preserve"> </v>
      </c>
      <c r="N668" s="39" t="str">
        <f t="shared" si="32"/>
        <v xml:space="preserve"> </v>
      </c>
    </row>
    <row r="669" spans="1:14">
      <c r="A669" s="37">
        <f t="shared" si="30"/>
        <v>658</v>
      </c>
      <c r="G669" s="48" t="str">
        <f>IF(F669=""," ",IF(ISNA(VLOOKUP(D669,'[2]stock-take'!$A:$E,4,FALSE)), "OUT OF STOCK", VLOOKUP(D669,'[2]stock-take'!$A:$E,4,FALSE)))</f>
        <v xml:space="preserve"> </v>
      </c>
      <c r="H669" s="48">
        <f>IF(ISNA(VLOOKUP(D669,'[2]stock-take'!$A:$E,3,FALSE)), 0, VLOOKUP(D669,'[2]stock-take'!$A:$E,3,FALSE))</f>
        <v>0</v>
      </c>
      <c r="I669" s="48" t="str">
        <f>IF(F669="", " ",IF(ISNA(VLOOKUP(D669,'[2]stock-take'!$G:$K,4,FALSE)), "OUT OF STOCK", VLOOKUP(D669,'[2]stock-take'!$G:$K,4,FALSE)))</f>
        <v xml:space="preserve"> </v>
      </c>
      <c r="J669" s="39">
        <f>IF(ISNA(VLOOKUP(D669,'[2]stock-take'!$G:$K,3,FALSE)), 0, VLOOKUP(D669,'[2]stock-take'!$G:$K,3,FALSE))</f>
        <v>0</v>
      </c>
      <c r="K669" s="49" t="str">
        <f>IF(F669="", " ", IF(ISNA(VLOOKUP(D669,'[2]stock-take'!$M:$Q,4,FALSE)), "OUT OF STOCK", VLOOKUP(D669,'[2]stock-take'!$M:$Q,4,FALSE)))</f>
        <v xml:space="preserve"> </v>
      </c>
      <c r="L669" s="47">
        <f>IF(ISNA(VLOOKUP(D669,'[2]stock-take'!$M:$Q,3,FALSE)), 0, VLOOKUP(D669,'[2]stock-take'!$M:$Q,3,FALSE))</f>
        <v>0</v>
      </c>
      <c r="M669" s="48" t="str">
        <f t="shared" si="31"/>
        <v xml:space="preserve"> </v>
      </c>
      <c r="N669" s="39" t="str">
        <f t="shared" si="32"/>
        <v xml:space="preserve"> </v>
      </c>
    </row>
    <row r="670" spans="1:14">
      <c r="A670" s="37">
        <f t="shared" si="30"/>
        <v>659</v>
      </c>
      <c r="G670" s="48" t="str">
        <f>IF(F670=""," ",IF(ISNA(VLOOKUP(D670,'[2]stock-take'!$A:$E,4,FALSE)), "OUT OF STOCK", VLOOKUP(D670,'[2]stock-take'!$A:$E,4,FALSE)))</f>
        <v xml:space="preserve"> </v>
      </c>
      <c r="H670" s="48">
        <f>IF(ISNA(VLOOKUP(D670,'[2]stock-take'!$A:$E,3,FALSE)), 0, VLOOKUP(D670,'[2]stock-take'!$A:$E,3,FALSE))</f>
        <v>0</v>
      </c>
      <c r="I670" s="48" t="str">
        <f>IF(F670="", " ",IF(ISNA(VLOOKUP(D670,'[2]stock-take'!$G:$K,4,FALSE)), "OUT OF STOCK", VLOOKUP(D670,'[2]stock-take'!$G:$K,4,FALSE)))</f>
        <v xml:space="preserve"> </v>
      </c>
      <c r="J670" s="39">
        <f>IF(ISNA(VLOOKUP(D670,'[2]stock-take'!$G:$K,3,FALSE)), 0, VLOOKUP(D670,'[2]stock-take'!$G:$K,3,FALSE))</f>
        <v>0</v>
      </c>
      <c r="K670" s="49" t="str">
        <f>IF(F670="", " ", IF(ISNA(VLOOKUP(D670,'[2]stock-take'!$M:$Q,4,FALSE)), "OUT OF STOCK", VLOOKUP(D670,'[2]stock-take'!$M:$Q,4,FALSE)))</f>
        <v xml:space="preserve"> </v>
      </c>
      <c r="L670" s="47">
        <f>IF(ISNA(VLOOKUP(D670,'[2]stock-take'!$M:$Q,3,FALSE)), 0, VLOOKUP(D670,'[2]stock-take'!$M:$Q,3,FALSE))</f>
        <v>0</v>
      </c>
      <c r="M670" s="48" t="str">
        <f t="shared" si="31"/>
        <v xml:space="preserve"> </v>
      </c>
      <c r="N670" s="39" t="str">
        <f t="shared" si="32"/>
        <v xml:space="preserve"> </v>
      </c>
    </row>
    <row r="671" spans="1:14">
      <c r="A671" s="37">
        <f t="shared" si="30"/>
        <v>660</v>
      </c>
      <c r="G671" s="48" t="str">
        <f>IF(F671=""," ",IF(ISNA(VLOOKUP(D671,'[2]stock-take'!$A:$E,4,FALSE)), "OUT OF STOCK", VLOOKUP(D671,'[2]stock-take'!$A:$E,4,FALSE)))</f>
        <v xml:space="preserve"> </v>
      </c>
      <c r="H671" s="48">
        <f>IF(ISNA(VLOOKUP(D671,'[2]stock-take'!$A:$E,3,FALSE)), 0, VLOOKUP(D671,'[2]stock-take'!$A:$E,3,FALSE))</f>
        <v>0</v>
      </c>
      <c r="I671" s="48" t="str">
        <f>IF(F671="", " ",IF(ISNA(VLOOKUP(D671,'[2]stock-take'!$G:$K,4,FALSE)), "OUT OF STOCK", VLOOKUP(D671,'[2]stock-take'!$G:$K,4,FALSE)))</f>
        <v xml:space="preserve"> </v>
      </c>
      <c r="J671" s="39">
        <f>IF(ISNA(VLOOKUP(D671,'[2]stock-take'!$G:$K,3,FALSE)), 0, VLOOKUP(D671,'[2]stock-take'!$G:$K,3,FALSE))</f>
        <v>0</v>
      </c>
      <c r="K671" s="49" t="str">
        <f>IF(F671="", " ", IF(ISNA(VLOOKUP(D671,'[2]stock-take'!$M:$Q,4,FALSE)), "OUT OF STOCK", VLOOKUP(D671,'[2]stock-take'!$M:$Q,4,FALSE)))</f>
        <v xml:space="preserve"> </v>
      </c>
      <c r="L671" s="47">
        <f>IF(ISNA(VLOOKUP(D671,'[2]stock-take'!$M:$Q,3,FALSE)), 0, VLOOKUP(D671,'[2]stock-take'!$M:$Q,3,FALSE))</f>
        <v>0</v>
      </c>
      <c r="M671" s="48" t="str">
        <f t="shared" si="31"/>
        <v xml:space="preserve"> </v>
      </c>
      <c r="N671" s="39" t="str">
        <f t="shared" si="32"/>
        <v xml:space="preserve"> </v>
      </c>
    </row>
    <row r="672" spans="1:14">
      <c r="A672" s="37">
        <f t="shared" si="30"/>
        <v>661</v>
      </c>
      <c r="G672" s="48" t="str">
        <f>IF(F672=""," ",IF(ISNA(VLOOKUP(D672,'[2]stock-take'!$A:$E,4,FALSE)), "OUT OF STOCK", VLOOKUP(D672,'[2]stock-take'!$A:$E,4,FALSE)))</f>
        <v xml:space="preserve"> </v>
      </c>
      <c r="H672" s="48">
        <f>IF(ISNA(VLOOKUP(D672,'[2]stock-take'!$A:$E,3,FALSE)), 0, VLOOKUP(D672,'[2]stock-take'!$A:$E,3,FALSE))</f>
        <v>0</v>
      </c>
      <c r="I672" s="48" t="str">
        <f>IF(F672="", " ",IF(ISNA(VLOOKUP(D672,'[2]stock-take'!$G:$K,4,FALSE)), "OUT OF STOCK", VLOOKUP(D672,'[2]stock-take'!$G:$K,4,FALSE)))</f>
        <v xml:space="preserve"> </v>
      </c>
      <c r="J672" s="39">
        <f>IF(ISNA(VLOOKUP(D672,'[2]stock-take'!$G:$K,3,FALSE)), 0, VLOOKUP(D672,'[2]stock-take'!$G:$K,3,FALSE))</f>
        <v>0</v>
      </c>
      <c r="K672" s="49" t="str">
        <f>IF(F672="", " ", IF(ISNA(VLOOKUP(D672,'[2]stock-take'!$M:$Q,4,FALSE)), "OUT OF STOCK", VLOOKUP(D672,'[2]stock-take'!$M:$Q,4,FALSE)))</f>
        <v xml:space="preserve"> </v>
      </c>
      <c r="L672" s="47">
        <f>IF(ISNA(VLOOKUP(D672,'[2]stock-take'!$M:$Q,3,FALSE)), 0, VLOOKUP(D672,'[2]stock-take'!$M:$Q,3,FALSE))</f>
        <v>0</v>
      </c>
      <c r="M672" s="48" t="str">
        <f t="shared" si="31"/>
        <v xml:space="preserve"> </v>
      </c>
      <c r="N672" s="39" t="str">
        <f t="shared" si="32"/>
        <v xml:space="preserve"> </v>
      </c>
    </row>
    <row r="673" spans="1:14">
      <c r="A673" s="37">
        <f t="shared" si="30"/>
        <v>662</v>
      </c>
      <c r="G673" s="48" t="str">
        <f>IF(F673=""," ",IF(ISNA(VLOOKUP(D673,'[2]stock-take'!$A:$E,4,FALSE)), "OUT OF STOCK", VLOOKUP(D673,'[2]stock-take'!$A:$E,4,FALSE)))</f>
        <v xml:space="preserve"> </v>
      </c>
      <c r="H673" s="48">
        <f>IF(ISNA(VLOOKUP(D673,'[2]stock-take'!$A:$E,3,FALSE)), 0, VLOOKUP(D673,'[2]stock-take'!$A:$E,3,FALSE))</f>
        <v>0</v>
      </c>
      <c r="I673" s="48" t="str">
        <f>IF(F673="", " ",IF(ISNA(VLOOKUP(D673,'[2]stock-take'!$G:$K,4,FALSE)), "OUT OF STOCK", VLOOKUP(D673,'[2]stock-take'!$G:$K,4,FALSE)))</f>
        <v xml:space="preserve"> </v>
      </c>
      <c r="J673" s="39">
        <f>IF(ISNA(VLOOKUP(D673,'[2]stock-take'!$G:$K,3,FALSE)), 0, VLOOKUP(D673,'[2]stock-take'!$G:$K,3,FALSE))</f>
        <v>0</v>
      </c>
      <c r="K673" s="49" t="str">
        <f>IF(F673="", " ", IF(ISNA(VLOOKUP(D673,'[2]stock-take'!$M:$Q,4,FALSE)), "OUT OF STOCK", VLOOKUP(D673,'[2]stock-take'!$M:$Q,4,FALSE)))</f>
        <v xml:space="preserve"> </v>
      </c>
      <c r="L673" s="47">
        <f>IF(ISNA(VLOOKUP(D673,'[2]stock-take'!$M:$Q,3,FALSE)), 0, VLOOKUP(D673,'[2]stock-take'!$M:$Q,3,FALSE))</f>
        <v>0</v>
      </c>
      <c r="M673" s="48" t="str">
        <f t="shared" si="31"/>
        <v xml:space="preserve"> </v>
      </c>
      <c r="N673" s="39" t="str">
        <f t="shared" si="32"/>
        <v xml:space="preserve"> </v>
      </c>
    </row>
    <row r="674" spans="1:14">
      <c r="A674" s="37">
        <f t="shared" si="30"/>
        <v>663</v>
      </c>
      <c r="G674" s="48" t="str">
        <f>IF(F674=""," ",IF(ISNA(VLOOKUP(D674,'[2]stock-take'!$A:$E,4,FALSE)), "OUT OF STOCK", VLOOKUP(D674,'[2]stock-take'!$A:$E,4,FALSE)))</f>
        <v xml:space="preserve"> </v>
      </c>
      <c r="H674" s="48">
        <f>IF(ISNA(VLOOKUP(D674,'[2]stock-take'!$A:$E,3,FALSE)), 0, VLOOKUP(D674,'[2]stock-take'!$A:$E,3,FALSE))</f>
        <v>0</v>
      </c>
      <c r="I674" s="48" t="str">
        <f>IF(F674="", " ",IF(ISNA(VLOOKUP(D674,'[2]stock-take'!$G:$K,4,FALSE)), "OUT OF STOCK", VLOOKUP(D674,'[2]stock-take'!$G:$K,4,FALSE)))</f>
        <v xml:space="preserve"> </v>
      </c>
      <c r="J674" s="39">
        <f>IF(ISNA(VLOOKUP(D674,'[2]stock-take'!$G:$K,3,FALSE)), 0, VLOOKUP(D674,'[2]stock-take'!$G:$K,3,FALSE))</f>
        <v>0</v>
      </c>
      <c r="K674" s="49" t="str">
        <f>IF(F674="", " ", IF(ISNA(VLOOKUP(D674,'[2]stock-take'!$M:$Q,4,FALSE)), "OUT OF STOCK", VLOOKUP(D674,'[2]stock-take'!$M:$Q,4,FALSE)))</f>
        <v xml:space="preserve"> </v>
      </c>
      <c r="L674" s="47">
        <f>IF(ISNA(VLOOKUP(D674,'[2]stock-take'!$M:$Q,3,FALSE)), 0, VLOOKUP(D674,'[2]stock-take'!$M:$Q,3,FALSE))</f>
        <v>0</v>
      </c>
      <c r="M674" s="48" t="str">
        <f t="shared" si="31"/>
        <v xml:space="preserve"> </v>
      </c>
      <c r="N674" s="39" t="str">
        <f t="shared" si="32"/>
        <v xml:space="preserve"> </v>
      </c>
    </row>
    <row r="675" spans="1:14">
      <c r="A675" s="37">
        <f t="shared" si="30"/>
        <v>664</v>
      </c>
      <c r="G675" s="48" t="str">
        <f>IF(F675=""," ",IF(ISNA(VLOOKUP(D675,'[2]stock-take'!$A:$E,4,FALSE)), "OUT OF STOCK", VLOOKUP(D675,'[2]stock-take'!$A:$E,4,FALSE)))</f>
        <v xml:space="preserve"> </v>
      </c>
      <c r="H675" s="48">
        <f>IF(ISNA(VLOOKUP(D675,'[2]stock-take'!$A:$E,3,FALSE)), 0, VLOOKUP(D675,'[2]stock-take'!$A:$E,3,FALSE))</f>
        <v>0</v>
      </c>
      <c r="I675" s="48" t="str">
        <f>IF(F675="", " ",IF(ISNA(VLOOKUP(D675,'[2]stock-take'!$G:$K,4,FALSE)), "OUT OF STOCK", VLOOKUP(D675,'[2]stock-take'!$G:$K,4,FALSE)))</f>
        <v xml:space="preserve"> </v>
      </c>
      <c r="J675" s="39">
        <f>IF(ISNA(VLOOKUP(D675,'[2]stock-take'!$G:$K,3,FALSE)), 0, VLOOKUP(D675,'[2]stock-take'!$G:$K,3,FALSE))</f>
        <v>0</v>
      </c>
      <c r="K675" s="49" t="str">
        <f>IF(F675="", " ", IF(ISNA(VLOOKUP(D675,'[2]stock-take'!$M:$Q,4,FALSE)), "OUT OF STOCK", VLOOKUP(D675,'[2]stock-take'!$M:$Q,4,FALSE)))</f>
        <v xml:space="preserve"> </v>
      </c>
      <c r="L675" s="47">
        <f>IF(ISNA(VLOOKUP(D675,'[2]stock-take'!$M:$Q,3,FALSE)), 0, VLOOKUP(D675,'[2]stock-take'!$M:$Q,3,FALSE))</f>
        <v>0</v>
      </c>
      <c r="M675" s="48" t="str">
        <f t="shared" si="31"/>
        <v xml:space="preserve"> </v>
      </c>
      <c r="N675" s="39" t="str">
        <f t="shared" si="32"/>
        <v xml:space="preserve"> </v>
      </c>
    </row>
    <row r="676" spans="1:14">
      <c r="A676" s="37">
        <f t="shared" si="30"/>
        <v>665</v>
      </c>
      <c r="G676" s="48" t="str">
        <f>IF(F676=""," ",IF(ISNA(VLOOKUP(D676,'[2]stock-take'!$A:$E,4,FALSE)), "OUT OF STOCK", VLOOKUP(D676,'[2]stock-take'!$A:$E,4,FALSE)))</f>
        <v xml:space="preserve"> </v>
      </c>
      <c r="H676" s="48">
        <f>IF(ISNA(VLOOKUP(D676,'[2]stock-take'!$A:$E,3,FALSE)), 0, VLOOKUP(D676,'[2]stock-take'!$A:$E,3,FALSE))</f>
        <v>0</v>
      </c>
      <c r="I676" s="48" t="str">
        <f>IF(F676="", " ",IF(ISNA(VLOOKUP(D676,'[2]stock-take'!$G:$K,4,FALSE)), "OUT OF STOCK", VLOOKUP(D676,'[2]stock-take'!$G:$K,4,FALSE)))</f>
        <v xml:space="preserve"> </v>
      </c>
      <c r="J676" s="39">
        <f>IF(ISNA(VLOOKUP(D676,'[2]stock-take'!$G:$K,3,FALSE)), 0, VLOOKUP(D676,'[2]stock-take'!$G:$K,3,FALSE))</f>
        <v>0</v>
      </c>
      <c r="K676" s="49" t="str">
        <f>IF(F676="", " ", IF(ISNA(VLOOKUP(D676,'[2]stock-take'!$M:$Q,4,FALSE)), "OUT OF STOCK", VLOOKUP(D676,'[2]stock-take'!$M:$Q,4,FALSE)))</f>
        <v xml:space="preserve"> </v>
      </c>
      <c r="L676" s="47">
        <f>IF(ISNA(VLOOKUP(D676,'[2]stock-take'!$M:$Q,3,FALSE)), 0, VLOOKUP(D676,'[2]stock-take'!$M:$Q,3,FALSE))</f>
        <v>0</v>
      </c>
      <c r="M676" s="48" t="str">
        <f t="shared" si="31"/>
        <v xml:space="preserve"> </v>
      </c>
      <c r="N676" s="39" t="str">
        <f t="shared" si="32"/>
        <v xml:space="preserve"> </v>
      </c>
    </row>
    <row r="677" spans="1:14">
      <c r="A677" s="37">
        <f t="shared" si="30"/>
        <v>666</v>
      </c>
      <c r="G677" s="48" t="str">
        <f>IF(F677=""," ",IF(ISNA(VLOOKUP(D677,'[2]stock-take'!$A:$E,4,FALSE)), "OUT OF STOCK", VLOOKUP(D677,'[2]stock-take'!$A:$E,4,FALSE)))</f>
        <v xml:space="preserve"> </v>
      </c>
      <c r="H677" s="48">
        <f>IF(ISNA(VLOOKUP(D677,'[2]stock-take'!$A:$E,3,FALSE)), 0, VLOOKUP(D677,'[2]stock-take'!$A:$E,3,FALSE))</f>
        <v>0</v>
      </c>
      <c r="I677" s="48" t="str">
        <f>IF(F677="", " ",IF(ISNA(VLOOKUP(D677,'[2]stock-take'!$G:$K,4,FALSE)), "OUT OF STOCK", VLOOKUP(D677,'[2]stock-take'!$G:$K,4,FALSE)))</f>
        <v xml:space="preserve"> </v>
      </c>
      <c r="J677" s="39">
        <f>IF(ISNA(VLOOKUP(D677,'[2]stock-take'!$G:$K,3,FALSE)), 0, VLOOKUP(D677,'[2]stock-take'!$G:$K,3,FALSE))</f>
        <v>0</v>
      </c>
      <c r="K677" s="49" t="str">
        <f>IF(F677="", " ", IF(ISNA(VLOOKUP(D677,'[2]stock-take'!$M:$Q,4,FALSE)), "OUT OF STOCK", VLOOKUP(D677,'[2]stock-take'!$M:$Q,4,FALSE)))</f>
        <v xml:space="preserve"> </v>
      </c>
      <c r="L677" s="47">
        <f>IF(ISNA(VLOOKUP(D677,'[2]stock-take'!$M:$Q,3,FALSE)), 0, VLOOKUP(D677,'[2]stock-take'!$M:$Q,3,FALSE))</f>
        <v>0</v>
      </c>
      <c r="M677" s="48" t="str">
        <f t="shared" si="31"/>
        <v xml:space="preserve"> </v>
      </c>
      <c r="N677" s="39" t="str">
        <f t="shared" si="32"/>
        <v xml:space="preserve"> </v>
      </c>
    </row>
    <row r="678" spans="1:14">
      <c r="A678" s="37">
        <f t="shared" si="30"/>
        <v>667</v>
      </c>
      <c r="G678" s="48" t="str">
        <f>IF(F678=""," ",IF(ISNA(VLOOKUP(D678,'[2]stock-take'!$A:$E,4,FALSE)), "OUT OF STOCK", VLOOKUP(D678,'[2]stock-take'!$A:$E,4,FALSE)))</f>
        <v xml:space="preserve"> </v>
      </c>
      <c r="H678" s="48">
        <f>IF(ISNA(VLOOKUP(D678,'[2]stock-take'!$A:$E,3,FALSE)), 0, VLOOKUP(D678,'[2]stock-take'!$A:$E,3,FALSE))</f>
        <v>0</v>
      </c>
      <c r="I678" s="48" t="str">
        <f>IF(F678="", " ",IF(ISNA(VLOOKUP(D678,'[2]stock-take'!$G:$K,4,FALSE)), "OUT OF STOCK", VLOOKUP(D678,'[2]stock-take'!$G:$K,4,FALSE)))</f>
        <v xml:space="preserve"> </v>
      </c>
      <c r="J678" s="39">
        <f>IF(ISNA(VLOOKUP(D678,'[2]stock-take'!$G:$K,3,FALSE)), 0, VLOOKUP(D678,'[2]stock-take'!$G:$K,3,FALSE))</f>
        <v>0</v>
      </c>
      <c r="K678" s="49" t="str">
        <f>IF(F678="", " ", IF(ISNA(VLOOKUP(D678,'[2]stock-take'!$M:$Q,4,FALSE)), "OUT OF STOCK", VLOOKUP(D678,'[2]stock-take'!$M:$Q,4,FALSE)))</f>
        <v xml:space="preserve"> </v>
      </c>
      <c r="L678" s="47">
        <f>IF(ISNA(VLOOKUP(D678,'[2]stock-take'!$M:$Q,3,FALSE)), 0, VLOOKUP(D678,'[2]stock-take'!$M:$Q,3,FALSE))</f>
        <v>0</v>
      </c>
      <c r="M678" s="48" t="str">
        <f t="shared" si="31"/>
        <v xml:space="preserve"> </v>
      </c>
      <c r="N678" s="39" t="str">
        <f t="shared" si="32"/>
        <v xml:space="preserve"> </v>
      </c>
    </row>
    <row r="679" spans="1:14">
      <c r="A679" s="37">
        <f t="shared" si="30"/>
        <v>668</v>
      </c>
      <c r="G679" s="48" t="str">
        <f>IF(F679=""," ",IF(ISNA(VLOOKUP(D679,'[2]stock-take'!$A:$E,4,FALSE)), "OUT OF STOCK", VLOOKUP(D679,'[2]stock-take'!$A:$E,4,FALSE)))</f>
        <v xml:space="preserve"> </v>
      </c>
      <c r="H679" s="48">
        <f>IF(ISNA(VLOOKUP(D679,'[2]stock-take'!$A:$E,3,FALSE)), 0, VLOOKUP(D679,'[2]stock-take'!$A:$E,3,FALSE))</f>
        <v>0</v>
      </c>
      <c r="I679" s="48" t="str">
        <f>IF(F679="", " ",IF(ISNA(VLOOKUP(D679,'[2]stock-take'!$G:$K,4,FALSE)), "OUT OF STOCK", VLOOKUP(D679,'[2]stock-take'!$G:$K,4,FALSE)))</f>
        <v xml:space="preserve"> </v>
      </c>
      <c r="J679" s="39">
        <f>IF(ISNA(VLOOKUP(D679,'[2]stock-take'!$G:$K,3,FALSE)), 0, VLOOKUP(D679,'[2]stock-take'!$G:$K,3,FALSE))</f>
        <v>0</v>
      </c>
      <c r="K679" s="49" t="str">
        <f>IF(F679="", " ", IF(ISNA(VLOOKUP(D679,'[2]stock-take'!$M:$Q,4,FALSE)), "OUT OF STOCK", VLOOKUP(D679,'[2]stock-take'!$M:$Q,4,FALSE)))</f>
        <v xml:space="preserve"> </v>
      </c>
      <c r="L679" s="47">
        <f>IF(ISNA(VLOOKUP(D679,'[2]stock-take'!$M:$Q,3,FALSE)), 0, VLOOKUP(D679,'[2]stock-take'!$M:$Q,3,FALSE))</f>
        <v>0</v>
      </c>
      <c r="M679" s="48" t="str">
        <f t="shared" si="31"/>
        <v xml:space="preserve"> </v>
      </c>
      <c r="N679" s="39" t="str">
        <f t="shared" si="32"/>
        <v xml:space="preserve"> </v>
      </c>
    </row>
    <row r="680" spans="1:14">
      <c r="A680" s="37">
        <f t="shared" si="30"/>
        <v>669</v>
      </c>
      <c r="G680" s="48" t="str">
        <f>IF(F680=""," ",IF(ISNA(VLOOKUP(D680,'[2]stock-take'!$A:$E,4,FALSE)), "OUT OF STOCK", VLOOKUP(D680,'[2]stock-take'!$A:$E,4,FALSE)))</f>
        <v xml:space="preserve"> </v>
      </c>
      <c r="H680" s="48">
        <f>IF(ISNA(VLOOKUP(D680,'[2]stock-take'!$A:$E,3,FALSE)), 0, VLOOKUP(D680,'[2]stock-take'!$A:$E,3,FALSE))</f>
        <v>0</v>
      </c>
      <c r="I680" s="48" t="str">
        <f>IF(F680="", " ",IF(ISNA(VLOOKUP(D680,'[2]stock-take'!$G:$K,4,FALSE)), "OUT OF STOCK", VLOOKUP(D680,'[2]stock-take'!$G:$K,4,FALSE)))</f>
        <v xml:space="preserve"> </v>
      </c>
      <c r="J680" s="39">
        <f>IF(ISNA(VLOOKUP(D680,'[2]stock-take'!$G:$K,3,FALSE)), 0, VLOOKUP(D680,'[2]stock-take'!$G:$K,3,FALSE))</f>
        <v>0</v>
      </c>
      <c r="K680" s="49" t="str">
        <f>IF(F680="", " ", IF(ISNA(VLOOKUP(D680,'[2]stock-take'!$M:$Q,4,FALSE)), "OUT OF STOCK", VLOOKUP(D680,'[2]stock-take'!$M:$Q,4,FALSE)))</f>
        <v xml:space="preserve"> </v>
      </c>
      <c r="L680" s="47">
        <f>IF(ISNA(VLOOKUP(D680,'[2]stock-take'!$M:$Q,3,FALSE)), 0, VLOOKUP(D680,'[2]stock-take'!$M:$Q,3,FALSE))</f>
        <v>0</v>
      </c>
      <c r="M680" s="48" t="str">
        <f t="shared" si="31"/>
        <v xml:space="preserve"> </v>
      </c>
      <c r="N680" s="39" t="str">
        <f t="shared" si="32"/>
        <v xml:space="preserve"> </v>
      </c>
    </row>
    <row r="681" spans="1:14">
      <c r="A681" s="37">
        <f t="shared" si="30"/>
        <v>670</v>
      </c>
      <c r="G681" s="48" t="str">
        <f>IF(F681=""," ",IF(ISNA(VLOOKUP(D681,'[2]stock-take'!$A:$E,4,FALSE)), "OUT OF STOCK", VLOOKUP(D681,'[2]stock-take'!$A:$E,4,FALSE)))</f>
        <v xml:space="preserve"> </v>
      </c>
      <c r="H681" s="48">
        <f>IF(ISNA(VLOOKUP(D681,'[2]stock-take'!$A:$E,3,FALSE)), 0, VLOOKUP(D681,'[2]stock-take'!$A:$E,3,FALSE))</f>
        <v>0</v>
      </c>
      <c r="I681" s="48" t="str">
        <f>IF(F681="", " ",IF(ISNA(VLOOKUP(D681,'[2]stock-take'!$G:$K,4,FALSE)), "OUT OF STOCK", VLOOKUP(D681,'[2]stock-take'!$G:$K,4,FALSE)))</f>
        <v xml:space="preserve"> </v>
      </c>
      <c r="J681" s="39">
        <f>IF(ISNA(VLOOKUP(D681,'[2]stock-take'!$G:$K,3,FALSE)), 0, VLOOKUP(D681,'[2]stock-take'!$G:$K,3,FALSE))</f>
        <v>0</v>
      </c>
      <c r="K681" s="49" t="str">
        <f>IF(F681="", " ", IF(ISNA(VLOOKUP(D681,'[2]stock-take'!$M:$Q,4,FALSE)), "OUT OF STOCK", VLOOKUP(D681,'[2]stock-take'!$M:$Q,4,FALSE)))</f>
        <v xml:space="preserve"> </v>
      </c>
      <c r="L681" s="47">
        <f>IF(ISNA(VLOOKUP(D681,'[2]stock-take'!$M:$Q,3,FALSE)), 0, VLOOKUP(D681,'[2]stock-take'!$M:$Q,3,FALSE))</f>
        <v>0</v>
      </c>
      <c r="M681" s="48" t="str">
        <f t="shared" si="31"/>
        <v xml:space="preserve"> </v>
      </c>
      <c r="N681" s="39" t="str">
        <f t="shared" si="32"/>
        <v xml:space="preserve"> </v>
      </c>
    </row>
    <row r="682" spans="1:14">
      <c r="A682" s="37">
        <f t="shared" si="30"/>
        <v>671</v>
      </c>
      <c r="G682" s="48" t="str">
        <f>IF(F682=""," ",IF(ISNA(VLOOKUP(D682,'[2]stock-take'!$A:$E,4,FALSE)), "OUT OF STOCK", VLOOKUP(D682,'[2]stock-take'!$A:$E,4,FALSE)))</f>
        <v xml:space="preserve"> </v>
      </c>
      <c r="H682" s="48">
        <f>IF(ISNA(VLOOKUP(D682,'[2]stock-take'!$A:$E,3,FALSE)), 0, VLOOKUP(D682,'[2]stock-take'!$A:$E,3,FALSE))</f>
        <v>0</v>
      </c>
      <c r="I682" s="48" t="str">
        <f>IF(F682="", " ",IF(ISNA(VLOOKUP(D682,'[2]stock-take'!$G:$K,4,FALSE)), "OUT OF STOCK", VLOOKUP(D682,'[2]stock-take'!$G:$K,4,FALSE)))</f>
        <v xml:space="preserve"> </v>
      </c>
      <c r="J682" s="39">
        <f>IF(ISNA(VLOOKUP(D682,'[2]stock-take'!$G:$K,3,FALSE)), 0, VLOOKUP(D682,'[2]stock-take'!$G:$K,3,FALSE))</f>
        <v>0</v>
      </c>
      <c r="K682" s="49" t="str">
        <f>IF(F682="", " ", IF(ISNA(VLOOKUP(D682,'[2]stock-take'!$M:$Q,4,FALSE)), "OUT OF STOCK", VLOOKUP(D682,'[2]stock-take'!$M:$Q,4,FALSE)))</f>
        <v xml:space="preserve"> </v>
      </c>
      <c r="L682" s="47">
        <f>IF(ISNA(VLOOKUP(D682,'[2]stock-take'!$M:$Q,3,FALSE)), 0, VLOOKUP(D682,'[2]stock-take'!$M:$Q,3,FALSE))</f>
        <v>0</v>
      </c>
      <c r="M682" s="48" t="str">
        <f t="shared" si="31"/>
        <v xml:space="preserve"> </v>
      </c>
      <c r="N682" s="39" t="str">
        <f t="shared" si="32"/>
        <v xml:space="preserve"> </v>
      </c>
    </row>
    <row r="683" spans="1:14">
      <c r="A683" s="37">
        <f t="shared" si="30"/>
        <v>672</v>
      </c>
      <c r="G683" s="48" t="str">
        <f>IF(F683=""," ",IF(ISNA(VLOOKUP(D683,'[2]stock-take'!$A:$E,4,FALSE)), "OUT OF STOCK", VLOOKUP(D683,'[2]stock-take'!$A:$E,4,FALSE)))</f>
        <v xml:space="preserve"> </v>
      </c>
      <c r="H683" s="48">
        <f>IF(ISNA(VLOOKUP(D683,'[2]stock-take'!$A:$E,3,FALSE)), 0, VLOOKUP(D683,'[2]stock-take'!$A:$E,3,FALSE))</f>
        <v>0</v>
      </c>
      <c r="I683" s="48" t="str">
        <f>IF(F683="", " ",IF(ISNA(VLOOKUP(D683,'[2]stock-take'!$G:$K,4,FALSE)), "OUT OF STOCK", VLOOKUP(D683,'[2]stock-take'!$G:$K,4,FALSE)))</f>
        <v xml:space="preserve"> </v>
      </c>
      <c r="J683" s="39">
        <f>IF(ISNA(VLOOKUP(D683,'[2]stock-take'!$G:$K,3,FALSE)), 0, VLOOKUP(D683,'[2]stock-take'!$G:$K,3,FALSE))</f>
        <v>0</v>
      </c>
      <c r="K683" s="49" t="str">
        <f>IF(F683="", " ", IF(ISNA(VLOOKUP(D683,'[2]stock-take'!$M:$Q,4,FALSE)), "OUT OF STOCK", VLOOKUP(D683,'[2]stock-take'!$M:$Q,4,FALSE)))</f>
        <v xml:space="preserve"> </v>
      </c>
      <c r="L683" s="47">
        <f>IF(ISNA(VLOOKUP(D683,'[2]stock-take'!$M:$Q,3,FALSE)), 0, VLOOKUP(D683,'[2]stock-take'!$M:$Q,3,FALSE))</f>
        <v>0</v>
      </c>
      <c r="M683" s="48" t="str">
        <f t="shared" si="31"/>
        <v xml:space="preserve"> </v>
      </c>
      <c r="N683" s="39" t="str">
        <f t="shared" si="32"/>
        <v xml:space="preserve"> </v>
      </c>
    </row>
    <row r="684" spans="1:14">
      <c r="A684" s="37">
        <f t="shared" si="30"/>
        <v>673</v>
      </c>
      <c r="G684" s="48" t="str">
        <f>IF(F684=""," ",IF(ISNA(VLOOKUP(D684,'[2]stock-take'!$A:$E,4,FALSE)), "OUT OF STOCK", VLOOKUP(D684,'[2]stock-take'!$A:$E,4,FALSE)))</f>
        <v xml:space="preserve"> </v>
      </c>
      <c r="H684" s="48">
        <f>IF(ISNA(VLOOKUP(D684,'[2]stock-take'!$A:$E,3,FALSE)), 0, VLOOKUP(D684,'[2]stock-take'!$A:$E,3,FALSE))</f>
        <v>0</v>
      </c>
      <c r="I684" s="48" t="str">
        <f>IF(F684="", " ",IF(ISNA(VLOOKUP(D684,'[2]stock-take'!$G:$K,4,FALSE)), "OUT OF STOCK", VLOOKUP(D684,'[2]stock-take'!$G:$K,4,FALSE)))</f>
        <v xml:space="preserve"> </v>
      </c>
      <c r="J684" s="39">
        <f>IF(ISNA(VLOOKUP(D684,'[2]stock-take'!$G:$K,3,FALSE)), 0, VLOOKUP(D684,'[2]stock-take'!$G:$K,3,FALSE))</f>
        <v>0</v>
      </c>
      <c r="K684" s="49" t="str">
        <f>IF(F684="", " ", IF(ISNA(VLOOKUP(D684,'[2]stock-take'!$M:$Q,4,FALSE)), "OUT OF STOCK", VLOOKUP(D684,'[2]stock-take'!$M:$Q,4,FALSE)))</f>
        <v xml:space="preserve"> </v>
      </c>
      <c r="L684" s="47">
        <f>IF(ISNA(VLOOKUP(D684,'[2]stock-take'!$M:$Q,3,FALSE)), 0, VLOOKUP(D684,'[2]stock-take'!$M:$Q,3,FALSE))</f>
        <v>0</v>
      </c>
      <c r="M684" s="48" t="str">
        <f t="shared" si="31"/>
        <v xml:space="preserve"> </v>
      </c>
      <c r="N684" s="39" t="str">
        <f t="shared" si="32"/>
        <v xml:space="preserve"> </v>
      </c>
    </row>
    <row r="685" spans="1:14">
      <c r="A685" s="37">
        <f t="shared" si="30"/>
        <v>674</v>
      </c>
      <c r="G685" s="48" t="str">
        <f>IF(F685=""," ",IF(ISNA(VLOOKUP(D685,'[2]stock-take'!$A:$E,4,FALSE)), "OUT OF STOCK", VLOOKUP(D685,'[2]stock-take'!$A:$E,4,FALSE)))</f>
        <v xml:space="preserve"> </v>
      </c>
      <c r="H685" s="48">
        <f>IF(ISNA(VLOOKUP(D685,'[2]stock-take'!$A:$E,3,FALSE)), 0, VLOOKUP(D685,'[2]stock-take'!$A:$E,3,FALSE))</f>
        <v>0</v>
      </c>
      <c r="I685" s="48" t="str">
        <f>IF(F685="", " ",IF(ISNA(VLOOKUP(D685,'[2]stock-take'!$G:$K,4,FALSE)), "OUT OF STOCK", VLOOKUP(D685,'[2]stock-take'!$G:$K,4,FALSE)))</f>
        <v xml:space="preserve"> </v>
      </c>
      <c r="J685" s="39">
        <f>IF(ISNA(VLOOKUP(D685,'[2]stock-take'!$G:$K,3,FALSE)), 0, VLOOKUP(D685,'[2]stock-take'!$G:$K,3,FALSE))</f>
        <v>0</v>
      </c>
      <c r="K685" s="49" t="str">
        <f>IF(F685="", " ", IF(ISNA(VLOOKUP(D685,'[2]stock-take'!$M:$Q,4,FALSE)), "OUT OF STOCK", VLOOKUP(D685,'[2]stock-take'!$M:$Q,4,FALSE)))</f>
        <v xml:space="preserve"> </v>
      </c>
      <c r="L685" s="47">
        <f>IF(ISNA(VLOOKUP(D685,'[2]stock-take'!$M:$Q,3,FALSE)), 0, VLOOKUP(D685,'[2]stock-take'!$M:$Q,3,FALSE))</f>
        <v>0</v>
      </c>
      <c r="M685" s="48" t="str">
        <f t="shared" si="31"/>
        <v xml:space="preserve"> </v>
      </c>
      <c r="N685" s="39" t="str">
        <f t="shared" si="32"/>
        <v xml:space="preserve"> </v>
      </c>
    </row>
    <row r="686" spans="1:14">
      <c r="A686" s="37">
        <f t="shared" si="30"/>
        <v>675</v>
      </c>
      <c r="G686" s="48" t="str">
        <f>IF(F686=""," ",IF(ISNA(VLOOKUP(D686,'[2]stock-take'!$A:$E,4,FALSE)), "OUT OF STOCK", VLOOKUP(D686,'[2]stock-take'!$A:$E,4,FALSE)))</f>
        <v xml:space="preserve"> </v>
      </c>
      <c r="H686" s="48">
        <f>IF(ISNA(VLOOKUP(D686,'[2]stock-take'!$A:$E,3,FALSE)), 0, VLOOKUP(D686,'[2]stock-take'!$A:$E,3,FALSE))</f>
        <v>0</v>
      </c>
      <c r="I686" s="48" t="str">
        <f>IF(F686="", " ",IF(ISNA(VLOOKUP(D686,'[2]stock-take'!$G:$K,4,FALSE)), "OUT OF STOCK", VLOOKUP(D686,'[2]stock-take'!$G:$K,4,FALSE)))</f>
        <v xml:space="preserve"> </v>
      </c>
      <c r="J686" s="39">
        <f>IF(ISNA(VLOOKUP(D686,'[2]stock-take'!$G:$K,3,FALSE)), 0, VLOOKUP(D686,'[2]stock-take'!$G:$K,3,FALSE))</f>
        <v>0</v>
      </c>
      <c r="K686" s="49" t="str">
        <f>IF(F686="", " ", IF(ISNA(VLOOKUP(D686,'[2]stock-take'!$M:$Q,4,FALSE)), "OUT OF STOCK", VLOOKUP(D686,'[2]stock-take'!$M:$Q,4,FALSE)))</f>
        <v xml:space="preserve"> </v>
      </c>
      <c r="L686" s="47">
        <f>IF(ISNA(VLOOKUP(D686,'[2]stock-take'!$M:$Q,3,FALSE)), 0, VLOOKUP(D686,'[2]stock-take'!$M:$Q,3,FALSE))</f>
        <v>0</v>
      </c>
      <c r="M686" s="48" t="str">
        <f t="shared" si="31"/>
        <v xml:space="preserve"> </v>
      </c>
      <c r="N686" s="39" t="str">
        <f t="shared" si="32"/>
        <v xml:space="preserve"> </v>
      </c>
    </row>
    <row r="687" spans="1:14">
      <c r="A687" s="37">
        <f t="shared" si="30"/>
        <v>676</v>
      </c>
      <c r="G687" s="48" t="str">
        <f>IF(F687=""," ",IF(ISNA(VLOOKUP(D687,'[2]stock-take'!$A:$E,4,FALSE)), "OUT OF STOCK", VLOOKUP(D687,'[2]stock-take'!$A:$E,4,FALSE)))</f>
        <v xml:space="preserve"> </v>
      </c>
      <c r="H687" s="48">
        <f>IF(ISNA(VLOOKUP(D687,'[2]stock-take'!$A:$E,3,FALSE)), 0, VLOOKUP(D687,'[2]stock-take'!$A:$E,3,FALSE))</f>
        <v>0</v>
      </c>
      <c r="I687" s="48" t="str">
        <f>IF(F687="", " ",IF(ISNA(VLOOKUP(D687,'[2]stock-take'!$G:$K,4,FALSE)), "OUT OF STOCK", VLOOKUP(D687,'[2]stock-take'!$G:$K,4,FALSE)))</f>
        <v xml:space="preserve"> </v>
      </c>
      <c r="J687" s="39">
        <f>IF(ISNA(VLOOKUP(D687,'[2]stock-take'!$G:$K,3,FALSE)), 0, VLOOKUP(D687,'[2]stock-take'!$G:$K,3,FALSE))</f>
        <v>0</v>
      </c>
      <c r="K687" s="49" t="str">
        <f>IF(F687="", " ", IF(ISNA(VLOOKUP(D687,'[2]stock-take'!$M:$Q,4,FALSE)), "OUT OF STOCK", VLOOKUP(D687,'[2]stock-take'!$M:$Q,4,FALSE)))</f>
        <v xml:space="preserve"> </v>
      </c>
      <c r="L687" s="47">
        <f>IF(ISNA(VLOOKUP(D687,'[2]stock-take'!$M:$Q,3,FALSE)), 0, VLOOKUP(D687,'[2]stock-take'!$M:$Q,3,FALSE))</f>
        <v>0</v>
      </c>
      <c r="M687" s="48" t="str">
        <f t="shared" si="31"/>
        <v xml:space="preserve"> </v>
      </c>
      <c r="N687" s="39" t="str">
        <f t="shared" si="32"/>
        <v xml:space="preserve"> </v>
      </c>
    </row>
    <row r="688" spans="1:14">
      <c r="A688" s="37">
        <f t="shared" si="30"/>
        <v>677</v>
      </c>
      <c r="G688" s="48" t="str">
        <f>IF(F688=""," ",IF(ISNA(VLOOKUP(D688,'[2]stock-take'!$A:$E,4,FALSE)), "OUT OF STOCK", VLOOKUP(D688,'[2]stock-take'!$A:$E,4,FALSE)))</f>
        <v xml:space="preserve"> </v>
      </c>
      <c r="H688" s="48">
        <f>IF(ISNA(VLOOKUP(D688,'[2]stock-take'!$A:$E,3,FALSE)), 0, VLOOKUP(D688,'[2]stock-take'!$A:$E,3,FALSE))</f>
        <v>0</v>
      </c>
      <c r="I688" s="48" t="str">
        <f>IF(F688="", " ",IF(ISNA(VLOOKUP(D688,'[2]stock-take'!$G:$K,4,FALSE)), "OUT OF STOCK", VLOOKUP(D688,'[2]stock-take'!$G:$K,4,FALSE)))</f>
        <v xml:space="preserve"> </v>
      </c>
      <c r="J688" s="39">
        <f>IF(ISNA(VLOOKUP(D688,'[2]stock-take'!$G:$K,3,FALSE)), 0, VLOOKUP(D688,'[2]stock-take'!$G:$K,3,FALSE))</f>
        <v>0</v>
      </c>
      <c r="K688" s="49" t="str">
        <f>IF(F688="", " ", IF(ISNA(VLOOKUP(D688,'[2]stock-take'!$M:$Q,4,FALSE)), "OUT OF STOCK", VLOOKUP(D688,'[2]stock-take'!$M:$Q,4,FALSE)))</f>
        <v xml:space="preserve"> </v>
      </c>
      <c r="L688" s="47">
        <f>IF(ISNA(VLOOKUP(D688,'[2]stock-take'!$M:$Q,3,FALSE)), 0, VLOOKUP(D688,'[2]stock-take'!$M:$Q,3,FALSE))</f>
        <v>0</v>
      </c>
      <c r="M688" s="48" t="str">
        <f t="shared" si="31"/>
        <v xml:space="preserve"> </v>
      </c>
      <c r="N688" s="39" t="str">
        <f t="shared" si="32"/>
        <v xml:space="preserve"> </v>
      </c>
    </row>
    <row r="689" spans="1:14">
      <c r="A689" s="37">
        <f t="shared" si="30"/>
        <v>678</v>
      </c>
      <c r="G689" s="48" t="str">
        <f>IF(F689=""," ",IF(ISNA(VLOOKUP(D689,'[2]stock-take'!$A:$E,4,FALSE)), "OUT OF STOCK", VLOOKUP(D689,'[2]stock-take'!$A:$E,4,FALSE)))</f>
        <v xml:space="preserve"> </v>
      </c>
      <c r="H689" s="48">
        <f>IF(ISNA(VLOOKUP(D689,'[2]stock-take'!$A:$E,3,FALSE)), 0, VLOOKUP(D689,'[2]stock-take'!$A:$E,3,FALSE))</f>
        <v>0</v>
      </c>
      <c r="I689" s="48" t="str">
        <f>IF(F689="", " ",IF(ISNA(VLOOKUP(D689,'[2]stock-take'!$G:$K,4,FALSE)), "OUT OF STOCK", VLOOKUP(D689,'[2]stock-take'!$G:$K,4,FALSE)))</f>
        <v xml:space="preserve"> </v>
      </c>
      <c r="J689" s="39">
        <f>IF(ISNA(VLOOKUP(D689,'[2]stock-take'!$G:$K,3,FALSE)), 0, VLOOKUP(D689,'[2]stock-take'!$G:$K,3,FALSE))</f>
        <v>0</v>
      </c>
      <c r="K689" s="49" t="str">
        <f>IF(F689="", " ", IF(ISNA(VLOOKUP(D689,'[2]stock-take'!$M:$Q,4,FALSE)), "OUT OF STOCK", VLOOKUP(D689,'[2]stock-take'!$M:$Q,4,FALSE)))</f>
        <v xml:space="preserve"> </v>
      </c>
      <c r="L689" s="47">
        <f>IF(ISNA(VLOOKUP(D689,'[2]stock-take'!$M:$Q,3,FALSE)), 0, VLOOKUP(D689,'[2]stock-take'!$M:$Q,3,FALSE))</f>
        <v>0</v>
      </c>
      <c r="M689" s="48" t="str">
        <f t="shared" si="31"/>
        <v xml:space="preserve"> </v>
      </c>
      <c r="N689" s="39" t="str">
        <f t="shared" si="32"/>
        <v xml:space="preserve"> </v>
      </c>
    </row>
    <row r="690" spans="1:14">
      <c r="A690" s="37">
        <f t="shared" si="30"/>
        <v>679</v>
      </c>
      <c r="G690" s="48" t="str">
        <f>IF(F690=""," ",IF(ISNA(VLOOKUP(D690,'[2]stock-take'!$A:$E,4,FALSE)), "OUT OF STOCK", VLOOKUP(D690,'[2]stock-take'!$A:$E,4,FALSE)))</f>
        <v xml:space="preserve"> </v>
      </c>
      <c r="H690" s="48">
        <f>IF(ISNA(VLOOKUP(D690,'[2]stock-take'!$A:$E,3,FALSE)), 0, VLOOKUP(D690,'[2]stock-take'!$A:$E,3,FALSE))</f>
        <v>0</v>
      </c>
      <c r="I690" s="48" t="str">
        <f>IF(F690="", " ",IF(ISNA(VLOOKUP(D690,'[2]stock-take'!$G:$K,4,FALSE)), "OUT OF STOCK", VLOOKUP(D690,'[2]stock-take'!$G:$K,4,FALSE)))</f>
        <v xml:space="preserve"> </v>
      </c>
      <c r="J690" s="39">
        <f>IF(ISNA(VLOOKUP(D690,'[2]stock-take'!$G:$K,3,FALSE)), 0, VLOOKUP(D690,'[2]stock-take'!$G:$K,3,FALSE))</f>
        <v>0</v>
      </c>
      <c r="K690" s="49" t="str">
        <f>IF(F690="", " ", IF(ISNA(VLOOKUP(D690,'[2]stock-take'!$M:$Q,4,FALSE)), "OUT OF STOCK", VLOOKUP(D690,'[2]stock-take'!$M:$Q,4,FALSE)))</f>
        <v xml:space="preserve"> </v>
      </c>
      <c r="L690" s="47">
        <f>IF(ISNA(VLOOKUP(D690,'[2]stock-take'!$M:$Q,3,FALSE)), 0, VLOOKUP(D690,'[2]stock-take'!$M:$Q,3,FALSE))</f>
        <v>0</v>
      </c>
      <c r="M690" s="48" t="str">
        <f t="shared" si="31"/>
        <v xml:space="preserve"> </v>
      </c>
      <c r="N690" s="39" t="str">
        <f t="shared" si="32"/>
        <v xml:space="preserve"> </v>
      </c>
    </row>
    <row r="691" spans="1:14">
      <c r="A691" s="37">
        <f t="shared" si="30"/>
        <v>680</v>
      </c>
      <c r="G691" s="48" t="str">
        <f>IF(F691=""," ",IF(ISNA(VLOOKUP(D691,'[2]stock-take'!$A:$E,4,FALSE)), "OUT OF STOCK", VLOOKUP(D691,'[2]stock-take'!$A:$E,4,FALSE)))</f>
        <v xml:space="preserve"> </v>
      </c>
      <c r="H691" s="48">
        <f>IF(ISNA(VLOOKUP(D691,'[2]stock-take'!$A:$E,3,FALSE)), 0, VLOOKUP(D691,'[2]stock-take'!$A:$E,3,FALSE))</f>
        <v>0</v>
      </c>
      <c r="I691" s="48" t="str">
        <f>IF(F691="", " ",IF(ISNA(VLOOKUP(D691,'[2]stock-take'!$G:$K,4,FALSE)), "OUT OF STOCK", VLOOKUP(D691,'[2]stock-take'!$G:$K,4,FALSE)))</f>
        <v xml:space="preserve"> </v>
      </c>
      <c r="J691" s="39">
        <f>IF(ISNA(VLOOKUP(D691,'[2]stock-take'!$G:$K,3,FALSE)), 0, VLOOKUP(D691,'[2]stock-take'!$G:$K,3,FALSE))</f>
        <v>0</v>
      </c>
      <c r="K691" s="49" t="str">
        <f>IF(F691="", " ", IF(ISNA(VLOOKUP(D691,'[2]stock-take'!$M:$Q,4,FALSE)), "OUT OF STOCK", VLOOKUP(D691,'[2]stock-take'!$M:$Q,4,FALSE)))</f>
        <v xml:space="preserve"> </v>
      </c>
      <c r="L691" s="47">
        <f>IF(ISNA(VLOOKUP(D691,'[2]stock-take'!$M:$Q,3,FALSE)), 0, VLOOKUP(D691,'[2]stock-take'!$M:$Q,3,FALSE))</f>
        <v>0</v>
      </c>
      <c r="M691" s="48" t="str">
        <f t="shared" si="31"/>
        <v xml:space="preserve"> </v>
      </c>
      <c r="N691" s="39" t="str">
        <f t="shared" si="32"/>
        <v xml:space="preserve"> </v>
      </c>
    </row>
    <row r="692" spans="1:14">
      <c r="A692" s="37">
        <f t="shared" si="30"/>
        <v>681</v>
      </c>
      <c r="G692" s="48" t="str">
        <f>IF(F692=""," ",IF(ISNA(VLOOKUP(D692,'[2]stock-take'!$A:$E,4,FALSE)), "OUT OF STOCK", VLOOKUP(D692,'[2]stock-take'!$A:$E,4,FALSE)))</f>
        <v xml:space="preserve"> </v>
      </c>
      <c r="H692" s="48">
        <f>IF(ISNA(VLOOKUP(D692,'[2]stock-take'!$A:$E,3,FALSE)), 0, VLOOKUP(D692,'[2]stock-take'!$A:$E,3,FALSE))</f>
        <v>0</v>
      </c>
      <c r="I692" s="48" t="str">
        <f>IF(F692="", " ",IF(ISNA(VLOOKUP(D692,'[2]stock-take'!$G:$K,4,FALSE)), "OUT OF STOCK", VLOOKUP(D692,'[2]stock-take'!$G:$K,4,FALSE)))</f>
        <v xml:space="preserve"> </v>
      </c>
      <c r="J692" s="39">
        <f>IF(ISNA(VLOOKUP(D692,'[2]stock-take'!$G:$K,3,FALSE)), 0, VLOOKUP(D692,'[2]stock-take'!$G:$K,3,FALSE))</f>
        <v>0</v>
      </c>
      <c r="K692" s="49" t="str">
        <f>IF(F692="", " ", IF(ISNA(VLOOKUP(D692,'[2]stock-take'!$M:$Q,4,FALSE)), "OUT OF STOCK", VLOOKUP(D692,'[2]stock-take'!$M:$Q,4,FALSE)))</f>
        <v xml:space="preserve"> </v>
      </c>
      <c r="L692" s="47">
        <f>IF(ISNA(VLOOKUP(D692,'[2]stock-take'!$M:$Q,3,FALSE)), 0, VLOOKUP(D692,'[2]stock-take'!$M:$Q,3,FALSE))</f>
        <v>0</v>
      </c>
      <c r="M692" s="48" t="str">
        <f t="shared" si="31"/>
        <v xml:space="preserve"> </v>
      </c>
      <c r="N692" s="39" t="str">
        <f t="shared" si="32"/>
        <v xml:space="preserve"> </v>
      </c>
    </row>
    <row r="693" spans="1:14">
      <c r="A693" s="37">
        <f t="shared" si="30"/>
        <v>682</v>
      </c>
      <c r="G693" s="48" t="str">
        <f>IF(F693=""," ",IF(ISNA(VLOOKUP(D693,'[2]stock-take'!$A:$E,4,FALSE)), "OUT OF STOCK", VLOOKUP(D693,'[2]stock-take'!$A:$E,4,FALSE)))</f>
        <v xml:space="preserve"> </v>
      </c>
      <c r="H693" s="48">
        <f>IF(ISNA(VLOOKUP(D693,'[2]stock-take'!$A:$E,3,FALSE)), 0, VLOOKUP(D693,'[2]stock-take'!$A:$E,3,FALSE))</f>
        <v>0</v>
      </c>
      <c r="I693" s="48" t="str">
        <f>IF(F693="", " ",IF(ISNA(VLOOKUP(D693,'[2]stock-take'!$G:$K,4,FALSE)), "OUT OF STOCK", VLOOKUP(D693,'[2]stock-take'!$G:$K,4,FALSE)))</f>
        <v xml:space="preserve"> </v>
      </c>
      <c r="J693" s="39">
        <f>IF(ISNA(VLOOKUP(D693,'[2]stock-take'!$G:$K,3,FALSE)), 0, VLOOKUP(D693,'[2]stock-take'!$G:$K,3,FALSE))</f>
        <v>0</v>
      </c>
      <c r="K693" s="49" t="str">
        <f>IF(F693="", " ", IF(ISNA(VLOOKUP(D693,'[2]stock-take'!$M:$Q,4,FALSE)), "OUT OF STOCK", VLOOKUP(D693,'[2]stock-take'!$M:$Q,4,FALSE)))</f>
        <v xml:space="preserve"> </v>
      </c>
      <c r="L693" s="47">
        <f>IF(ISNA(VLOOKUP(D693,'[2]stock-take'!$M:$Q,3,FALSE)), 0, VLOOKUP(D693,'[2]stock-take'!$M:$Q,3,FALSE))</f>
        <v>0</v>
      </c>
      <c r="M693" s="48" t="str">
        <f t="shared" si="31"/>
        <v xml:space="preserve"> </v>
      </c>
      <c r="N693" s="39" t="str">
        <f t="shared" si="32"/>
        <v xml:space="preserve"> </v>
      </c>
    </row>
    <row r="694" spans="1:14">
      <c r="A694" s="37">
        <f t="shared" si="30"/>
        <v>683</v>
      </c>
      <c r="G694" s="48" t="str">
        <f>IF(F694=""," ",IF(ISNA(VLOOKUP(D694,'[2]stock-take'!$A:$E,4,FALSE)), "OUT OF STOCK", VLOOKUP(D694,'[2]stock-take'!$A:$E,4,FALSE)))</f>
        <v xml:space="preserve"> </v>
      </c>
      <c r="H694" s="48">
        <f>IF(ISNA(VLOOKUP(D694,'[2]stock-take'!$A:$E,3,FALSE)), 0, VLOOKUP(D694,'[2]stock-take'!$A:$E,3,FALSE))</f>
        <v>0</v>
      </c>
      <c r="I694" s="48" t="str">
        <f>IF(F694="", " ",IF(ISNA(VLOOKUP(D694,'[2]stock-take'!$G:$K,4,FALSE)), "OUT OF STOCK", VLOOKUP(D694,'[2]stock-take'!$G:$K,4,FALSE)))</f>
        <v xml:space="preserve"> </v>
      </c>
      <c r="J694" s="39">
        <f>IF(ISNA(VLOOKUP(D694,'[2]stock-take'!$G:$K,3,FALSE)), 0, VLOOKUP(D694,'[2]stock-take'!$G:$K,3,FALSE))</f>
        <v>0</v>
      </c>
      <c r="K694" s="49" t="str">
        <f>IF(F694="", " ", IF(ISNA(VLOOKUP(D694,'[2]stock-take'!$M:$Q,4,FALSE)), "OUT OF STOCK", VLOOKUP(D694,'[2]stock-take'!$M:$Q,4,FALSE)))</f>
        <v xml:space="preserve"> </v>
      </c>
      <c r="L694" s="47">
        <f>IF(ISNA(VLOOKUP(D694,'[2]stock-take'!$M:$Q,3,FALSE)), 0, VLOOKUP(D694,'[2]stock-take'!$M:$Q,3,FALSE))</f>
        <v>0</v>
      </c>
      <c r="M694" s="48" t="str">
        <f t="shared" si="31"/>
        <v xml:space="preserve"> </v>
      </c>
      <c r="N694" s="39" t="str">
        <f t="shared" si="32"/>
        <v xml:space="preserve"> </v>
      </c>
    </row>
    <row r="695" spans="1:14">
      <c r="A695" s="37">
        <f t="shared" si="30"/>
        <v>684</v>
      </c>
      <c r="G695" s="48" t="str">
        <f>IF(F695=""," ",IF(ISNA(VLOOKUP(D695,'[2]stock-take'!$A:$E,4,FALSE)), "OUT OF STOCK", VLOOKUP(D695,'[2]stock-take'!$A:$E,4,FALSE)))</f>
        <v xml:space="preserve"> </v>
      </c>
      <c r="H695" s="48">
        <f>IF(ISNA(VLOOKUP(D695,'[2]stock-take'!$A:$E,3,FALSE)), 0, VLOOKUP(D695,'[2]stock-take'!$A:$E,3,FALSE))</f>
        <v>0</v>
      </c>
      <c r="I695" s="48" t="str">
        <f>IF(F695="", " ",IF(ISNA(VLOOKUP(D695,'[2]stock-take'!$G:$K,4,FALSE)), "OUT OF STOCK", VLOOKUP(D695,'[2]stock-take'!$G:$K,4,FALSE)))</f>
        <v xml:space="preserve"> </v>
      </c>
      <c r="J695" s="39">
        <f>IF(ISNA(VLOOKUP(D695,'[2]stock-take'!$G:$K,3,FALSE)), 0, VLOOKUP(D695,'[2]stock-take'!$G:$K,3,FALSE))</f>
        <v>0</v>
      </c>
      <c r="K695" s="49" t="str">
        <f>IF(F695="", " ", IF(ISNA(VLOOKUP(D695,'[2]stock-take'!$M:$Q,4,FALSE)), "OUT OF STOCK", VLOOKUP(D695,'[2]stock-take'!$M:$Q,4,FALSE)))</f>
        <v xml:space="preserve"> </v>
      </c>
      <c r="L695" s="47">
        <f>IF(ISNA(VLOOKUP(D695,'[2]stock-take'!$M:$Q,3,FALSE)), 0, VLOOKUP(D695,'[2]stock-take'!$M:$Q,3,FALSE))</f>
        <v>0</v>
      </c>
      <c r="M695" s="48" t="str">
        <f t="shared" si="31"/>
        <v xml:space="preserve"> </v>
      </c>
      <c r="N695" s="39" t="str">
        <f t="shared" si="32"/>
        <v xml:space="preserve"> </v>
      </c>
    </row>
    <row r="696" spans="1:14">
      <c r="A696" s="37">
        <f t="shared" si="30"/>
        <v>685</v>
      </c>
      <c r="G696" s="48" t="str">
        <f>IF(F696=""," ",IF(ISNA(VLOOKUP(D696,'[2]stock-take'!$A:$E,4,FALSE)), "OUT OF STOCK", VLOOKUP(D696,'[2]stock-take'!$A:$E,4,FALSE)))</f>
        <v xml:space="preserve"> </v>
      </c>
      <c r="H696" s="48">
        <f>IF(ISNA(VLOOKUP(D696,'[2]stock-take'!$A:$E,3,FALSE)), 0, VLOOKUP(D696,'[2]stock-take'!$A:$E,3,FALSE))</f>
        <v>0</v>
      </c>
      <c r="I696" s="48" t="str">
        <f>IF(F696="", " ",IF(ISNA(VLOOKUP(D696,'[2]stock-take'!$G:$K,4,FALSE)), "OUT OF STOCK", VLOOKUP(D696,'[2]stock-take'!$G:$K,4,FALSE)))</f>
        <v xml:space="preserve"> </v>
      </c>
      <c r="J696" s="39">
        <f>IF(ISNA(VLOOKUP(D696,'[2]stock-take'!$G:$K,3,FALSE)), 0, VLOOKUP(D696,'[2]stock-take'!$G:$K,3,FALSE))</f>
        <v>0</v>
      </c>
      <c r="K696" s="49" t="str">
        <f>IF(F696="", " ", IF(ISNA(VLOOKUP(D696,'[2]stock-take'!$M:$Q,4,FALSE)), "OUT OF STOCK", VLOOKUP(D696,'[2]stock-take'!$M:$Q,4,FALSE)))</f>
        <v xml:space="preserve"> </v>
      </c>
      <c r="L696" s="47">
        <f>IF(ISNA(VLOOKUP(D696,'[2]stock-take'!$M:$Q,3,FALSE)), 0, VLOOKUP(D696,'[2]stock-take'!$M:$Q,3,FALSE))</f>
        <v>0</v>
      </c>
      <c r="M696" s="48" t="str">
        <f t="shared" si="31"/>
        <v xml:space="preserve"> </v>
      </c>
      <c r="N696" s="39" t="str">
        <f t="shared" si="32"/>
        <v xml:space="preserve"> </v>
      </c>
    </row>
    <row r="697" spans="1:14">
      <c r="A697" s="37">
        <f t="shared" si="30"/>
        <v>686</v>
      </c>
      <c r="G697" s="48" t="str">
        <f>IF(F697=""," ",IF(ISNA(VLOOKUP(D697,'[2]stock-take'!$A:$E,4,FALSE)), "OUT OF STOCK", VLOOKUP(D697,'[2]stock-take'!$A:$E,4,FALSE)))</f>
        <v xml:space="preserve"> </v>
      </c>
      <c r="H697" s="48">
        <f>IF(ISNA(VLOOKUP(D697,'[2]stock-take'!$A:$E,3,FALSE)), 0, VLOOKUP(D697,'[2]stock-take'!$A:$E,3,FALSE))</f>
        <v>0</v>
      </c>
      <c r="I697" s="48" t="str">
        <f>IF(F697="", " ",IF(ISNA(VLOOKUP(D697,'[2]stock-take'!$G:$K,4,FALSE)), "OUT OF STOCK", VLOOKUP(D697,'[2]stock-take'!$G:$K,4,FALSE)))</f>
        <v xml:space="preserve"> </v>
      </c>
      <c r="J697" s="39">
        <f>IF(ISNA(VLOOKUP(D697,'[2]stock-take'!$G:$K,3,FALSE)), 0, VLOOKUP(D697,'[2]stock-take'!$G:$K,3,FALSE))</f>
        <v>0</v>
      </c>
      <c r="K697" s="49" t="str">
        <f>IF(F697="", " ", IF(ISNA(VLOOKUP(D697,'[2]stock-take'!$M:$Q,4,FALSE)), "OUT OF STOCK", VLOOKUP(D697,'[2]stock-take'!$M:$Q,4,FALSE)))</f>
        <v xml:space="preserve"> </v>
      </c>
      <c r="L697" s="47">
        <f>IF(ISNA(VLOOKUP(D697,'[2]stock-take'!$M:$Q,3,FALSE)), 0, VLOOKUP(D697,'[2]stock-take'!$M:$Q,3,FALSE))</f>
        <v>0</v>
      </c>
      <c r="M697" s="48" t="str">
        <f t="shared" si="31"/>
        <v xml:space="preserve"> </v>
      </c>
      <c r="N697" s="39" t="str">
        <f t="shared" si="32"/>
        <v xml:space="preserve"> </v>
      </c>
    </row>
    <row r="698" spans="1:14">
      <c r="A698" s="37">
        <f t="shared" si="30"/>
        <v>687</v>
      </c>
      <c r="G698" s="48" t="str">
        <f>IF(F698=""," ",IF(ISNA(VLOOKUP(D698,'[2]stock-take'!$A:$E,4,FALSE)), "OUT OF STOCK", VLOOKUP(D698,'[2]stock-take'!$A:$E,4,FALSE)))</f>
        <v xml:space="preserve"> </v>
      </c>
      <c r="H698" s="48">
        <f>IF(ISNA(VLOOKUP(D698,'[2]stock-take'!$A:$E,3,FALSE)), 0, VLOOKUP(D698,'[2]stock-take'!$A:$E,3,FALSE))</f>
        <v>0</v>
      </c>
      <c r="I698" s="48" t="str">
        <f>IF(F698="", " ",IF(ISNA(VLOOKUP(D698,'[2]stock-take'!$G:$K,4,FALSE)), "OUT OF STOCK", VLOOKUP(D698,'[2]stock-take'!$G:$K,4,FALSE)))</f>
        <v xml:space="preserve"> </v>
      </c>
      <c r="J698" s="39">
        <f>IF(ISNA(VLOOKUP(D698,'[2]stock-take'!$G:$K,3,FALSE)), 0, VLOOKUP(D698,'[2]stock-take'!$G:$K,3,FALSE))</f>
        <v>0</v>
      </c>
      <c r="K698" s="49" t="str">
        <f>IF(F698="", " ", IF(ISNA(VLOOKUP(D698,'[2]stock-take'!$M:$Q,4,FALSE)), "OUT OF STOCK", VLOOKUP(D698,'[2]stock-take'!$M:$Q,4,FALSE)))</f>
        <v xml:space="preserve"> </v>
      </c>
      <c r="L698" s="47">
        <f>IF(ISNA(VLOOKUP(D698,'[2]stock-take'!$M:$Q,3,FALSE)), 0, VLOOKUP(D698,'[2]stock-take'!$M:$Q,3,FALSE))</f>
        <v>0</v>
      </c>
      <c r="M698" s="48" t="str">
        <f t="shared" si="31"/>
        <v xml:space="preserve"> </v>
      </c>
      <c r="N698" s="39" t="str">
        <f t="shared" si="32"/>
        <v xml:space="preserve"> </v>
      </c>
    </row>
    <row r="699" spans="1:14">
      <c r="A699" s="37">
        <f t="shared" si="30"/>
        <v>688</v>
      </c>
      <c r="G699" s="48" t="str">
        <f>IF(F699=""," ",IF(ISNA(VLOOKUP(D699,'[2]stock-take'!$A:$E,4,FALSE)), "OUT OF STOCK", VLOOKUP(D699,'[2]stock-take'!$A:$E,4,FALSE)))</f>
        <v xml:space="preserve"> </v>
      </c>
      <c r="H699" s="48">
        <f>IF(ISNA(VLOOKUP(D699,'[2]stock-take'!$A:$E,3,FALSE)), 0, VLOOKUP(D699,'[2]stock-take'!$A:$E,3,FALSE))</f>
        <v>0</v>
      </c>
      <c r="I699" s="48" t="str">
        <f>IF(F699="", " ",IF(ISNA(VLOOKUP(D699,'[2]stock-take'!$G:$K,4,FALSE)), "OUT OF STOCK", VLOOKUP(D699,'[2]stock-take'!$G:$K,4,FALSE)))</f>
        <v xml:space="preserve"> </v>
      </c>
      <c r="J699" s="39">
        <f>IF(ISNA(VLOOKUP(D699,'[2]stock-take'!$G:$K,3,FALSE)), 0, VLOOKUP(D699,'[2]stock-take'!$G:$K,3,FALSE))</f>
        <v>0</v>
      </c>
      <c r="K699" s="49" t="str">
        <f>IF(F699="", " ", IF(ISNA(VLOOKUP(D699,'[2]stock-take'!$M:$Q,4,FALSE)), "OUT OF STOCK", VLOOKUP(D699,'[2]stock-take'!$M:$Q,4,FALSE)))</f>
        <v xml:space="preserve"> </v>
      </c>
      <c r="L699" s="47">
        <f>IF(ISNA(VLOOKUP(D699,'[2]stock-take'!$M:$Q,3,FALSE)), 0, VLOOKUP(D699,'[2]stock-take'!$M:$Q,3,FALSE))</f>
        <v>0</v>
      </c>
      <c r="M699" s="48" t="str">
        <f t="shared" si="31"/>
        <v xml:space="preserve"> </v>
      </c>
      <c r="N699" s="39" t="str">
        <f t="shared" si="32"/>
        <v xml:space="preserve"> </v>
      </c>
    </row>
    <row r="700" spans="1:14">
      <c r="A700" s="37">
        <f t="shared" si="30"/>
        <v>689</v>
      </c>
      <c r="G700" s="48" t="str">
        <f>IF(F700=""," ",IF(ISNA(VLOOKUP(D700,'[2]stock-take'!$A:$E,4,FALSE)), "OUT OF STOCK", VLOOKUP(D700,'[2]stock-take'!$A:$E,4,FALSE)))</f>
        <v xml:space="preserve"> </v>
      </c>
      <c r="H700" s="48">
        <f>IF(ISNA(VLOOKUP(D700,'[2]stock-take'!$A:$E,3,FALSE)), 0, VLOOKUP(D700,'[2]stock-take'!$A:$E,3,FALSE))</f>
        <v>0</v>
      </c>
      <c r="I700" s="48" t="str">
        <f>IF(F700="", " ",IF(ISNA(VLOOKUP(D700,'[2]stock-take'!$G:$K,4,FALSE)), "OUT OF STOCK", VLOOKUP(D700,'[2]stock-take'!$G:$K,4,FALSE)))</f>
        <v xml:space="preserve"> </v>
      </c>
      <c r="J700" s="39">
        <f>IF(ISNA(VLOOKUP(D700,'[2]stock-take'!$G:$K,3,FALSE)), 0, VLOOKUP(D700,'[2]stock-take'!$G:$K,3,FALSE))</f>
        <v>0</v>
      </c>
      <c r="K700" s="49" t="str">
        <f>IF(F700="", " ", IF(ISNA(VLOOKUP(D700,'[2]stock-take'!$M:$Q,4,FALSE)), "OUT OF STOCK", VLOOKUP(D700,'[2]stock-take'!$M:$Q,4,FALSE)))</f>
        <v xml:space="preserve"> </v>
      </c>
      <c r="L700" s="47">
        <f>IF(ISNA(VLOOKUP(D700,'[2]stock-take'!$M:$Q,3,FALSE)), 0, VLOOKUP(D700,'[2]stock-take'!$M:$Q,3,FALSE))</f>
        <v>0</v>
      </c>
      <c r="M700" s="48" t="str">
        <f t="shared" si="31"/>
        <v xml:space="preserve"> </v>
      </c>
      <c r="N700" s="39" t="str">
        <f t="shared" si="32"/>
        <v xml:space="preserve"> </v>
      </c>
    </row>
    <row r="701" spans="1:14">
      <c r="A701" s="37">
        <f t="shared" si="30"/>
        <v>690</v>
      </c>
      <c r="G701" s="48" t="str">
        <f>IF(F701=""," ",IF(ISNA(VLOOKUP(D701,'[2]stock-take'!$A:$E,4,FALSE)), "OUT OF STOCK", VLOOKUP(D701,'[2]stock-take'!$A:$E,4,FALSE)))</f>
        <v xml:space="preserve"> </v>
      </c>
      <c r="H701" s="48">
        <f>IF(ISNA(VLOOKUP(D701,'[2]stock-take'!$A:$E,3,FALSE)), 0, VLOOKUP(D701,'[2]stock-take'!$A:$E,3,FALSE))</f>
        <v>0</v>
      </c>
      <c r="I701" s="48" t="str">
        <f>IF(F701="", " ",IF(ISNA(VLOOKUP(D701,'[2]stock-take'!$G:$K,4,FALSE)), "OUT OF STOCK", VLOOKUP(D701,'[2]stock-take'!$G:$K,4,FALSE)))</f>
        <v xml:space="preserve"> </v>
      </c>
      <c r="J701" s="39">
        <f>IF(ISNA(VLOOKUP(D701,'[2]stock-take'!$G:$K,3,FALSE)), 0, VLOOKUP(D701,'[2]stock-take'!$G:$K,3,FALSE))</f>
        <v>0</v>
      </c>
      <c r="K701" s="49" t="str">
        <f>IF(F701="", " ", IF(ISNA(VLOOKUP(D701,'[2]stock-take'!$M:$Q,4,FALSE)), "OUT OF STOCK", VLOOKUP(D701,'[2]stock-take'!$M:$Q,4,FALSE)))</f>
        <v xml:space="preserve"> </v>
      </c>
      <c r="L701" s="47">
        <f>IF(ISNA(VLOOKUP(D701,'[2]stock-take'!$M:$Q,3,FALSE)), 0, VLOOKUP(D701,'[2]stock-take'!$M:$Q,3,FALSE))</f>
        <v>0</v>
      </c>
      <c r="M701" s="48" t="str">
        <f t="shared" si="31"/>
        <v xml:space="preserve"> </v>
      </c>
      <c r="N701" s="39" t="str">
        <f t="shared" si="32"/>
        <v xml:space="preserve"> </v>
      </c>
    </row>
    <row r="702" spans="1:14">
      <c r="A702" s="37">
        <f t="shared" si="30"/>
        <v>691</v>
      </c>
      <c r="G702" s="48" t="str">
        <f>IF(F702=""," ",IF(ISNA(VLOOKUP(D702,'[2]stock-take'!$A:$E,4,FALSE)), "OUT OF STOCK", VLOOKUP(D702,'[2]stock-take'!$A:$E,4,FALSE)))</f>
        <v xml:space="preserve"> </v>
      </c>
      <c r="H702" s="48">
        <f>IF(ISNA(VLOOKUP(D702,'[2]stock-take'!$A:$E,3,FALSE)), 0, VLOOKUP(D702,'[2]stock-take'!$A:$E,3,FALSE))</f>
        <v>0</v>
      </c>
      <c r="I702" s="48" t="str">
        <f>IF(F702="", " ",IF(ISNA(VLOOKUP(D702,'[2]stock-take'!$G:$K,4,FALSE)), "OUT OF STOCK", VLOOKUP(D702,'[2]stock-take'!$G:$K,4,FALSE)))</f>
        <v xml:space="preserve"> </v>
      </c>
      <c r="J702" s="39">
        <f>IF(ISNA(VLOOKUP(D702,'[2]stock-take'!$G:$K,3,FALSE)), 0, VLOOKUP(D702,'[2]stock-take'!$G:$K,3,FALSE))</f>
        <v>0</v>
      </c>
      <c r="K702" s="49" t="str">
        <f>IF(F702="", " ", IF(ISNA(VLOOKUP(D702,'[2]stock-take'!$M:$Q,4,FALSE)), "OUT OF STOCK", VLOOKUP(D702,'[2]stock-take'!$M:$Q,4,FALSE)))</f>
        <v xml:space="preserve"> </v>
      </c>
      <c r="L702" s="47">
        <f>IF(ISNA(VLOOKUP(D702,'[2]stock-take'!$M:$Q,3,FALSE)), 0, VLOOKUP(D702,'[2]stock-take'!$M:$Q,3,FALSE))</f>
        <v>0</v>
      </c>
      <c r="M702" s="48" t="str">
        <f t="shared" si="31"/>
        <v xml:space="preserve"> </v>
      </c>
      <c r="N702" s="39" t="str">
        <f t="shared" si="32"/>
        <v xml:space="preserve"> </v>
      </c>
    </row>
    <row r="703" spans="1:14">
      <c r="A703" s="37">
        <f t="shared" si="30"/>
        <v>692</v>
      </c>
      <c r="G703" s="48" t="str">
        <f>IF(F703=""," ",IF(ISNA(VLOOKUP(D703,'[2]stock-take'!$A:$E,4,FALSE)), "OUT OF STOCK", VLOOKUP(D703,'[2]stock-take'!$A:$E,4,FALSE)))</f>
        <v xml:space="preserve"> </v>
      </c>
      <c r="H703" s="48">
        <f>IF(ISNA(VLOOKUP(D703,'[2]stock-take'!$A:$E,3,FALSE)), 0, VLOOKUP(D703,'[2]stock-take'!$A:$E,3,FALSE))</f>
        <v>0</v>
      </c>
      <c r="I703" s="48" t="str">
        <f>IF(F703="", " ",IF(ISNA(VLOOKUP(D703,'[2]stock-take'!$G:$K,4,FALSE)), "OUT OF STOCK", VLOOKUP(D703,'[2]stock-take'!$G:$K,4,FALSE)))</f>
        <v xml:space="preserve"> </v>
      </c>
      <c r="J703" s="39">
        <f>IF(ISNA(VLOOKUP(D703,'[2]stock-take'!$G:$K,3,FALSE)), 0, VLOOKUP(D703,'[2]stock-take'!$G:$K,3,FALSE))</f>
        <v>0</v>
      </c>
      <c r="K703" s="49" t="str">
        <f>IF(F703="", " ", IF(ISNA(VLOOKUP(D703,'[2]stock-take'!$M:$Q,4,FALSE)), "OUT OF STOCK", VLOOKUP(D703,'[2]stock-take'!$M:$Q,4,FALSE)))</f>
        <v xml:space="preserve"> </v>
      </c>
      <c r="L703" s="47">
        <f>IF(ISNA(VLOOKUP(D703,'[2]stock-take'!$M:$Q,3,FALSE)), 0, VLOOKUP(D703,'[2]stock-take'!$M:$Q,3,FALSE))</f>
        <v>0</v>
      </c>
      <c r="M703" s="48" t="str">
        <f t="shared" si="31"/>
        <v xml:space="preserve"> </v>
      </c>
      <c r="N703" s="39" t="str">
        <f t="shared" si="32"/>
        <v xml:space="preserve"> </v>
      </c>
    </row>
    <row r="704" spans="1:14">
      <c r="A704" s="37">
        <f t="shared" si="30"/>
        <v>693</v>
      </c>
      <c r="G704" s="48" t="str">
        <f>IF(F704=""," ",IF(ISNA(VLOOKUP(D704,'[2]stock-take'!$A:$E,4,FALSE)), "OUT OF STOCK", VLOOKUP(D704,'[2]stock-take'!$A:$E,4,FALSE)))</f>
        <v xml:space="preserve"> </v>
      </c>
      <c r="H704" s="48">
        <f>IF(ISNA(VLOOKUP(D704,'[2]stock-take'!$A:$E,3,FALSE)), 0, VLOOKUP(D704,'[2]stock-take'!$A:$E,3,FALSE))</f>
        <v>0</v>
      </c>
      <c r="I704" s="48" t="str">
        <f>IF(F704="", " ",IF(ISNA(VLOOKUP(D704,'[2]stock-take'!$G:$K,4,FALSE)), "OUT OF STOCK", VLOOKUP(D704,'[2]stock-take'!$G:$K,4,FALSE)))</f>
        <v xml:space="preserve"> </v>
      </c>
      <c r="J704" s="39">
        <f>IF(ISNA(VLOOKUP(D704,'[2]stock-take'!$G:$K,3,FALSE)), 0, VLOOKUP(D704,'[2]stock-take'!$G:$K,3,FALSE))</f>
        <v>0</v>
      </c>
      <c r="K704" s="49" t="str">
        <f>IF(F704="", " ", IF(ISNA(VLOOKUP(D704,'[2]stock-take'!$M:$Q,4,FALSE)), "OUT OF STOCK", VLOOKUP(D704,'[2]stock-take'!$M:$Q,4,FALSE)))</f>
        <v xml:space="preserve"> </v>
      </c>
      <c r="L704" s="47">
        <f>IF(ISNA(VLOOKUP(D704,'[2]stock-take'!$M:$Q,3,FALSE)), 0, VLOOKUP(D704,'[2]stock-take'!$M:$Q,3,FALSE))</f>
        <v>0</v>
      </c>
      <c r="M704" s="48" t="str">
        <f t="shared" si="31"/>
        <v xml:space="preserve"> </v>
      </c>
      <c r="N704" s="39" t="str">
        <f t="shared" si="32"/>
        <v xml:space="preserve"> </v>
      </c>
    </row>
    <row r="705" spans="1:14">
      <c r="A705" s="37">
        <f t="shared" si="30"/>
        <v>694</v>
      </c>
      <c r="G705" s="48" t="str">
        <f>IF(F705=""," ",IF(ISNA(VLOOKUP(D705,'[2]stock-take'!$A:$E,4,FALSE)), "OUT OF STOCK", VLOOKUP(D705,'[2]stock-take'!$A:$E,4,FALSE)))</f>
        <v xml:space="preserve"> </v>
      </c>
      <c r="H705" s="48">
        <f>IF(ISNA(VLOOKUP(D705,'[2]stock-take'!$A:$E,3,FALSE)), 0, VLOOKUP(D705,'[2]stock-take'!$A:$E,3,FALSE))</f>
        <v>0</v>
      </c>
      <c r="I705" s="48" t="str">
        <f>IF(F705="", " ",IF(ISNA(VLOOKUP(D705,'[2]stock-take'!$G:$K,4,FALSE)), "OUT OF STOCK", VLOOKUP(D705,'[2]stock-take'!$G:$K,4,FALSE)))</f>
        <v xml:space="preserve"> </v>
      </c>
      <c r="J705" s="39">
        <f>IF(ISNA(VLOOKUP(D705,'[2]stock-take'!$G:$K,3,FALSE)), 0, VLOOKUP(D705,'[2]stock-take'!$G:$K,3,FALSE))</f>
        <v>0</v>
      </c>
      <c r="K705" s="49" t="str">
        <f>IF(F705="", " ", IF(ISNA(VLOOKUP(D705,'[2]stock-take'!$M:$Q,4,FALSE)), "OUT OF STOCK", VLOOKUP(D705,'[2]stock-take'!$M:$Q,4,FALSE)))</f>
        <v xml:space="preserve"> </v>
      </c>
      <c r="L705" s="47">
        <f>IF(ISNA(VLOOKUP(D705,'[2]stock-take'!$M:$Q,3,FALSE)), 0, VLOOKUP(D705,'[2]stock-take'!$M:$Q,3,FALSE))</f>
        <v>0</v>
      </c>
      <c r="M705" s="48" t="str">
        <f t="shared" si="31"/>
        <v xml:space="preserve"> </v>
      </c>
      <c r="N705" s="39" t="str">
        <f t="shared" si="32"/>
        <v xml:space="preserve"> </v>
      </c>
    </row>
    <row r="706" spans="1:14">
      <c r="A706" s="37">
        <f t="shared" si="30"/>
        <v>695</v>
      </c>
      <c r="G706" s="48" t="str">
        <f>IF(F706=""," ",IF(ISNA(VLOOKUP(D706,'[2]stock-take'!$A:$E,4,FALSE)), "OUT OF STOCK", VLOOKUP(D706,'[2]stock-take'!$A:$E,4,FALSE)))</f>
        <v xml:space="preserve"> </v>
      </c>
      <c r="H706" s="48">
        <f>IF(ISNA(VLOOKUP(D706,'[2]stock-take'!$A:$E,3,FALSE)), 0, VLOOKUP(D706,'[2]stock-take'!$A:$E,3,FALSE))</f>
        <v>0</v>
      </c>
      <c r="I706" s="48" t="str">
        <f>IF(F706="", " ",IF(ISNA(VLOOKUP(D706,'[2]stock-take'!$G:$K,4,FALSE)), "OUT OF STOCK", VLOOKUP(D706,'[2]stock-take'!$G:$K,4,FALSE)))</f>
        <v xml:space="preserve"> </v>
      </c>
      <c r="J706" s="39">
        <f>IF(ISNA(VLOOKUP(D706,'[2]stock-take'!$G:$K,3,FALSE)), 0, VLOOKUP(D706,'[2]stock-take'!$G:$K,3,FALSE))</f>
        <v>0</v>
      </c>
      <c r="K706" s="49" t="str">
        <f>IF(F706="", " ", IF(ISNA(VLOOKUP(D706,'[2]stock-take'!$M:$Q,4,FALSE)), "OUT OF STOCK", VLOOKUP(D706,'[2]stock-take'!$M:$Q,4,FALSE)))</f>
        <v xml:space="preserve"> </v>
      </c>
      <c r="L706" s="47">
        <f>IF(ISNA(VLOOKUP(D706,'[2]stock-take'!$M:$Q,3,FALSE)), 0, VLOOKUP(D706,'[2]stock-take'!$M:$Q,3,FALSE))</f>
        <v>0</v>
      </c>
      <c r="M706" s="48" t="str">
        <f t="shared" si="31"/>
        <v xml:space="preserve"> </v>
      </c>
      <c r="N706" s="39" t="str">
        <f t="shared" si="32"/>
        <v xml:space="preserve"> </v>
      </c>
    </row>
    <row r="707" spans="1:14">
      <c r="A707" s="37">
        <f t="shared" si="30"/>
        <v>696</v>
      </c>
      <c r="G707" s="48" t="str">
        <f>IF(F707=""," ",IF(ISNA(VLOOKUP(D707,'[2]stock-take'!$A:$E,4,FALSE)), "OUT OF STOCK", VLOOKUP(D707,'[2]stock-take'!$A:$E,4,FALSE)))</f>
        <v xml:space="preserve"> </v>
      </c>
      <c r="H707" s="48">
        <f>IF(ISNA(VLOOKUP(D707,'[2]stock-take'!$A:$E,3,FALSE)), 0, VLOOKUP(D707,'[2]stock-take'!$A:$E,3,FALSE))</f>
        <v>0</v>
      </c>
      <c r="I707" s="48" t="str">
        <f>IF(F707="", " ",IF(ISNA(VLOOKUP(D707,'[2]stock-take'!$G:$K,4,FALSE)), "OUT OF STOCK", VLOOKUP(D707,'[2]stock-take'!$G:$K,4,FALSE)))</f>
        <v xml:space="preserve"> </v>
      </c>
      <c r="J707" s="39">
        <f>IF(ISNA(VLOOKUP(D707,'[2]stock-take'!$G:$K,3,FALSE)), 0, VLOOKUP(D707,'[2]stock-take'!$G:$K,3,FALSE))</f>
        <v>0</v>
      </c>
      <c r="K707" s="49" t="str">
        <f>IF(F707="", " ", IF(ISNA(VLOOKUP(D707,'[2]stock-take'!$M:$Q,4,FALSE)), "OUT OF STOCK", VLOOKUP(D707,'[2]stock-take'!$M:$Q,4,FALSE)))</f>
        <v xml:space="preserve"> </v>
      </c>
      <c r="L707" s="47">
        <f>IF(ISNA(VLOOKUP(D707,'[2]stock-take'!$M:$Q,3,FALSE)), 0, VLOOKUP(D707,'[2]stock-take'!$M:$Q,3,FALSE))</f>
        <v>0</v>
      </c>
      <c r="M707" s="48" t="str">
        <f t="shared" si="31"/>
        <v xml:space="preserve"> </v>
      </c>
      <c r="N707" s="39" t="str">
        <f t="shared" si="32"/>
        <v xml:space="preserve"> </v>
      </c>
    </row>
    <row r="708" spans="1:14">
      <c r="A708" s="37">
        <f t="shared" si="30"/>
        <v>697</v>
      </c>
      <c r="G708" s="48" t="str">
        <f>IF(F708=""," ",IF(ISNA(VLOOKUP(D708,'[2]stock-take'!$A:$E,4,FALSE)), "OUT OF STOCK", VLOOKUP(D708,'[2]stock-take'!$A:$E,4,FALSE)))</f>
        <v xml:space="preserve"> </v>
      </c>
      <c r="H708" s="48">
        <f>IF(ISNA(VLOOKUP(D708,'[2]stock-take'!$A:$E,3,FALSE)), 0, VLOOKUP(D708,'[2]stock-take'!$A:$E,3,FALSE))</f>
        <v>0</v>
      </c>
      <c r="I708" s="48" t="str">
        <f>IF(F708="", " ",IF(ISNA(VLOOKUP(D708,'[2]stock-take'!$G:$K,4,FALSE)), "OUT OF STOCK", VLOOKUP(D708,'[2]stock-take'!$G:$K,4,FALSE)))</f>
        <v xml:space="preserve"> </v>
      </c>
      <c r="J708" s="39">
        <f>IF(ISNA(VLOOKUP(D708,'[2]stock-take'!$G:$K,3,FALSE)), 0, VLOOKUP(D708,'[2]stock-take'!$G:$K,3,FALSE))</f>
        <v>0</v>
      </c>
      <c r="K708" s="49" t="str">
        <f>IF(F708="", " ", IF(ISNA(VLOOKUP(D708,'[2]stock-take'!$M:$Q,4,FALSE)), "OUT OF STOCK", VLOOKUP(D708,'[2]stock-take'!$M:$Q,4,FALSE)))</f>
        <v xml:space="preserve"> </v>
      </c>
      <c r="L708" s="47">
        <f>IF(ISNA(VLOOKUP(D708,'[2]stock-take'!$M:$Q,3,FALSE)), 0, VLOOKUP(D708,'[2]stock-take'!$M:$Q,3,FALSE))</f>
        <v>0</v>
      </c>
      <c r="M708" s="48" t="str">
        <f t="shared" si="31"/>
        <v xml:space="preserve"> </v>
      </c>
      <c r="N708" s="39" t="str">
        <f t="shared" si="32"/>
        <v xml:space="preserve"> </v>
      </c>
    </row>
    <row r="709" spans="1:14">
      <c r="A709" s="37">
        <f t="shared" si="30"/>
        <v>698</v>
      </c>
      <c r="G709" s="48" t="str">
        <f>IF(F709=""," ",IF(ISNA(VLOOKUP(D709,'[2]stock-take'!$A:$E,4,FALSE)), "OUT OF STOCK", VLOOKUP(D709,'[2]stock-take'!$A:$E,4,FALSE)))</f>
        <v xml:space="preserve"> </v>
      </c>
      <c r="H709" s="48">
        <f>IF(ISNA(VLOOKUP(D709,'[2]stock-take'!$A:$E,3,FALSE)), 0, VLOOKUP(D709,'[2]stock-take'!$A:$E,3,FALSE))</f>
        <v>0</v>
      </c>
      <c r="I709" s="48" t="str">
        <f>IF(F709="", " ",IF(ISNA(VLOOKUP(D709,'[2]stock-take'!$G:$K,4,FALSE)), "OUT OF STOCK", VLOOKUP(D709,'[2]stock-take'!$G:$K,4,FALSE)))</f>
        <v xml:space="preserve"> </v>
      </c>
      <c r="J709" s="39">
        <f>IF(ISNA(VLOOKUP(D709,'[2]stock-take'!$G:$K,3,FALSE)), 0, VLOOKUP(D709,'[2]stock-take'!$G:$K,3,FALSE))</f>
        <v>0</v>
      </c>
      <c r="K709" s="49" t="str">
        <f>IF(F709="", " ", IF(ISNA(VLOOKUP(D709,'[2]stock-take'!$M:$Q,4,FALSE)), "OUT OF STOCK", VLOOKUP(D709,'[2]stock-take'!$M:$Q,4,FALSE)))</f>
        <v xml:space="preserve"> </v>
      </c>
      <c r="L709" s="47">
        <f>IF(ISNA(VLOOKUP(D709,'[2]stock-take'!$M:$Q,3,FALSE)), 0, VLOOKUP(D709,'[2]stock-take'!$M:$Q,3,FALSE))</f>
        <v>0</v>
      </c>
      <c r="M709" s="48" t="str">
        <f t="shared" si="31"/>
        <v xml:space="preserve"> </v>
      </c>
      <c r="N709" s="39" t="str">
        <f t="shared" si="32"/>
        <v xml:space="preserve"> </v>
      </c>
    </row>
    <row r="710" spans="1:14">
      <c r="A710" s="37">
        <f t="shared" si="30"/>
        <v>699</v>
      </c>
      <c r="G710" s="48" t="str">
        <f>IF(F710=""," ",IF(ISNA(VLOOKUP(D710,'[2]stock-take'!$A:$E,4,FALSE)), "OUT OF STOCK", VLOOKUP(D710,'[2]stock-take'!$A:$E,4,FALSE)))</f>
        <v xml:space="preserve"> </v>
      </c>
      <c r="H710" s="48">
        <f>IF(ISNA(VLOOKUP(D710,'[2]stock-take'!$A:$E,3,FALSE)), 0, VLOOKUP(D710,'[2]stock-take'!$A:$E,3,FALSE))</f>
        <v>0</v>
      </c>
      <c r="I710" s="48" t="str">
        <f>IF(F710="", " ",IF(ISNA(VLOOKUP(D710,'[2]stock-take'!$G:$K,4,FALSE)), "OUT OF STOCK", VLOOKUP(D710,'[2]stock-take'!$G:$K,4,FALSE)))</f>
        <v xml:space="preserve"> </v>
      </c>
      <c r="J710" s="39">
        <f>IF(ISNA(VLOOKUP(D710,'[2]stock-take'!$G:$K,3,FALSE)), 0, VLOOKUP(D710,'[2]stock-take'!$G:$K,3,FALSE))</f>
        <v>0</v>
      </c>
      <c r="K710" s="49" t="str">
        <f>IF(F710="", " ", IF(ISNA(VLOOKUP(D710,'[2]stock-take'!$M:$Q,4,FALSE)), "OUT OF STOCK", VLOOKUP(D710,'[2]stock-take'!$M:$Q,4,FALSE)))</f>
        <v xml:space="preserve"> </v>
      </c>
      <c r="L710" s="47">
        <f>IF(ISNA(VLOOKUP(D710,'[2]stock-take'!$M:$Q,3,FALSE)), 0, VLOOKUP(D710,'[2]stock-take'!$M:$Q,3,FALSE))</f>
        <v>0</v>
      </c>
      <c r="M710" s="48" t="str">
        <f t="shared" si="31"/>
        <v xml:space="preserve"> </v>
      </c>
      <c r="N710" s="39" t="str">
        <f t="shared" si="32"/>
        <v xml:space="preserve"> </v>
      </c>
    </row>
    <row r="711" spans="1:14">
      <c r="A711" s="37">
        <f t="shared" si="30"/>
        <v>700</v>
      </c>
      <c r="G711" s="48" t="str">
        <f>IF(F711=""," ",IF(ISNA(VLOOKUP(D711,'[2]stock-take'!$A:$E,4,FALSE)), "OUT OF STOCK", VLOOKUP(D711,'[2]stock-take'!$A:$E,4,FALSE)))</f>
        <v xml:space="preserve"> </v>
      </c>
      <c r="H711" s="48">
        <f>IF(ISNA(VLOOKUP(D711,'[2]stock-take'!$A:$E,3,FALSE)), 0, VLOOKUP(D711,'[2]stock-take'!$A:$E,3,FALSE))</f>
        <v>0</v>
      </c>
      <c r="I711" s="48" t="str">
        <f>IF(F711="", " ",IF(ISNA(VLOOKUP(D711,'[2]stock-take'!$G:$K,4,FALSE)), "OUT OF STOCK", VLOOKUP(D711,'[2]stock-take'!$G:$K,4,FALSE)))</f>
        <v xml:space="preserve"> </v>
      </c>
      <c r="J711" s="39">
        <f>IF(ISNA(VLOOKUP(D711,'[2]stock-take'!$G:$K,3,FALSE)), 0, VLOOKUP(D711,'[2]stock-take'!$G:$K,3,FALSE))</f>
        <v>0</v>
      </c>
      <c r="K711" s="49" t="str">
        <f>IF(F711="", " ", IF(ISNA(VLOOKUP(D711,'[2]stock-take'!$M:$Q,4,FALSE)), "OUT OF STOCK", VLOOKUP(D711,'[2]stock-take'!$M:$Q,4,FALSE)))</f>
        <v xml:space="preserve"> </v>
      </c>
      <c r="L711" s="47">
        <f>IF(ISNA(VLOOKUP(D711,'[2]stock-take'!$M:$Q,3,FALSE)), 0, VLOOKUP(D711,'[2]stock-take'!$M:$Q,3,FALSE))</f>
        <v>0</v>
      </c>
      <c r="M711" s="48" t="str">
        <f t="shared" si="31"/>
        <v xml:space="preserve"> </v>
      </c>
      <c r="N711" s="39" t="str">
        <f t="shared" si="32"/>
        <v xml:space="preserve"> </v>
      </c>
    </row>
    <row r="712" spans="1:14">
      <c r="A712" s="37">
        <f t="shared" si="30"/>
        <v>701</v>
      </c>
      <c r="G712" s="48" t="str">
        <f>IF(F712=""," ",IF(ISNA(VLOOKUP(D712,'[2]stock-take'!$A:$E,4,FALSE)), "OUT OF STOCK", VLOOKUP(D712,'[2]stock-take'!$A:$E,4,FALSE)))</f>
        <v xml:space="preserve"> </v>
      </c>
      <c r="H712" s="48">
        <f>IF(ISNA(VLOOKUP(D712,'[2]stock-take'!$A:$E,3,FALSE)), 0, VLOOKUP(D712,'[2]stock-take'!$A:$E,3,FALSE))</f>
        <v>0</v>
      </c>
      <c r="I712" s="48" t="str">
        <f>IF(F712="", " ",IF(ISNA(VLOOKUP(D712,'[2]stock-take'!$G:$K,4,FALSE)), "OUT OF STOCK", VLOOKUP(D712,'[2]stock-take'!$G:$K,4,FALSE)))</f>
        <v xml:space="preserve"> </v>
      </c>
      <c r="J712" s="39">
        <f>IF(ISNA(VLOOKUP(D712,'[2]stock-take'!$G:$K,3,FALSE)), 0, VLOOKUP(D712,'[2]stock-take'!$G:$K,3,FALSE))</f>
        <v>0</v>
      </c>
      <c r="K712" s="49" t="str">
        <f>IF(F712="", " ", IF(ISNA(VLOOKUP(D712,'[2]stock-take'!$M:$Q,4,FALSE)), "OUT OF STOCK", VLOOKUP(D712,'[2]stock-take'!$M:$Q,4,FALSE)))</f>
        <v xml:space="preserve"> </v>
      </c>
      <c r="L712" s="47">
        <f>IF(ISNA(VLOOKUP(D712,'[2]stock-take'!$M:$Q,3,FALSE)), 0, VLOOKUP(D712,'[2]stock-take'!$M:$Q,3,FALSE))</f>
        <v>0</v>
      </c>
      <c r="M712" s="48" t="str">
        <f t="shared" si="31"/>
        <v xml:space="preserve"> </v>
      </c>
      <c r="N712" s="39" t="str">
        <f t="shared" si="32"/>
        <v xml:space="preserve"> </v>
      </c>
    </row>
    <row r="713" spans="1:14">
      <c r="A713" s="37">
        <f t="shared" si="30"/>
        <v>702</v>
      </c>
      <c r="G713" s="48" t="str">
        <f>IF(F713=""," ",IF(ISNA(VLOOKUP(D713,'[2]stock-take'!$A:$E,4,FALSE)), "OUT OF STOCK", VLOOKUP(D713,'[2]stock-take'!$A:$E,4,FALSE)))</f>
        <v xml:space="preserve"> </v>
      </c>
      <c r="H713" s="48">
        <f>IF(ISNA(VLOOKUP(D713,'[2]stock-take'!$A:$E,3,FALSE)), 0, VLOOKUP(D713,'[2]stock-take'!$A:$E,3,FALSE))</f>
        <v>0</v>
      </c>
      <c r="I713" s="48" t="str">
        <f>IF(F713="", " ",IF(ISNA(VLOOKUP(D713,'[2]stock-take'!$G:$K,4,FALSE)), "OUT OF STOCK", VLOOKUP(D713,'[2]stock-take'!$G:$K,4,FALSE)))</f>
        <v xml:space="preserve"> </v>
      </c>
      <c r="J713" s="39">
        <f>IF(ISNA(VLOOKUP(D713,'[2]stock-take'!$G:$K,3,FALSE)), 0, VLOOKUP(D713,'[2]stock-take'!$G:$K,3,FALSE))</f>
        <v>0</v>
      </c>
      <c r="K713" s="49" t="str">
        <f>IF(F713="", " ", IF(ISNA(VLOOKUP(D713,'[2]stock-take'!$M:$Q,4,FALSE)), "OUT OF STOCK", VLOOKUP(D713,'[2]stock-take'!$M:$Q,4,FALSE)))</f>
        <v xml:space="preserve"> </v>
      </c>
      <c r="L713" s="47">
        <f>IF(ISNA(VLOOKUP(D713,'[2]stock-take'!$M:$Q,3,FALSE)), 0, VLOOKUP(D713,'[2]stock-take'!$M:$Q,3,FALSE))</f>
        <v>0</v>
      </c>
      <c r="M713" s="48" t="str">
        <f t="shared" si="31"/>
        <v xml:space="preserve"> </v>
      </c>
      <c r="N713" s="39" t="str">
        <f t="shared" si="32"/>
        <v xml:space="preserve"> </v>
      </c>
    </row>
    <row r="714" spans="1:14">
      <c r="A714" s="37">
        <f t="shared" si="30"/>
        <v>703</v>
      </c>
      <c r="G714" s="48" t="str">
        <f>IF(F714=""," ",IF(ISNA(VLOOKUP(D714,'[2]stock-take'!$A:$E,4,FALSE)), "OUT OF STOCK", VLOOKUP(D714,'[2]stock-take'!$A:$E,4,FALSE)))</f>
        <v xml:space="preserve"> </v>
      </c>
      <c r="H714" s="48">
        <f>IF(ISNA(VLOOKUP(D714,'[2]stock-take'!$A:$E,3,FALSE)), 0, VLOOKUP(D714,'[2]stock-take'!$A:$E,3,FALSE))</f>
        <v>0</v>
      </c>
      <c r="I714" s="48" t="str">
        <f>IF(F714="", " ",IF(ISNA(VLOOKUP(D714,'[2]stock-take'!$G:$K,4,FALSE)), "OUT OF STOCK", VLOOKUP(D714,'[2]stock-take'!$G:$K,4,FALSE)))</f>
        <v xml:space="preserve"> </v>
      </c>
      <c r="J714" s="39">
        <f>IF(ISNA(VLOOKUP(D714,'[2]stock-take'!$G:$K,3,FALSE)), 0, VLOOKUP(D714,'[2]stock-take'!$G:$K,3,FALSE))</f>
        <v>0</v>
      </c>
      <c r="K714" s="49" t="str">
        <f>IF(F714="", " ", IF(ISNA(VLOOKUP(D714,'[2]stock-take'!$M:$Q,4,FALSE)), "OUT OF STOCK", VLOOKUP(D714,'[2]stock-take'!$M:$Q,4,FALSE)))</f>
        <v xml:space="preserve"> </v>
      </c>
      <c r="L714" s="47">
        <f>IF(ISNA(VLOOKUP(D714,'[2]stock-take'!$M:$Q,3,FALSE)), 0, VLOOKUP(D714,'[2]stock-take'!$M:$Q,3,FALSE))</f>
        <v>0</v>
      </c>
      <c r="M714" s="48" t="str">
        <f t="shared" si="31"/>
        <v xml:space="preserve"> </v>
      </c>
      <c r="N714" s="39" t="str">
        <f t="shared" si="32"/>
        <v xml:space="preserve"> </v>
      </c>
    </row>
    <row r="715" spans="1:14">
      <c r="A715" s="37">
        <f t="shared" si="30"/>
        <v>704</v>
      </c>
      <c r="G715" s="48" t="str">
        <f>IF(F715=""," ",IF(ISNA(VLOOKUP(D715,'[2]stock-take'!$A:$E,4,FALSE)), "OUT OF STOCK", VLOOKUP(D715,'[2]stock-take'!$A:$E,4,FALSE)))</f>
        <v xml:space="preserve"> </v>
      </c>
      <c r="H715" s="48">
        <f>IF(ISNA(VLOOKUP(D715,'[2]stock-take'!$A:$E,3,FALSE)), 0, VLOOKUP(D715,'[2]stock-take'!$A:$E,3,FALSE))</f>
        <v>0</v>
      </c>
      <c r="I715" s="48" t="str">
        <f>IF(F715="", " ",IF(ISNA(VLOOKUP(D715,'[2]stock-take'!$G:$K,4,FALSE)), "OUT OF STOCK", VLOOKUP(D715,'[2]stock-take'!$G:$K,4,FALSE)))</f>
        <v xml:space="preserve"> </v>
      </c>
      <c r="J715" s="39">
        <f>IF(ISNA(VLOOKUP(D715,'[2]stock-take'!$G:$K,3,FALSE)), 0, VLOOKUP(D715,'[2]stock-take'!$G:$K,3,FALSE))</f>
        <v>0</v>
      </c>
      <c r="K715" s="49" t="str">
        <f>IF(F715="", " ", IF(ISNA(VLOOKUP(D715,'[2]stock-take'!$M:$Q,4,FALSE)), "OUT OF STOCK", VLOOKUP(D715,'[2]stock-take'!$M:$Q,4,FALSE)))</f>
        <v xml:space="preserve"> </v>
      </c>
      <c r="L715" s="47">
        <f>IF(ISNA(VLOOKUP(D715,'[2]stock-take'!$M:$Q,3,FALSE)), 0, VLOOKUP(D715,'[2]stock-take'!$M:$Q,3,FALSE))</f>
        <v>0</v>
      </c>
      <c r="M715" s="48" t="str">
        <f t="shared" si="31"/>
        <v xml:space="preserve"> </v>
      </c>
      <c r="N715" s="39" t="str">
        <f t="shared" si="32"/>
        <v xml:space="preserve"> </v>
      </c>
    </row>
    <row r="716" spans="1:14">
      <c r="A716" s="37">
        <f t="shared" ref="A716:A779" si="33">ROW(A716)-11</f>
        <v>705</v>
      </c>
      <c r="G716" s="48" t="str">
        <f>IF(F716=""," ",IF(ISNA(VLOOKUP(D716,'[2]stock-take'!$A:$E,4,FALSE)), "OUT OF STOCK", VLOOKUP(D716,'[2]stock-take'!$A:$E,4,FALSE)))</f>
        <v xml:space="preserve"> </v>
      </c>
      <c r="H716" s="48">
        <f>IF(ISNA(VLOOKUP(D716,'[2]stock-take'!$A:$E,3,FALSE)), 0, VLOOKUP(D716,'[2]stock-take'!$A:$E,3,FALSE))</f>
        <v>0</v>
      </c>
      <c r="I716" s="48" t="str">
        <f>IF(F716="", " ",IF(ISNA(VLOOKUP(D716,'[2]stock-take'!$G:$K,4,FALSE)), "OUT OF STOCK", VLOOKUP(D716,'[2]stock-take'!$G:$K,4,FALSE)))</f>
        <v xml:space="preserve"> </v>
      </c>
      <c r="J716" s="39">
        <f>IF(ISNA(VLOOKUP(D716,'[2]stock-take'!$G:$K,3,FALSE)), 0, VLOOKUP(D716,'[2]stock-take'!$G:$K,3,FALSE))</f>
        <v>0</v>
      </c>
      <c r="K716" s="49" t="str">
        <f>IF(F716="", " ", IF(ISNA(VLOOKUP(D716,'[2]stock-take'!$M:$Q,4,FALSE)), "OUT OF STOCK", VLOOKUP(D716,'[2]stock-take'!$M:$Q,4,FALSE)))</f>
        <v xml:space="preserve"> </v>
      </c>
      <c r="L716" s="47">
        <f>IF(ISNA(VLOOKUP(D716,'[2]stock-take'!$M:$Q,3,FALSE)), 0, VLOOKUP(D716,'[2]stock-take'!$M:$Q,3,FALSE))</f>
        <v>0</v>
      </c>
      <c r="M716" s="48" t="str">
        <f t="shared" si="31"/>
        <v xml:space="preserve"> </v>
      </c>
      <c r="N716" s="39" t="str">
        <f t="shared" si="32"/>
        <v xml:space="preserve"> </v>
      </c>
    </row>
    <row r="717" spans="1:14">
      <c r="A717" s="37">
        <f t="shared" si="33"/>
        <v>706</v>
      </c>
      <c r="G717" s="48" t="str">
        <f>IF(F717=""," ",IF(ISNA(VLOOKUP(D717,'[2]stock-take'!$A:$E,4,FALSE)), "OUT OF STOCK", VLOOKUP(D717,'[2]stock-take'!$A:$E,4,FALSE)))</f>
        <v xml:space="preserve"> </v>
      </c>
      <c r="H717" s="48">
        <f>IF(ISNA(VLOOKUP(D717,'[2]stock-take'!$A:$E,3,FALSE)), 0, VLOOKUP(D717,'[2]stock-take'!$A:$E,3,FALSE))</f>
        <v>0</v>
      </c>
      <c r="I717" s="48" t="str">
        <f>IF(F717="", " ",IF(ISNA(VLOOKUP(D717,'[2]stock-take'!$G:$K,4,FALSE)), "OUT OF STOCK", VLOOKUP(D717,'[2]stock-take'!$G:$K,4,FALSE)))</f>
        <v xml:space="preserve"> </v>
      </c>
      <c r="J717" s="39">
        <f>IF(ISNA(VLOOKUP(D717,'[2]stock-take'!$G:$K,3,FALSE)), 0, VLOOKUP(D717,'[2]stock-take'!$G:$K,3,FALSE))</f>
        <v>0</v>
      </c>
      <c r="K717" s="49" t="str">
        <f>IF(F717="", " ", IF(ISNA(VLOOKUP(D717,'[2]stock-take'!$M:$Q,4,FALSE)), "OUT OF STOCK", VLOOKUP(D717,'[2]stock-take'!$M:$Q,4,FALSE)))</f>
        <v xml:space="preserve"> </v>
      </c>
      <c r="L717" s="47">
        <f>IF(ISNA(VLOOKUP(D717,'[2]stock-take'!$M:$Q,3,FALSE)), 0, VLOOKUP(D717,'[2]stock-take'!$M:$Q,3,FALSE))</f>
        <v>0</v>
      </c>
      <c r="M717" s="48" t="str">
        <f t="shared" ref="M717:M780" si="34">IF(F717=""," ",IF(H717&gt;=F717,"Y",IF(J717&gt;=F717,"Y",IF(L717&gt;=F717,"Y",IF(SUM(H717,J717,L717)&gt;=F717,"Y","N")))))</f>
        <v xml:space="preserve"> </v>
      </c>
      <c r="N717" s="39" t="str">
        <f t="shared" ref="N717:N780" si="35">IF(F717=""," ",IF(H717&gt;=F717,"ILOOM",IF(J717&gt;=F717,"NO.6",IF(L717&gt;=F717,"RMD",IF(SUM(H717,J717,L717)&gt;=F717,"MULTI","LACK")))))</f>
        <v xml:space="preserve"> </v>
      </c>
    </row>
    <row r="718" spans="1:14">
      <c r="A718" s="37">
        <f t="shared" si="33"/>
        <v>707</v>
      </c>
      <c r="G718" s="48" t="str">
        <f>IF(F718=""," ",IF(ISNA(VLOOKUP(D718,'[2]stock-take'!$A:$E,4,FALSE)), "OUT OF STOCK", VLOOKUP(D718,'[2]stock-take'!$A:$E,4,FALSE)))</f>
        <v xml:space="preserve"> </v>
      </c>
      <c r="H718" s="48">
        <f>IF(ISNA(VLOOKUP(D718,'[2]stock-take'!$A:$E,3,FALSE)), 0, VLOOKUP(D718,'[2]stock-take'!$A:$E,3,FALSE))</f>
        <v>0</v>
      </c>
      <c r="I718" s="48" t="str">
        <f>IF(F718="", " ",IF(ISNA(VLOOKUP(D718,'[2]stock-take'!$G:$K,4,FALSE)), "OUT OF STOCK", VLOOKUP(D718,'[2]stock-take'!$G:$K,4,FALSE)))</f>
        <v xml:space="preserve"> </v>
      </c>
      <c r="J718" s="39">
        <f>IF(ISNA(VLOOKUP(D718,'[2]stock-take'!$G:$K,3,FALSE)), 0, VLOOKUP(D718,'[2]stock-take'!$G:$K,3,FALSE))</f>
        <v>0</v>
      </c>
      <c r="K718" s="49" t="str">
        <f>IF(F718="", " ", IF(ISNA(VLOOKUP(D718,'[2]stock-take'!$M:$Q,4,FALSE)), "OUT OF STOCK", VLOOKUP(D718,'[2]stock-take'!$M:$Q,4,FALSE)))</f>
        <v xml:space="preserve"> </v>
      </c>
      <c r="L718" s="47">
        <f>IF(ISNA(VLOOKUP(D718,'[2]stock-take'!$M:$Q,3,FALSE)), 0, VLOOKUP(D718,'[2]stock-take'!$M:$Q,3,FALSE))</f>
        <v>0</v>
      </c>
      <c r="M718" s="48" t="str">
        <f t="shared" si="34"/>
        <v xml:space="preserve"> </v>
      </c>
      <c r="N718" s="39" t="str">
        <f t="shared" si="35"/>
        <v xml:space="preserve"> </v>
      </c>
    </row>
    <row r="719" spans="1:14">
      <c r="A719" s="37">
        <f t="shared" si="33"/>
        <v>708</v>
      </c>
      <c r="G719" s="48" t="str">
        <f>IF(F719=""," ",IF(ISNA(VLOOKUP(D719,'[2]stock-take'!$A:$E,4,FALSE)), "OUT OF STOCK", VLOOKUP(D719,'[2]stock-take'!$A:$E,4,FALSE)))</f>
        <v xml:space="preserve"> </v>
      </c>
      <c r="H719" s="48">
        <f>IF(ISNA(VLOOKUP(D719,'[2]stock-take'!$A:$E,3,FALSE)), 0, VLOOKUP(D719,'[2]stock-take'!$A:$E,3,FALSE))</f>
        <v>0</v>
      </c>
      <c r="I719" s="48" t="str">
        <f>IF(F719="", " ",IF(ISNA(VLOOKUP(D719,'[2]stock-take'!$G:$K,4,FALSE)), "OUT OF STOCK", VLOOKUP(D719,'[2]stock-take'!$G:$K,4,FALSE)))</f>
        <v xml:space="preserve"> </v>
      </c>
      <c r="J719" s="39">
        <f>IF(ISNA(VLOOKUP(D719,'[2]stock-take'!$G:$K,3,FALSE)), 0, VLOOKUP(D719,'[2]stock-take'!$G:$K,3,FALSE))</f>
        <v>0</v>
      </c>
      <c r="K719" s="49" t="str">
        <f>IF(F719="", " ", IF(ISNA(VLOOKUP(D719,'[2]stock-take'!$M:$Q,4,FALSE)), "OUT OF STOCK", VLOOKUP(D719,'[2]stock-take'!$M:$Q,4,FALSE)))</f>
        <v xml:space="preserve"> </v>
      </c>
      <c r="L719" s="47">
        <f>IF(ISNA(VLOOKUP(D719,'[2]stock-take'!$M:$Q,3,FALSE)), 0, VLOOKUP(D719,'[2]stock-take'!$M:$Q,3,FALSE))</f>
        <v>0</v>
      </c>
      <c r="M719" s="48" t="str">
        <f t="shared" si="34"/>
        <v xml:space="preserve"> </v>
      </c>
      <c r="N719" s="39" t="str">
        <f t="shared" si="35"/>
        <v xml:space="preserve"> </v>
      </c>
    </row>
    <row r="720" spans="1:14">
      <c r="A720" s="37">
        <f t="shared" si="33"/>
        <v>709</v>
      </c>
      <c r="G720" s="48" t="str">
        <f>IF(F720=""," ",IF(ISNA(VLOOKUP(D720,'[2]stock-take'!$A:$E,4,FALSE)), "OUT OF STOCK", VLOOKUP(D720,'[2]stock-take'!$A:$E,4,FALSE)))</f>
        <v xml:space="preserve"> </v>
      </c>
      <c r="H720" s="48">
        <f>IF(ISNA(VLOOKUP(D720,'[2]stock-take'!$A:$E,3,FALSE)), 0, VLOOKUP(D720,'[2]stock-take'!$A:$E,3,FALSE))</f>
        <v>0</v>
      </c>
      <c r="I720" s="48" t="str">
        <f>IF(F720="", " ",IF(ISNA(VLOOKUP(D720,'[2]stock-take'!$G:$K,4,FALSE)), "OUT OF STOCK", VLOOKUP(D720,'[2]stock-take'!$G:$K,4,FALSE)))</f>
        <v xml:space="preserve"> </v>
      </c>
      <c r="J720" s="39">
        <f>IF(ISNA(VLOOKUP(D720,'[2]stock-take'!$G:$K,3,FALSE)), 0, VLOOKUP(D720,'[2]stock-take'!$G:$K,3,FALSE))</f>
        <v>0</v>
      </c>
      <c r="K720" s="49" t="str">
        <f>IF(F720="", " ", IF(ISNA(VLOOKUP(D720,'[2]stock-take'!$M:$Q,4,FALSE)), "OUT OF STOCK", VLOOKUP(D720,'[2]stock-take'!$M:$Q,4,FALSE)))</f>
        <v xml:space="preserve"> </v>
      </c>
      <c r="L720" s="47">
        <f>IF(ISNA(VLOOKUP(D720,'[2]stock-take'!$M:$Q,3,FALSE)), 0, VLOOKUP(D720,'[2]stock-take'!$M:$Q,3,FALSE))</f>
        <v>0</v>
      </c>
      <c r="M720" s="48" t="str">
        <f t="shared" si="34"/>
        <v xml:space="preserve"> </v>
      </c>
      <c r="N720" s="39" t="str">
        <f t="shared" si="35"/>
        <v xml:space="preserve"> </v>
      </c>
    </row>
    <row r="721" spans="1:14">
      <c r="A721" s="37">
        <f t="shared" si="33"/>
        <v>710</v>
      </c>
      <c r="G721" s="48" t="str">
        <f>IF(F721=""," ",IF(ISNA(VLOOKUP(D721,'[2]stock-take'!$A:$E,4,FALSE)), "OUT OF STOCK", VLOOKUP(D721,'[2]stock-take'!$A:$E,4,FALSE)))</f>
        <v xml:space="preserve"> </v>
      </c>
      <c r="H721" s="48">
        <f>IF(ISNA(VLOOKUP(D721,'[2]stock-take'!$A:$E,3,FALSE)), 0, VLOOKUP(D721,'[2]stock-take'!$A:$E,3,FALSE))</f>
        <v>0</v>
      </c>
      <c r="I721" s="48" t="str">
        <f>IF(F721="", " ",IF(ISNA(VLOOKUP(D721,'[2]stock-take'!$G:$K,4,FALSE)), "OUT OF STOCK", VLOOKUP(D721,'[2]stock-take'!$G:$K,4,FALSE)))</f>
        <v xml:space="preserve"> </v>
      </c>
      <c r="J721" s="39">
        <f>IF(ISNA(VLOOKUP(D721,'[2]stock-take'!$G:$K,3,FALSE)), 0, VLOOKUP(D721,'[2]stock-take'!$G:$K,3,FALSE))</f>
        <v>0</v>
      </c>
      <c r="K721" s="49" t="str">
        <f>IF(F721="", " ", IF(ISNA(VLOOKUP(D721,'[2]stock-take'!$M:$Q,4,FALSE)), "OUT OF STOCK", VLOOKUP(D721,'[2]stock-take'!$M:$Q,4,FALSE)))</f>
        <v xml:space="preserve"> </v>
      </c>
      <c r="L721" s="47">
        <f>IF(ISNA(VLOOKUP(D721,'[2]stock-take'!$M:$Q,3,FALSE)), 0, VLOOKUP(D721,'[2]stock-take'!$M:$Q,3,FALSE))</f>
        <v>0</v>
      </c>
      <c r="M721" s="48" t="str">
        <f t="shared" si="34"/>
        <v xml:space="preserve"> </v>
      </c>
      <c r="N721" s="39" t="str">
        <f t="shared" si="35"/>
        <v xml:space="preserve"> </v>
      </c>
    </row>
    <row r="722" spans="1:14">
      <c r="A722" s="37">
        <f t="shared" si="33"/>
        <v>711</v>
      </c>
      <c r="G722" s="48" t="str">
        <f>IF(F722=""," ",IF(ISNA(VLOOKUP(D722,'[2]stock-take'!$A:$E,4,FALSE)), "OUT OF STOCK", VLOOKUP(D722,'[2]stock-take'!$A:$E,4,FALSE)))</f>
        <v xml:space="preserve"> </v>
      </c>
      <c r="H722" s="48">
        <f>IF(ISNA(VLOOKUP(D722,'[2]stock-take'!$A:$E,3,FALSE)), 0, VLOOKUP(D722,'[2]stock-take'!$A:$E,3,FALSE))</f>
        <v>0</v>
      </c>
      <c r="I722" s="48" t="str">
        <f>IF(F722="", " ",IF(ISNA(VLOOKUP(D722,'[2]stock-take'!$G:$K,4,FALSE)), "OUT OF STOCK", VLOOKUP(D722,'[2]stock-take'!$G:$K,4,FALSE)))</f>
        <v xml:space="preserve"> </v>
      </c>
      <c r="J722" s="39">
        <f>IF(ISNA(VLOOKUP(D722,'[2]stock-take'!$G:$K,3,FALSE)), 0, VLOOKUP(D722,'[2]stock-take'!$G:$K,3,FALSE))</f>
        <v>0</v>
      </c>
      <c r="K722" s="49" t="str">
        <f>IF(F722="", " ", IF(ISNA(VLOOKUP(D722,'[2]stock-take'!$M:$Q,4,FALSE)), "OUT OF STOCK", VLOOKUP(D722,'[2]stock-take'!$M:$Q,4,FALSE)))</f>
        <v xml:space="preserve"> </v>
      </c>
      <c r="L722" s="47">
        <f>IF(ISNA(VLOOKUP(D722,'[2]stock-take'!$M:$Q,3,FALSE)), 0, VLOOKUP(D722,'[2]stock-take'!$M:$Q,3,FALSE))</f>
        <v>0</v>
      </c>
      <c r="M722" s="48" t="str">
        <f t="shared" si="34"/>
        <v xml:space="preserve"> </v>
      </c>
      <c r="N722" s="39" t="str">
        <f t="shared" si="35"/>
        <v xml:space="preserve"> </v>
      </c>
    </row>
    <row r="723" spans="1:14">
      <c r="A723" s="37">
        <f t="shared" si="33"/>
        <v>712</v>
      </c>
      <c r="G723" s="48" t="str">
        <f>IF(F723=""," ",IF(ISNA(VLOOKUP(D723,'[2]stock-take'!$A:$E,4,FALSE)), "OUT OF STOCK", VLOOKUP(D723,'[2]stock-take'!$A:$E,4,FALSE)))</f>
        <v xml:space="preserve"> </v>
      </c>
      <c r="H723" s="48">
        <f>IF(ISNA(VLOOKUP(D723,'[2]stock-take'!$A:$E,3,FALSE)), 0, VLOOKUP(D723,'[2]stock-take'!$A:$E,3,FALSE))</f>
        <v>0</v>
      </c>
      <c r="I723" s="48" t="str">
        <f>IF(F723="", " ",IF(ISNA(VLOOKUP(D723,'[2]stock-take'!$G:$K,4,FALSE)), "OUT OF STOCK", VLOOKUP(D723,'[2]stock-take'!$G:$K,4,FALSE)))</f>
        <v xml:space="preserve"> </v>
      </c>
      <c r="J723" s="39">
        <f>IF(ISNA(VLOOKUP(D723,'[2]stock-take'!$G:$K,3,FALSE)), 0, VLOOKUP(D723,'[2]stock-take'!$G:$K,3,FALSE))</f>
        <v>0</v>
      </c>
      <c r="K723" s="49" t="str">
        <f>IF(F723="", " ", IF(ISNA(VLOOKUP(D723,'[2]stock-take'!$M:$Q,4,FALSE)), "OUT OF STOCK", VLOOKUP(D723,'[2]stock-take'!$M:$Q,4,FALSE)))</f>
        <v xml:space="preserve"> </v>
      </c>
      <c r="L723" s="47">
        <f>IF(ISNA(VLOOKUP(D723,'[2]stock-take'!$M:$Q,3,FALSE)), 0, VLOOKUP(D723,'[2]stock-take'!$M:$Q,3,FALSE))</f>
        <v>0</v>
      </c>
      <c r="M723" s="48" t="str">
        <f t="shared" si="34"/>
        <v xml:space="preserve"> </v>
      </c>
      <c r="N723" s="39" t="str">
        <f t="shared" si="35"/>
        <v xml:space="preserve"> </v>
      </c>
    </row>
    <row r="724" spans="1:14">
      <c r="A724" s="37">
        <f t="shared" si="33"/>
        <v>713</v>
      </c>
      <c r="G724" s="48" t="str">
        <f>IF(F724=""," ",IF(ISNA(VLOOKUP(D724,'[2]stock-take'!$A:$E,4,FALSE)), "OUT OF STOCK", VLOOKUP(D724,'[2]stock-take'!$A:$E,4,FALSE)))</f>
        <v xml:space="preserve"> </v>
      </c>
      <c r="H724" s="48">
        <f>IF(ISNA(VLOOKUP(D724,'[2]stock-take'!$A:$E,3,FALSE)), 0, VLOOKUP(D724,'[2]stock-take'!$A:$E,3,FALSE))</f>
        <v>0</v>
      </c>
      <c r="I724" s="48" t="str">
        <f>IF(F724="", " ",IF(ISNA(VLOOKUP(D724,'[2]stock-take'!$G:$K,4,FALSE)), "OUT OF STOCK", VLOOKUP(D724,'[2]stock-take'!$G:$K,4,FALSE)))</f>
        <v xml:space="preserve"> </v>
      </c>
      <c r="J724" s="39">
        <f>IF(ISNA(VLOOKUP(D724,'[2]stock-take'!$G:$K,3,FALSE)), 0, VLOOKUP(D724,'[2]stock-take'!$G:$K,3,FALSE))</f>
        <v>0</v>
      </c>
      <c r="K724" s="49" t="str">
        <f>IF(F724="", " ", IF(ISNA(VLOOKUP(D724,'[2]stock-take'!$M:$Q,4,FALSE)), "OUT OF STOCK", VLOOKUP(D724,'[2]stock-take'!$M:$Q,4,FALSE)))</f>
        <v xml:space="preserve"> </v>
      </c>
      <c r="L724" s="47">
        <f>IF(ISNA(VLOOKUP(D724,'[2]stock-take'!$M:$Q,3,FALSE)), 0, VLOOKUP(D724,'[2]stock-take'!$M:$Q,3,FALSE))</f>
        <v>0</v>
      </c>
      <c r="M724" s="48" t="str">
        <f t="shared" si="34"/>
        <v xml:space="preserve"> </v>
      </c>
      <c r="N724" s="39" t="str">
        <f t="shared" si="35"/>
        <v xml:space="preserve"> </v>
      </c>
    </row>
    <row r="725" spans="1:14">
      <c r="A725" s="37">
        <f t="shared" si="33"/>
        <v>714</v>
      </c>
      <c r="G725" s="48" t="str">
        <f>IF(F725=""," ",IF(ISNA(VLOOKUP(D725,'[2]stock-take'!$A:$E,4,FALSE)), "OUT OF STOCK", VLOOKUP(D725,'[2]stock-take'!$A:$E,4,FALSE)))</f>
        <v xml:space="preserve"> </v>
      </c>
      <c r="H725" s="48">
        <f>IF(ISNA(VLOOKUP(D725,'[2]stock-take'!$A:$E,3,FALSE)), 0, VLOOKUP(D725,'[2]stock-take'!$A:$E,3,FALSE))</f>
        <v>0</v>
      </c>
      <c r="I725" s="48" t="str">
        <f>IF(F725="", " ",IF(ISNA(VLOOKUP(D725,'[2]stock-take'!$G:$K,4,FALSE)), "OUT OF STOCK", VLOOKUP(D725,'[2]stock-take'!$G:$K,4,FALSE)))</f>
        <v xml:space="preserve"> </v>
      </c>
      <c r="J725" s="39">
        <f>IF(ISNA(VLOOKUP(D725,'[2]stock-take'!$G:$K,3,FALSE)), 0, VLOOKUP(D725,'[2]stock-take'!$G:$K,3,FALSE))</f>
        <v>0</v>
      </c>
      <c r="K725" s="49" t="str">
        <f>IF(F725="", " ", IF(ISNA(VLOOKUP(D725,'[2]stock-take'!$M:$Q,4,FALSE)), "OUT OF STOCK", VLOOKUP(D725,'[2]stock-take'!$M:$Q,4,FALSE)))</f>
        <v xml:space="preserve"> </v>
      </c>
      <c r="L725" s="47">
        <f>IF(ISNA(VLOOKUP(D725,'[2]stock-take'!$M:$Q,3,FALSE)), 0, VLOOKUP(D725,'[2]stock-take'!$M:$Q,3,FALSE))</f>
        <v>0</v>
      </c>
      <c r="M725" s="48" t="str">
        <f t="shared" si="34"/>
        <v xml:space="preserve"> </v>
      </c>
      <c r="N725" s="39" t="str">
        <f t="shared" si="35"/>
        <v xml:space="preserve"> </v>
      </c>
    </row>
    <row r="726" spans="1:14">
      <c r="A726" s="37">
        <f t="shared" si="33"/>
        <v>715</v>
      </c>
      <c r="G726" s="48" t="str">
        <f>IF(F726=""," ",IF(ISNA(VLOOKUP(D726,'[2]stock-take'!$A:$E,4,FALSE)), "OUT OF STOCK", VLOOKUP(D726,'[2]stock-take'!$A:$E,4,FALSE)))</f>
        <v xml:space="preserve"> </v>
      </c>
      <c r="H726" s="48">
        <f>IF(ISNA(VLOOKUP(D726,'[2]stock-take'!$A:$E,3,FALSE)), 0, VLOOKUP(D726,'[2]stock-take'!$A:$E,3,FALSE))</f>
        <v>0</v>
      </c>
      <c r="I726" s="48" t="str">
        <f>IF(F726="", " ",IF(ISNA(VLOOKUP(D726,'[2]stock-take'!$G:$K,4,FALSE)), "OUT OF STOCK", VLOOKUP(D726,'[2]stock-take'!$G:$K,4,FALSE)))</f>
        <v xml:space="preserve"> </v>
      </c>
      <c r="J726" s="39">
        <f>IF(ISNA(VLOOKUP(D726,'[2]stock-take'!$G:$K,3,FALSE)), 0, VLOOKUP(D726,'[2]stock-take'!$G:$K,3,FALSE))</f>
        <v>0</v>
      </c>
      <c r="K726" s="49" t="str">
        <f>IF(F726="", " ", IF(ISNA(VLOOKUP(D726,'[2]stock-take'!$M:$Q,4,FALSE)), "OUT OF STOCK", VLOOKUP(D726,'[2]stock-take'!$M:$Q,4,FALSE)))</f>
        <v xml:space="preserve"> </v>
      </c>
      <c r="L726" s="47">
        <f>IF(ISNA(VLOOKUP(D726,'[2]stock-take'!$M:$Q,3,FALSE)), 0, VLOOKUP(D726,'[2]stock-take'!$M:$Q,3,FALSE))</f>
        <v>0</v>
      </c>
      <c r="M726" s="48" t="str">
        <f t="shared" si="34"/>
        <v xml:space="preserve"> </v>
      </c>
      <c r="N726" s="39" t="str">
        <f t="shared" si="35"/>
        <v xml:space="preserve"> </v>
      </c>
    </row>
    <row r="727" spans="1:14">
      <c r="A727" s="37">
        <f t="shared" si="33"/>
        <v>716</v>
      </c>
      <c r="G727" s="48" t="str">
        <f>IF(F727=""," ",IF(ISNA(VLOOKUP(D727,'[2]stock-take'!$A:$E,4,FALSE)), "OUT OF STOCK", VLOOKUP(D727,'[2]stock-take'!$A:$E,4,FALSE)))</f>
        <v xml:space="preserve"> </v>
      </c>
      <c r="H727" s="48">
        <f>IF(ISNA(VLOOKUP(D727,'[2]stock-take'!$A:$E,3,FALSE)), 0, VLOOKUP(D727,'[2]stock-take'!$A:$E,3,FALSE))</f>
        <v>0</v>
      </c>
      <c r="I727" s="48" t="str">
        <f>IF(F727="", " ",IF(ISNA(VLOOKUP(D727,'[2]stock-take'!$G:$K,4,FALSE)), "OUT OF STOCK", VLOOKUP(D727,'[2]stock-take'!$G:$K,4,FALSE)))</f>
        <v xml:space="preserve"> </v>
      </c>
      <c r="J727" s="39">
        <f>IF(ISNA(VLOOKUP(D727,'[2]stock-take'!$G:$K,3,FALSE)), 0, VLOOKUP(D727,'[2]stock-take'!$G:$K,3,FALSE))</f>
        <v>0</v>
      </c>
      <c r="K727" s="49" t="str">
        <f>IF(F727="", " ", IF(ISNA(VLOOKUP(D727,'[2]stock-take'!$M:$Q,4,FALSE)), "OUT OF STOCK", VLOOKUP(D727,'[2]stock-take'!$M:$Q,4,FALSE)))</f>
        <v xml:space="preserve"> </v>
      </c>
      <c r="L727" s="47">
        <f>IF(ISNA(VLOOKUP(D727,'[2]stock-take'!$M:$Q,3,FALSE)), 0, VLOOKUP(D727,'[2]stock-take'!$M:$Q,3,FALSE))</f>
        <v>0</v>
      </c>
      <c r="M727" s="48" t="str">
        <f t="shared" si="34"/>
        <v xml:space="preserve"> </v>
      </c>
      <c r="N727" s="39" t="str">
        <f t="shared" si="35"/>
        <v xml:space="preserve"> </v>
      </c>
    </row>
    <row r="728" spans="1:14">
      <c r="A728" s="37">
        <f t="shared" si="33"/>
        <v>717</v>
      </c>
      <c r="G728" s="48" t="str">
        <f>IF(F728=""," ",IF(ISNA(VLOOKUP(D728,'[2]stock-take'!$A:$E,4,FALSE)), "OUT OF STOCK", VLOOKUP(D728,'[2]stock-take'!$A:$E,4,FALSE)))</f>
        <v xml:space="preserve"> </v>
      </c>
      <c r="H728" s="48">
        <f>IF(ISNA(VLOOKUP(D728,'[2]stock-take'!$A:$E,3,FALSE)), 0, VLOOKUP(D728,'[2]stock-take'!$A:$E,3,FALSE))</f>
        <v>0</v>
      </c>
      <c r="I728" s="48" t="str">
        <f>IF(F728="", " ",IF(ISNA(VLOOKUP(D728,'[2]stock-take'!$G:$K,4,FALSE)), "OUT OF STOCK", VLOOKUP(D728,'[2]stock-take'!$G:$K,4,FALSE)))</f>
        <v xml:space="preserve"> </v>
      </c>
      <c r="J728" s="39">
        <f>IF(ISNA(VLOOKUP(D728,'[2]stock-take'!$G:$K,3,FALSE)), 0, VLOOKUP(D728,'[2]stock-take'!$G:$K,3,FALSE))</f>
        <v>0</v>
      </c>
      <c r="K728" s="49" t="str">
        <f>IF(F728="", " ", IF(ISNA(VLOOKUP(D728,'[2]stock-take'!$M:$Q,4,FALSE)), "OUT OF STOCK", VLOOKUP(D728,'[2]stock-take'!$M:$Q,4,FALSE)))</f>
        <v xml:space="preserve"> </v>
      </c>
      <c r="L728" s="47">
        <f>IF(ISNA(VLOOKUP(D728,'[2]stock-take'!$M:$Q,3,FALSE)), 0, VLOOKUP(D728,'[2]stock-take'!$M:$Q,3,FALSE))</f>
        <v>0</v>
      </c>
      <c r="M728" s="48" t="str">
        <f t="shared" si="34"/>
        <v xml:space="preserve"> </v>
      </c>
      <c r="N728" s="39" t="str">
        <f t="shared" si="35"/>
        <v xml:space="preserve"> </v>
      </c>
    </row>
    <row r="729" spans="1:14">
      <c r="A729" s="37">
        <f t="shared" si="33"/>
        <v>718</v>
      </c>
      <c r="G729" s="48" t="str">
        <f>IF(F729=""," ",IF(ISNA(VLOOKUP(D729,'[2]stock-take'!$A:$E,4,FALSE)), "OUT OF STOCK", VLOOKUP(D729,'[2]stock-take'!$A:$E,4,FALSE)))</f>
        <v xml:space="preserve"> </v>
      </c>
      <c r="H729" s="48">
        <f>IF(ISNA(VLOOKUP(D729,'[2]stock-take'!$A:$E,3,FALSE)), 0, VLOOKUP(D729,'[2]stock-take'!$A:$E,3,FALSE))</f>
        <v>0</v>
      </c>
      <c r="I729" s="48" t="str">
        <f>IF(F729="", " ",IF(ISNA(VLOOKUP(D729,'[2]stock-take'!$G:$K,4,FALSE)), "OUT OF STOCK", VLOOKUP(D729,'[2]stock-take'!$G:$K,4,FALSE)))</f>
        <v xml:space="preserve"> </v>
      </c>
      <c r="J729" s="39">
        <f>IF(ISNA(VLOOKUP(D729,'[2]stock-take'!$G:$K,3,FALSE)), 0, VLOOKUP(D729,'[2]stock-take'!$G:$K,3,FALSE))</f>
        <v>0</v>
      </c>
      <c r="K729" s="49" t="str">
        <f>IF(F729="", " ", IF(ISNA(VLOOKUP(D729,'[2]stock-take'!$M:$Q,4,FALSE)), "OUT OF STOCK", VLOOKUP(D729,'[2]stock-take'!$M:$Q,4,FALSE)))</f>
        <v xml:space="preserve"> </v>
      </c>
      <c r="L729" s="47">
        <f>IF(ISNA(VLOOKUP(D729,'[2]stock-take'!$M:$Q,3,FALSE)), 0, VLOOKUP(D729,'[2]stock-take'!$M:$Q,3,FALSE))</f>
        <v>0</v>
      </c>
      <c r="M729" s="48" t="str">
        <f t="shared" si="34"/>
        <v xml:space="preserve"> </v>
      </c>
      <c r="N729" s="39" t="str">
        <f t="shared" si="35"/>
        <v xml:space="preserve"> </v>
      </c>
    </row>
    <row r="730" spans="1:14">
      <c r="A730" s="37">
        <f t="shared" si="33"/>
        <v>719</v>
      </c>
      <c r="G730" s="48" t="str">
        <f>IF(F730=""," ",IF(ISNA(VLOOKUP(D730,'[2]stock-take'!$A:$E,4,FALSE)), "OUT OF STOCK", VLOOKUP(D730,'[2]stock-take'!$A:$E,4,FALSE)))</f>
        <v xml:space="preserve"> </v>
      </c>
      <c r="H730" s="48">
        <f>IF(ISNA(VLOOKUP(D730,'[2]stock-take'!$A:$E,3,FALSE)), 0, VLOOKUP(D730,'[2]stock-take'!$A:$E,3,FALSE))</f>
        <v>0</v>
      </c>
      <c r="I730" s="48" t="str">
        <f>IF(F730="", " ",IF(ISNA(VLOOKUP(D730,'[2]stock-take'!$G:$K,4,FALSE)), "OUT OF STOCK", VLOOKUP(D730,'[2]stock-take'!$G:$K,4,FALSE)))</f>
        <v xml:space="preserve"> </v>
      </c>
      <c r="J730" s="39">
        <f>IF(ISNA(VLOOKUP(D730,'[2]stock-take'!$G:$K,3,FALSE)), 0, VLOOKUP(D730,'[2]stock-take'!$G:$K,3,FALSE))</f>
        <v>0</v>
      </c>
      <c r="K730" s="49" t="str">
        <f>IF(F730="", " ", IF(ISNA(VLOOKUP(D730,'[2]stock-take'!$M:$Q,4,FALSE)), "OUT OF STOCK", VLOOKUP(D730,'[2]stock-take'!$M:$Q,4,FALSE)))</f>
        <v xml:space="preserve"> </v>
      </c>
      <c r="L730" s="47">
        <f>IF(ISNA(VLOOKUP(D730,'[2]stock-take'!$M:$Q,3,FALSE)), 0, VLOOKUP(D730,'[2]stock-take'!$M:$Q,3,FALSE))</f>
        <v>0</v>
      </c>
      <c r="M730" s="48" t="str">
        <f t="shared" si="34"/>
        <v xml:space="preserve"> </v>
      </c>
      <c r="N730" s="39" t="str">
        <f t="shared" si="35"/>
        <v xml:space="preserve"> </v>
      </c>
    </row>
    <row r="731" spans="1:14">
      <c r="A731" s="37">
        <f t="shared" si="33"/>
        <v>720</v>
      </c>
      <c r="G731" s="48" t="str">
        <f>IF(F731=""," ",IF(ISNA(VLOOKUP(D731,'[2]stock-take'!$A:$E,4,FALSE)), "OUT OF STOCK", VLOOKUP(D731,'[2]stock-take'!$A:$E,4,FALSE)))</f>
        <v xml:space="preserve"> </v>
      </c>
      <c r="H731" s="48">
        <f>IF(ISNA(VLOOKUP(D731,'[2]stock-take'!$A:$E,3,FALSE)), 0, VLOOKUP(D731,'[2]stock-take'!$A:$E,3,FALSE))</f>
        <v>0</v>
      </c>
      <c r="I731" s="48" t="str">
        <f>IF(F731="", " ",IF(ISNA(VLOOKUP(D731,'[2]stock-take'!$G:$K,4,FALSE)), "OUT OF STOCK", VLOOKUP(D731,'[2]stock-take'!$G:$K,4,FALSE)))</f>
        <v xml:space="preserve"> </v>
      </c>
      <c r="J731" s="39">
        <f>IF(ISNA(VLOOKUP(D731,'[2]stock-take'!$G:$K,3,FALSE)), 0, VLOOKUP(D731,'[2]stock-take'!$G:$K,3,FALSE))</f>
        <v>0</v>
      </c>
      <c r="K731" s="49" t="str">
        <f>IF(F731="", " ", IF(ISNA(VLOOKUP(D731,'[2]stock-take'!$M:$Q,4,FALSE)), "OUT OF STOCK", VLOOKUP(D731,'[2]stock-take'!$M:$Q,4,FALSE)))</f>
        <v xml:space="preserve"> </v>
      </c>
      <c r="L731" s="47">
        <f>IF(ISNA(VLOOKUP(D731,'[2]stock-take'!$M:$Q,3,FALSE)), 0, VLOOKUP(D731,'[2]stock-take'!$M:$Q,3,FALSE))</f>
        <v>0</v>
      </c>
      <c r="M731" s="48" t="str">
        <f t="shared" si="34"/>
        <v xml:space="preserve"> </v>
      </c>
      <c r="N731" s="39" t="str">
        <f t="shared" si="35"/>
        <v xml:space="preserve"> </v>
      </c>
    </row>
    <row r="732" spans="1:14">
      <c r="A732" s="37">
        <f t="shared" si="33"/>
        <v>721</v>
      </c>
      <c r="G732" s="48" t="str">
        <f>IF(F732=""," ",IF(ISNA(VLOOKUP(D732,'[2]stock-take'!$A:$E,4,FALSE)), "OUT OF STOCK", VLOOKUP(D732,'[2]stock-take'!$A:$E,4,FALSE)))</f>
        <v xml:space="preserve"> </v>
      </c>
      <c r="H732" s="48">
        <f>IF(ISNA(VLOOKUP(D732,'[2]stock-take'!$A:$E,3,FALSE)), 0, VLOOKUP(D732,'[2]stock-take'!$A:$E,3,FALSE))</f>
        <v>0</v>
      </c>
      <c r="I732" s="48" t="str">
        <f>IF(F732="", " ",IF(ISNA(VLOOKUP(D732,'[2]stock-take'!$G:$K,4,FALSE)), "OUT OF STOCK", VLOOKUP(D732,'[2]stock-take'!$G:$K,4,FALSE)))</f>
        <v xml:space="preserve"> </v>
      </c>
      <c r="J732" s="39">
        <f>IF(ISNA(VLOOKUP(D732,'[2]stock-take'!$G:$K,3,FALSE)), 0, VLOOKUP(D732,'[2]stock-take'!$G:$K,3,FALSE))</f>
        <v>0</v>
      </c>
      <c r="K732" s="49" t="str">
        <f>IF(F732="", " ", IF(ISNA(VLOOKUP(D732,'[2]stock-take'!$M:$Q,4,FALSE)), "OUT OF STOCK", VLOOKUP(D732,'[2]stock-take'!$M:$Q,4,FALSE)))</f>
        <v xml:space="preserve"> </v>
      </c>
      <c r="L732" s="47">
        <f>IF(ISNA(VLOOKUP(D732,'[2]stock-take'!$M:$Q,3,FALSE)), 0, VLOOKUP(D732,'[2]stock-take'!$M:$Q,3,FALSE))</f>
        <v>0</v>
      </c>
      <c r="M732" s="48" t="str">
        <f t="shared" si="34"/>
        <v xml:space="preserve"> </v>
      </c>
      <c r="N732" s="39" t="str">
        <f t="shared" si="35"/>
        <v xml:space="preserve"> </v>
      </c>
    </row>
    <row r="733" spans="1:14">
      <c r="A733" s="37">
        <f t="shared" si="33"/>
        <v>722</v>
      </c>
      <c r="G733" s="48" t="str">
        <f>IF(F733=""," ",IF(ISNA(VLOOKUP(D733,'[2]stock-take'!$A:$E,4,FALSE)), "OUT OF STOCK", VLOOKUP(D733,'[2]stock-take'!$A:$E,4,FALSE)))</f>
        <v xml:space="preserve"> </v>
      </c>
      <c r="H733" s="48">
        <f>IF(ISNA(VLOOKUP(D733,'[2]stock-take'!$A:$E,3,FALSE)), 0, VLOOKUP(D733,'[2]stock-take'!$A:$E,3,FALSE))</f>
        <v>0</v>
      </c>
      <c r="I733" s="48" t="str">
        <f>IF(F733="", " ",IF(ISNA(VLOOKUP(D733,'[2]stock-take'!$G:$K,4,FALSE)), "OUT OF STOCK", VLOOKUP(D733,'[2]stock-take'!$G:$K,4,FALSE)))</f>
        <v xml:space="preserve"> </v>
      </c>
      <c r="J733" s="39">
        <f>IF(ISNA(VLOOKUP(D733,'[2]stock-take'!$G:$K,3,FALSE)), 0, VLOOKUP(D733,'[2]stock-take'!$G:$K,3,FALSE))</f>
        <v>0</v>
      </c>
      <c r="K733" s="49" t="str">
        <f>IF(F733="", " ", IF(ISNA(VLOOKUP(D733,'[2]stock-take'!$M:$Q,4,FALSE)), "OUT OF STOCK", VLOOKUP(D733,'[2]stock-take'!$M:$Q,4,FALSE)))</f>
        <v xml:space="preserve"> </v>
      </c>
      <c r="L733" s="47">
        <f>IF(ISNA(VLOOKUP(D733,'[2]stock-take'!$M:$Q,3,FALSE)), 0, VLOOKUP(D733,'[2]stock-take'!$M:$Q,3,FALSE))</f>
        <v>0</v>
      </c>
      <c r="M733" s="48" t="str">
        <f t="shared" si="34"/>
        <v xml:space="preserve"> </v>
      </c>
      <c r="N733" s="39" t="str">
        <f t="shared" si="35"/>
        <v xml:space="preserve"> </v>
      </c>
    </row>
    <row r="734" spans="1:14">
      <c r="A734" s="37">
        <f t="shared" si="33"/>
        <v>723</v>
      </c>
      <c r="G734" s="48" t="str">
        <f>IF(F734=""," ",IF(ISNA(VLOOKUP(D734,'[2]stock-take'!$A:$E,4,FALSE)), "OUT OF STOCK", VLOOKUP(D734,'[2]stock-take'!$A:$E,4,FALSE)))</f>
        <v xml:space="preserve"> </v>
      </c>
      <c r="H734" s="48">
        <f>IF(ISNA(VLOOKUP(D734,'[2]stock-take'!$A:$E,3,FALSE)), 0, VLOOKUP(D734,'[2]stock-take'!$A:$E,3,FALSE))</f>
        <v>0</v>
      </c>
      <c r="I734" s="48" t="str">
        <f>IF(F734="", " ",IF(ISNA(VLOOKUP(D734,'[2]stock-take'!$G:$K,4,FALSE)), "OUT OF STOCK", VLOOKUP(D734,'[2]stock-take'!$G:$K,4,FALSE)))</f>
        <v xml:space="preserve"> </v>
      </c>
      <c r="J734" s="39">
        <f>IF(ISNA(VLOOKUP(D734,'[2]stock-take'!$G:$K,3,FALSE)), 0, VLOOKUP(D734,'[2]stock-take'!$G:$K,3,FALSE))</f>
        <v>0</v>
      </c>
      <c r="K734" s="49" t="str">
        <f>IF(F734="", " ", IF(ISNA(VLOOKUP(D734,'[2]stock-take'!$M:$Q,4,FALSE)), "OUT OF STOCK", VLOOKUP(D734,'[2]stock-take'!$M:$Q,4,FALSE)))</f>
        <v xml:space="preserve"> </v>
      </c>
      <c r="L734" s="47">
        <f>IF(ISNA(VLOOKUP(D734,'[2]stock-take'!$M:$Q,3,FALSE)), 0, VLOOKUP(D734,'[2]stock-take'!$M:$Q,3,FALSE))</f>
        <v>0</v>
      </c>
      <c r="M734" s="48" t="str">
        <f t="shared" si="34"/>
        <v xml:space="preserve"> </v>
      </c>
      <c r="N734" s="39" t="str">
        <f t="shared" si="35"/>
        <v xml:space="preserve"> </v>
      </c>
    </row>
    <row r="735" spans="1:14">
      <c r="A735" s="37">
        <f t="shared" si="33"/>
        <v>724</v>
      </c>
      <c r="G735" s="48" t="str">
        <f>IF(F735=""," ",IF(ISNA(VLOOKUP(D735,'[2]stock-take'!$A:$E,4,FALSE)), "OUT OF STOCK", VLOOKUP(D735,'[2]stock-take'!$A:$E,4,FALSE)))</f>
        <v xml:space="preserve"> </v>
      </c>
      <c r="H735" s="48">
        <f>IF(ISNA(VLOOKUP(D735,'[2]stock-take'!$A:$E,3,FALSE)), 0, VLOOKUP(D735,'[2]stock-take'!$A:$E,3,FALSE))</f>
        <v>0</v>
      </c>
      <c r="I735" s="48" t="str">
        <f>IF(F735="", " ",IF(ISNA(VLOOKUP(D735,'[2]stock-take'!$G:$K,4,FALSE)), "OUT OF STOCK", VLOOKUP(D735,'[2]stock-take'!$G:$K,4,FALSE)))</f>
        <v xml:space="preserve"> </v>
      </c>
      <c r="J735" s="39">
        <f>IF(ISNA(VLOOKUP(D735,'[2]stock-take'!$G:$K,3,FALSE)), 0, VLOOKUP(D735,'[2]stock-take'!$G:$K,3,FALSE))</f>
        <v>0</v>
      </c>
      <c r="K735" s="49" t="str">
        <f>IF(F735="", " ", IF(ISNA(VLOOKUP(D735,'[2]stock-take'!$M:$Q,4,FALSE)), "OUT OF STOCK", VLOOKUP(D735,'[2]stock-take'!$M:$Q,4,FALSE)))</f>
        <v xml:space="preserve"> </v>
      </c>
      <c r="L735" s="47">
        <f>IF(ISNA(VLOOKUP(D735,'[2]stock-take'!$M:$Q,3,FALSE)), 0, VLOOKUP(D735,'[2]stock-take'!$M:$Q,3,FALSE))</f>
        <v>0</v>
      </c>
      <c r="M735" s="48" t="str">
        <f t="shared" si="34"/>
        <v xml:space="preserve"> </v>
      </c>
      <c r="N735" s="39" t="str">
        <f t="shared" si="35"/>
        <v xml:space="preserve"> </v>
      </c>
    </row>
    <row r="736" spans="1:14">
      <c r="A736" s="37">
        <f t="shared" si="33"/>
        <v>725</v>
      </c>
      <c r="G736" s="48" t="str">
        <f>IF(F736=""," ",IF(ISNA(VLOOKUP(D736,'[2]stock-take'!$A:$E,4,FALSE)), "OUT OF STOCK", VLOOKUP(D736,'[2]stock-take'!$A:$E,4,FALSE)))</f>
        <v xml:space="preserve"> </v>
      </c>
      <c r="H736" s="48">
        <f>IF(ISNA(VLOOKUP(D736,'[2]stock-take'!$A:$E,3,FALSE)), 0, VLOOKUP(D736,'[2]stock-take'!$A:$E,3,FALSE))</f>
        <v>0</v>
      </c>
      <c r="I736" s="48" t="str">
        <f>IF(F736="", " ",IF(ISNA(VLOOKUP(D736,'[2]stock-take'!$G:$K,4,FALSE)), "OUT OF STOCK", VLOOKUP(D736,'[2]stock-take'!$G:$K,4,FALSE)))</f>
        <v xml:space="preserve"> </v>
      </c>
      <c r="J736" s="39">
        <f>IF(ISNA(VLOOKUP(D736,'[2]stock-take'!$G:$K,3,FALSE)), 0, VLOOKUP(D736,'[2]stock-take'!$G:$K,3,FALSE))</f>
        <v>0</v>
      </c>
      <c r="K736" s="49" t="str">
        <f>IF(F736="", " ", IF(ISNA(VLOOKUP(D736,'[2]stock-take'!$M:$Q,4,FALSE)), "OUT OF STOCK", VLOOKUP(D736,'[2]stock-take'!$M:$Q,4,FALSE)))</f>
        <v xml:space="preserve"> </v>
      </c>
      <c r="L736" s="47">
        <f>IF(ISNA(VLOOKUP(D736,'[2]stock-take'!$M:$Q,3,FALSE)), 0, VLOOKUP(D736,'[2]stock-take'!$M:$Q,3,FALSE))</f>
        <v>0</v>
      </c>
      <c r="M736" s="48" t="str">
        <f t="shared" si="34"/>
        <v xml:space="preserve"> </v>
      </c>
      <c r="N736" s="39" t="str">
        <f t="shared" si="35"/>
        <v xml:space="preserve"> </v>
      </c>
    </row>
    <row r="737" spans="1:14">
      <c r="A737" s="37">
        <f t="shared" si="33"/>
        <v>726</v>
      </c>
      <c r="G737" s="48" t="str">
        <f>IF(F737=""," ",IF(ISNA(VLOOKUP(D737,'[2]stock-take'!$A:$E,4,FALSE)), "OUT OF STOCK", VLOOKUP(D737,'[2]stock-take'!$A:$E,4,FALSE)))</f>
        <v xml:space="preserve"> </v>
      </c>
      <c r="H737" s="48">
        <f>IF(ISNA(VLOOKUP(D737,'[2]stock-take'!$A:$E,3,FALSE)), 0, VLOOKUP(D737,'[2]stock-take'!$A:$E,3,FALSE))</f>
        <v>0</v>
      </c>
      <c r="I737" s="48" t="str">
        <f>IF(F737="", " ",IF(ISNA(VLOOKUP(D737,'[2]stock-take'!$G:$K,4,FALSE)), "OUT OF STOCK", VLOOKUP(D737,'[2]stock-take'!$G:$K,4,FALSE)))</f>
        <v xml:space="preserve"> </v>
      </c>
      <c r="J737" s="39">
        <f>IF(ISNA(VLOOKUP(D737,'[2]stock-take'!$G:$K,3,FALSE)), 0, VLOOKUP(D737,'[2]stock-take'!$G:$K,3,FALSE))</f>
        <v>0</v>
      </c>
      <c r="K737" s="49" t="str">
        <f>IF(F737="", " ", IF(ISNA(VLOOKUP(D737,'[2]stock-take'!$M:$Q,4,FALSE)), "OUT OF STOCK", VLOOKUP(D737,'[2]stock-take'!$M:$Q,4,FALSE)))</f>
        <v xml:space="preserve"> </v>
      </c>
      <c r="L737" s="47">
        <f>IF(ISNA(VLOOKUP(D737,'[2]stock-take'!$M:$Q,3,FALSE)), 0, VLOOKUP(D737,'[2]stock-take'!$M:$Q,3,FALSE))</f>
        <v>0</v>
      </c>
      <c r="M737" s="48" t="str">
        <f t="shared" si="34"/>
        <v xml:space="preserve"> </v>
      </c>
      <c r="N737" s="39" t="str">
        <f t="shared" si="35"/>
        <v xml:space="preserve"> </v>
      </c>
    </row>
    <row r="738" spans="1:14">
      <c r="A738" s="37">
        <f t="shared" si="33"/>
        <v>727</v>
      </c>
      <c r="G738" s="48" t="str">
        <f>IF(F738=""," ",IF(ISNA(VLOOKUP(D738,'[2]stock-take'!$A:$E,4,FALSE)), "OUT OF STOCK", VLOOKUP(D738,'[2]stock-take'!$A:$E,4,FALSE)))</f>
        <v xml:space="preserve"> </v>
      </c>
      <c r="H738" s="48">
        <f>IF(ISNA(VLOOKUP(D738,'[2]stock-take'!$A:$E,3,FALSE)), 0, VLOOKUP(D738,'[2]stock-take'!$A:$E,3,FALSE))</f>
        <v>0</v>
      </c>
      <c r="I738" s="48" t="str">
        <f>IF(F738="", " ",IF(ISNA(VLOOKUP(D738,'[2]stock-take'!$G:$K,4,FALSE)), "OUT OF STOCK", VLOOKUP(D738,'[2]stock-take'!$G:$K,4,FALSE)))</f>
        <v xml:space="preserve"> </v>
      </c>
      <c r="J738" s="39">
        <f>IF(ISNA(VLOOKUP(D738,'[2]stock-take'!$G:$K,3,FALSE)), 0, VLOOKUP(D738,'[2]stock-take'!$G:$K,3,FALSE))</f>
        <v>0</v>
      </c>
      <c r="K738" s="49" t="str">
        <f>IF(F738="", " ", IF(ISNA(VLOOKUP(D738,'[2]stock-take'!$M:$Q,4,FALSE)), "OUT OF STOCK", VLOOKUP(D738,'[2]stock-take'!$M:$Q,4,FALSE)))</f>
        <v xml:space="preserve"> </v>
      </c>
      <c r="L738" s="47">
        <f>IF(ISNA(VLOOKUP(D738,'[2]stock-take'!$M:$Q,3,FALSE)), 0, VLOOKUP(D738,'[2]stock-take'!$M:$Q,3,FALSE))</f>
        <v>0</v>
      </c>
      <c r="M738" s="48" t="str">
        <f t="shared" si="34"/>
        <v xml:space="preserve"> </v>
      </c>
      <c r="N738" s="39" t="str">
        <f t="shared" si="35"/>
        <v xml:space="preserve"> </v>
      </c>
    </row>
    <row r="739" spans="1:14">
      <c r="A739" s="37">
        <f t="shared" si="33"/>
        <v>728</v>
      </c>
      <c r="G739" s="48" t="str">
        <f>IF(F739=""," ",IF(ISNA(VLOOKUP(D739,'[2]stock-take'!$A:$E,4,FALSE)), "OUT OF STOCK", VLOOKUP(D739,'[2]stock-take'!$A:$E,4,FALSE)))</f>
        <v xml:space="preserve"> </v>
      </c>
      <c r="H739" s="48">
        <f>IF(ISNA(VLOOKUP(D739,'[2]stock-take'!$A:$E,3,FALSE)), 0, VLOOKUP(D739,'[2]stock-take'!$A:$E,3,FALSE))</f>
        <v>0</v>
      </c>
      <c r="I739" s="48" t="str">
        <f>IF(F739="", " ",IF(ISNA(VLOOKUP(D739,'[2]stock-take'!$G:$K,4,FALSE)), "OUT OF STOCK", VLOOKUP(D739,'[2]stock-take'!$G:$K,4,FALSE)))</f>
        <v xml:space="preserve"> </v>
      </c>
      <c r="J739" s="39">
        <f>IF(ISNA(VLOOKUP(D739,'[2]stock-take'!$G:$K,3,FALSE)), 0, VLOOKUP(D739,'[2]stock-take'!$G:$K,3,FALSE))</f>
        <v>0</v>
      </c>
      <c r="K739" s="49" t="str">
        <f>IF(F739="", " ", IF(ISNA(VLOOKUP(D739,'[2]stock-take'!$M:$Q,4,FALSE)), "OUT OF STOCK", VLOOKUP(D739,'[2]stock-take'!$M:$Q,4,FALSE)))</f>
        <v xml:space="preserve"> </v>
      </c>
      <c r="L739" s="47">
        <f>IF(ISNA(VLOOKUP(D739,'[2]stock-take'!$M:$Q,3,FALSE)), 0, VLOOKUP(D739,'[2]stock-take'!$M:$Q,3,FALSE))</f>
        <v>0</v>
      </c>
      <c r="M739" s="48" t="str">
        <f t="shared" si="34"/>
        <v xml:space="preserve"> </v>
      </c>
      <c r="N739" s="39" t="str">
        <f t="shared" si="35"/>
        <v xml:space="preserve"> </v>
      </c>
    </row>
    <row r="740" spans="1:14">
      <c r="A740" s="37">
        <f t="shared" si="33"/>
        <v>729</v>
      </c>
      <c r="G740" s="48" t="str">
        <f>IF(F740=""," ",IF(ISNA(VLOOKUP(D740,'[2]stock-take'!$A:$E,4,FALSE)), "OUT OF STOCK", VLOOKUP(D740,'[2]stock-take'!$A:$E,4,FALSE)))</f>
        <v xml:space="preserve"> </v>
      </c>
      <c r="H740" s="48">
        <f>IF(ISNA(VLOOKUP(D740,'[2]stock-take'!$A:$E,3,FALSE)), 0, VLOOKUP(D740,'[2]stock-take'!$A:$E,3,FALSE))</f>
        <v>0</v>
      </c>
      <c r="I740" s="48" t="str">
        <f>IF(F740="", " ",IF(ISNA(VLOOKUP(D740,'[2]stock-take'!$G:$K,4,FALSE)), "OUT OF STOCK", VLOOKUP(D740,'[2]stock-take'!$G:$K,4,FALSE)))</f>
        <v xml:space="preserve"> </v>
      </c>
      <c r="J740" s="39">
        <f>IF(ISNA(VLOOKUP(D740,'[2]stock-take'!$G:$K,3,FALSE)), 0, VLOOKUP(D740,'[2]stock-take'!$G:$K,3,FALSE))</f>
        <v>0</v>
      </c>
      <c r="K740" s="49" t="str">
        <f>IF(F740="", " ", IF(ISNA(VLOOKUP(D740,'[2]stock-take'!$M:$Q,4,FALSE)), "OUT OF STOCK", VLOOKUP(D740,'[2]stock-take'!$M:$Q,4,FALSE)))</f>
        <v xml:space="preserve"> </v>
      </c>
      <c r="L740" s="47">
        <f>IF(ISNA(VLOOKUP(D740,'[2]stock-take'!$M:$Q,3,FALSE)), 0, VLOOKUP(D740,'[2]stock-take'!$M:$Q,3,FALSE))</f>
        <v>0</v>
      </c>
      <c r="M740" s="48" t="str">
        <f t="shared" si="34"/>
        <v xml:space="preserve"> </v>
      </c>
      <c r="N740" s="39" t="str">
        <f t="shared" si="35"/>
        <v xml:space="preserve"> </v>
      </c>
    </row>
    <row r="741" spans="1:14">
      <c r="A741" s="37">
        <f t="shared" si="33"/>
        <v>730</v>
      </c>
      <c r="G741" s="48" t="str">
        <f>IF(F741=""," ",IF(ISNA(VLOOKUP(D741,'[2]stock-take'!$A:$E,4,FALSE)), "OUT OF STOCK", VLOOKUP(D741,'[2]stock-take'!$A:$E,4,FALSE)))</f>
        <v xml:space="preserve"> </v>
      </c>
      <c r="H741" s="48">
        <f>IF(ISNA(VLOOKUP(D741,'[2]stock-take'!$A:$E,3,FALSE)), 0, VLOOKUP(D741,'[2]stock-take'!$A:$E,3,FALSE))</f>
        <v>0</v>
      </c>
      <c r="I741" s="48" t="str">
        <f>IF(F741="", " ",IF(ISNA(VLOOKUP(D741,'[2]stock-take'!$G:$K,4,FALSE)), "OUT OF STOCK", VLOOKUP(D741,'[2]stock-take'!$G:$K,4,FALSE)))</f>
        <v xml:space="preserve"> </v>
      </c>
      <c r="J741" s="39">
        <f>IF(ISNA(VLOOKUP(D741,'[2]stock-take'!$G:$K,3,FALSE)), 0, VLOOKUP(D741,'[2]stock-take'!$G:$K,3,FALSE))</f>
        <v>0</v>
      </c>
      <c r="K741" s="49" t="str">
        <f>IF(F741="", " ", IF(ISNA(VLOOKUP(D741,'[2]stock-take'!$M:$Q,4,FALSE)), "OUT OF STOCK", VLOOKUP(D741,'[2]stock-take'!$M:$Q,4,FALSE)))</f>
        <v xml:space="preserve"> </v>
      </c>
      <c r="L741" s="47">
        <f>IF(ISNA(VLOOKUP(D741,'[2]stock-take'!$M:$Q,3,FALSE)), 0, VLOOKUP(D741,'[2]stock-take'!$M:$Q,3,FALSE))</f>
        <v>0</v>
      </c>
      <c r="M741" s="48" t="str">
        <f t="shared" si="34"/>
        <v xml:space="preserve"> </v>
      </c>
      <c r="N741" s="39" t="str">
        <f t="shared" si="35"/>
        <v xml:space="preserve"> </v>
      </c>
    </row>
    <row r="742" spans="1:14">
      <c r="A742" s="37">
        <f t="shared" si="33"/>
        <v>731</v>
      </c>
      <c r="G742" s="48" t="str">
        <f>IF(F742=""," ",IF(ISNA(VLOOKUP(D742,'[2]stock-take'!$A:$E,4,FALSE)), "OUT OF STOCK", VLOOKUP(D742,'[2]stock-take'!$A:$E,4,FALSE)))</f>
        <v xml:space="preserve"> </v>
      </c>
      <c r="H742" s="48">
        <f>IF(ISNA(VLOOKUP(D742,'[2]stock-take'!$A:$E,3,FALSE)), 0, VLOOKUP(D742,'[2]stock-take'!$A:$E,3,FALSE))</f>
        <v>0</v>
      </c>
      <c r="I742" s="48" t="str">
        <f>IF(F742="", " ",IF(ISNA(VLOOKUP(D742,'[2]stock-take'!$G:$K,4,FALSE)), "OUT OF STOCK", VLOOKUP(D742,'[2]stock-take'!$G:$K,4,FALSE)))</f>
        <v xml:space="preserve"> </v>
      </c>
      <c r="J742" s="39">
        <f>IF(ISNA(VLOOKUP(D742,'[2]stock-take'!$G:$K,3,FALSE)), 0, VLOOKUP(D742,'[2]stock-take'!$G:$K,3,FALSE))</f>
        <v>0</v>
      </c>
      <c r="K742" s="49" t="str">
        <f>IF(F742="", " ", IF(ISNA(VLOOKUP(D742,'[2]stock-take'!$M:$Q,4,FALSE)), "OUT OF STOCK", VLOOKUP(D742,'[2]stock-take'!$M:$Q,4,FALSE)))</f>
        <v xml:space="preserve"> </v>
      </c>
      <c r="L742" s="47">
        <f>IF(ISNA(VLOOKUP(D742,'[2]stock-take'!$M:$Q,3,FALSE)), 0, VLOOKUP(D742,'[2]stock-take'!$M:$Q,3,FALSE))</f>
        <v>0</v>
      </c>
      <c r="M742" s="48" t="str">
        <f t="shared" si="34"/>
        <v xml:space="preserve"> </v>
      </c>
      <c r="N742" s="39" t="str">
        <f t="shared" si="35"/>
        <v xml:space="preserve"> </v>
      </c>
    </row>
    <row r="743" spans="1:14">
      <c r="A743" s="37">
        <f t="shared" si="33"/>
        <v>732</v>
      </c>
      <c r="G743" s="48" t="str">
        <f>IF(F743=""," ",IF(ISNA(VLOOKUP(D743,'[2]stock-take'!$A:$E,4,FALSE)), "OUT OF STOCK", VLOOKUP(D743,'[2]stock-take'!$A:$E,4,FALSE)))</f>
        <v xml:space="preserve"> </v>
      </c>
      <c r="H743" s="48">
        <f>IF(ISNA(VLOOKUP(D743,'[2]stock-take'!$A:$E,3,FALSE)), 0, VLOOKUP(D743,'[2]stock-take'!$A:$E,3,FALSE))</f>
        <v>0</v>
      </c>
      <c r="I743" s="48" t="str">
        <f>IF(F743="", " ",IF(ISNA(VLOOKUP(D743,'[2]stock-take'!$G:$K,4,FALSE)), "OUT OF STOCK", VLOOKUP(D743,'[2]stock-take'!$G:$K,4,FALSE)))</f>
        <v xml:space="preserve"> </v>
      </c>
      <c r="J743" s="39">
        <f>IF(ISNA(VLOOKUP(D743,'[2]stock-take'!$G:$K,3,FALSE)), 0, VLOOKUP(D743,'[2]stock-take'!$G:$K,3,FALSE))</f>
        <v>0</v>
      </c>
      <c r="K743" s="49" t="str">
        <f>IF(F743="", " ", IF(ISNA(VLOOKUP(D743,'[2]stock-take'!$M:$Q,4,FALSE)), "OUT OF STOCK", VLOOKUP(D743,'[2]stock-take'!$M:$Q,4,FALSE)))</f>
        <v xml:space="preserve"> </v>
      </c>
      <c r="L743" s="47">
        <f>IF(ISNA(VLOOKUP(D743,'[2]stock-take'!$M:$Q,3,FALSE)), 0, VLOOKUP(D743,'[2]stock-take'!$M:$Q,3,FALSE))</f>
        <v>0</v>
      </c>
      <c r="M743" s="48" t="str">
        <f t="shared" si="34"/>
        <v xml:space="preserve"> </v>
      </c>
      <c r="N743" s="39" t="str">
        <f t="shared" si="35"/>
        <v xml:space="preserve"> </v>
      </c>
    </row>
    <row r="744" spans="1:14">
      <c r="A744" s="37">
        <f t="shared" si="33"/>
        <v>733</v>
      </c>
      <c r="G744" s="48" t="str">
        <f>IF(F744=""," ",IF(ISNA(VLOOKUP(D744,'[2]stock-take'!$A:$E,4,FALSE)), "OUT OF STOCK", VLOOKUP(D744,'[2]stock-take'!$A:$E,4,FALSE)))</f>
        <v xml:space="preserve"> </v>
      </c>
      <c r="H744" s="48">
        <f>IF(ISNA(VLOOKUP(D744,'[2]stock-take'!$A:$E,3,FALSE)), 0, VLOOKUP(D744,'[2]stock-take'!$A:$E,3,FALSE))</f>
        <v>0</v>
      </c>
      <c r="I744" s="48" t="str">
        <f>IF(F744="", " ",IF(ISNA(VLOOKUP(D744,'[2]stock-take'!$G:$K,4,FALSE)), "OUT OF STOCK", VLOOKUP(D744,'[2]stock-take'!$G:$K,4,FALSE)))</f>
        <v xml:space="preserve"> </v>
      </c>
      <c r="J744" s="39">
        <f>IF(ISNA(VLOOKUP(D744,'[2]stock-take'!$G:$K,3,FALSE)), 0, VLOOKUP(D744,'[2]stock-take'!$G:$K,3,FALSE))</f>
        <v>0</v>
      </c>
      <c r="K744" s="49" t="str">
        <f>IF(F744="", " ", IF(ISNA(VLOOKUP(D744,'[2]stock-take'!$M:$Q,4,FALSE)), "OUT OF STOCK", VLOOKUP(D744,'[2]stock-take'!$M:$Q,4,FALSE)))</f>
        <v xml:space="preserve"> </v>
      </c>
      <c r="L744" s="47">
        <f>IF(ISNA(VLOOKUP(D744,'[2]stock-take'!$M:$Q,3,FALSE)), 0, VLOOKUP(D744,'[2]stock-take'!$M:$Q,3,FALSE))</f>
        <v>0</v>
      </c>
      <c r="M744" s="48" t="str">
        <f t="shared" si="34"/>
        <v xml:space="preserve"> </v>
      </c>
      <c r="N744" s="39" t="str">
        <f t="shared" si="35"/>
        <v xml:space="preserve"> </v>
      </c>
    </row>
    <row r="745" spans="1:14">
      <c r="A745" s="37">
        <f t="shared" si="33"/>
        <v>734</v>
      </c>
      <c r="G745" s="48" t="str">
        <f>IF(F745=""," ",IF(ISNA(VLOOKUP(D745,'[2]stock-take'!$A:$E,4,FALSE)), "OUT OF STOCK", VLOOKUP(D745,'[2]stock-take'!$A:$E,4,FALSE)))</f>
        <v xml:space="preserve"> </v>
      </c>
      <c r="H745" s="48">
        <f>IF(ISNA(VLOOKUP(D745,'[2]stock-take'!$A:$E,3,FALSE)), 0, VLOOKUP(D745,'[2]stock-take'!$A:$E,3,FALSE))</f>
        <v>0</v>
      </c>
      <c r="I745" s="48" t="str">
        <f>IF(F745="", " ",IF(ISNA(VLOOKUP(D745,'[2]stock-take'!$G:$K,4,FALSE)), "OUT OF STOCK", VLOOKUP(D745,'[2]stock-take'!$G:$K,4,FALSE)))</f>
        <v xml:space="preserve"> </v>
      </c>
      <c r="J745" s="39">
        <f>IF(ISNA(VLOOKUP(D745,'[2]stock-take'!$G:$K,3,FALSE)), 0, VLOOKUP(D745,'[2]stock-take'!$G:$K,3,FALSE))</f>
        <v>0</v>
      </c>
      <c r="K745" s="49" t="str">
        <f>IF(F745="", " ", IF(ISNA(VLOOKUP(D745,'[2]stock-take'!$M:$Q,4,FALSE)), "OUT OF STOCK", VLOOKUP(D745,'[2]stock-take'!$M:$Q,4,FALSE)))</f>
        <v xml:space="preserve"> </v>
      </c>
      <c r="L745" s="47">
        <f>IF(ISNA(VLOOKUP(D745,'[2]stock-take'!$M:$Q,3,FALSE)), 0, VLOOKUP(D745,'[2]stock-take'!$M:$Q,3,FALSE))</f>
        <v>0</v>
      </c>
      <c r="M745" s="48" t="str">
        <f t="shared" si="34"/>
        <v xml:space="preserve"> </v>
      </c>
      <c r="N745" s="39" t="str">
        <f t="shared" si="35"/>
        <v xml:space="preserve"> </v>
      </c>
    </row>
    <row r="746" spans="1:14">
      <c r="A746" s="37">
        <f t="shared" si="33"/>
        <v>735</v>
      </c>
      <c r="G746" s="48" t="str">
        <f>IF(F746=""," ",IF(ISNA(VLOOKUP(D746,'[2]stock-take'!$A:$E,4,FALSE)), "OUT OF STOCK", VLOOKUP(D746,'[2]stock-take'!$A:$E,4,FALSE)))</f>
        <v xml:space="preserve"> </v>
      </c>
      <c r="H746" s="48">
        <f>IF(ISNA(VLOOKUP(D746,'[2]stock-take'!$A:$E,3,FALSE)), 0, VLOOKUP(D746,'[2]stock-take'!$A:$E,3,FALSE))</f>
        <v>0</v>
      </c>
      <c r="I746" s="48" t="str">
        <f>IF(F746="", " ",IF(ISNA(VLOOKUP(D746,'[2]stock-take'!$G:$K,4,FALSE)), "OUT OF STOCK", VLOOKUP(D746,'[2]stock-take'!$G:$K,4,FALSE)))</f>
        <v xml:space="preserve"> </v>
      </c>
      <c r="J746" s="39">
        <f>IF(ISNA(VLOOKUP(D746,'[2]stock-take'!$G:$K,3,FALSE)), 0, VLOOKUP(D746,'[2]stock-take'!$G:$K,3,FALSE))</f>
        <v>0</v>
      </c>
      <c r="K746" s="49" t="str">
        <f>IF(F746="", " ", IF(ISNA(VLOOKUP(D746,'[2]stock-take'!$M:$Q,4,FALSE)), "OUT OF STOCK", VLOOKUP(D746,'[2]stock-take'!$M:$Q,4,FALSE)))</f>
        <v xml:space="preserve"> </v>
      </c>
      <c r="L746" s="47">
        <f>IF(ISNA(VLOOKUP(D746,'[2]stock-take'!$M:$Q,3,FALSE)), 0, VLOOKUP(D746,'[2]stock-take'!$M:$Q,3,FALSE))</f>
        <v>0</v>
      </c>
      <c r="M746" s="48" t="str">
        <f t="shared" si="34"/>
        <v xml:space="preserve"> </v>
      </c>
      <c r="N746" s="39" t="str">
        <f t="shared" si="35"/>
        <v xml:space="preserve"> </v>
      </c>
    </row>
    <row r="747" spans="1:14">
      <c r="A747" s="37">
        <f t="shared" si="33"/>
        <v>736</v>
      </c>
      <c r="G747" s="48" t="str">
        <f>IF(F747=""," ",IF(ISNA(VLOOKUP(D747,'[2]stock-take'!$A:$E,4,FALSE)), "OUT OF STOCK", VLOOKUP(D747,'[2]stock-take'!$A:$E,4,FALSE)))</f>
        <v xml:space="preserve"> </v>
      </c>
      <c r="H747" s="48">
        <f>IF(ISNA(VLOOKUP(D747,'[2]stock-take'!$A:$E,3,FALSE)), 0, VLOOKUP(D747,'[2]stock-take'!$A:$E,3,FALSE))</f>
        <v>0</v>
      </c>
      <c r="I747" s="48" t="str">
        <f>IF(F747="", " ",IF(ISNA(VLOOKUP(D747,'[2]stock-take'!$G:$K,4,FALSE)), "OUT OF STOCK", VLOOKUP(D747,'[2]stock-take'!$G:$K,4,FALSE)))</f>
        <v xml:space="preserve"> </v>
      </c>
      <c r="J747" s="39">
        <f>IF(ISNA(VLOOKUP(D747,'[2]stock-take'!$G:$K,3,FALSE)), 0, VLOOKUP(D747,'[2]stock-take'!$G:$K,3,FALSE))</f>
        <v>0</v>
      </c>
      <c r="K747" s="49" t="str">
        <f>IF(F747="", " ", IF(ISNA(VLOOKUP(D747,'[2]stock-take'!$M:$Q,4,FALSE)), "OUT OF STOCK", VLOOKUP(D747,'[2]stock-take'!$M:$Q,4,FALSE)))</f>
        <v xml:space="preserve"> </v>
      </c>
      <c r="L747" s="47">
        <f>IF(ISNA(VLOOKUP(D747,'[2]stock-take'!$M:$Q,3,FALSE)), 0, VLOOKUP(D747,'[2]stock-take'!$M:$Q,3,FALSE))</f>
        <v>0</v>
      </c>
      <c r="M747" s="48" t="str">
        <f t="shared" si="34"/>
        <v xml:space="preserve"> </v>
      </c>
      <c r="N747" s="39" t="str">
        <f t="shared" si="35"/>
        <v xml:space="preserve"> </v>
      </c>
    </row>
    <row r="748" spans="1:14">
      <c r="A748" s="37">
        <f t="shared" si="33"/>
        <v>737</v>
      </c>
      <c r="G748" s="48" t="str">
        <f>IF(F748=""," ",IF(ISNA(VLOOKUP(D748,'[2]stock-take'!$A:$E,4,FALSE)), "OUT OF STOCK", VLOOKUP(D748,'[2]stock-take'!$A:$E,4,FALSE)))</f>
        <v xml:space="preserve"> </v>
      </c>
      <c r="H748" s="48">
        <f>IF(ISNA(VLOOKUP(D748,'[2]stock-take'!$A:$E,3,FALSE)), 0, VLOOKUP(D748,'[2]stock-take'!$A:$E,3,FALSE))</f>
        <v>0</v>
      </c>
      <c r="I748" s="48" t="str">
        <f>IF(F748="", " ",IF(ISNA(VLOOKUP(D748,'[2]stock-take'!$G:$K,4,FALSE)), "OUT OF STOCK", VLOOKUP(D748,'[2]stock-take'!$G:$K,4,FALSE)))</f>
        <v xml:space="preserve"> </v>
      </c>
      <c r="J748" s="39">
        <f>IF(ISNA(VLOOKUP(D748,'[2]stock-take'!$G:$K,3,FALSE)), 0, VLOOKUP(D748,'[2]stock-take'!$G:$K,3,FALSE))</f>
        <v>0</v>
      </c>
      <c r="K748" s="49" t="str">
        <f>IF(F748="", " ", IF(ISNA(VLOOKUP(D748,'[2]stock-take'!$M:$Q,4,FALSE)), "OUT OF STOCK", VLOOKUP(D748,'[2]stock-take'!$M:$Q,4,FALSE)))</f>
        <v xml:space="preserve"> </v>
      </c>
      <c r="L748" s="47">
        <f>IF(ISNA(VLOOKUP(D748,'[2]stock-take'!$M:$Q,3,FALSE)), 0, VLOOKUP(D748,'[2]stock-take'!$M:$Q,3,FALSE))</f>
        <v>0</v>
      </c>
      <c r="M748" s="48" t="str">
        <f t="shared" si="34"/>
        <v xml:space="preserve"> </v>
      </c>
      <c r="N748" s="39" t="str">
        <f t="shared" si="35"/>
        <v xml:space="preserve"> </v>
      </c>
    </row>
    <row r="749" spans="1:14">
      <c r="A749" s="37">
        <f t="shared" si="33"/>
        <v>738</v>
      </c>
      <c r="G749" s="48" t="str">
        <f>IF(F749=""," ",IF(ISNA(VLOOKUP(D749,'[2]stock-take'!$A:$E,4,FALSE)), "OUT OF STOCK", VLOOKUP(D749,'[2]stock-take'!$A:$E,4,FALSE)))</f>
        <v xml:space="preserve"> </v>
      </c>
      <c r="H749" s="48">
        <f>IF(ISNA(VLOOKUP(D749,'[2]stock-take'!$A:$E,3,FALSE)), 0, VLOOKUP(D749,'[2]stock-take'!$A:$E,3,FALSE))</f>
        <v>0</v>
      </c>
      <c r="I749" s="48" t="str">
        <f>IF(F749="", " ",IF(ISNA(VLOOKUP(D749,'[2]stock-take'!$G:$K,4,FALSE)), "OUT OF STOCK", VLOOKUP(D749,'[2]stock-take'!$G:$K,4,FALSE)))</f>
        <v xml:space="preserve"> </v>
      </c>
      <c r="J749" s="39">
        <f>IF(ISNA(VLOOKUP(D749,'[2]stock-take'!$G:$K,3,FALSE)), 0, VLOOKUP(D749,'[2]stock-take'!$G:$K,3,FALSE))</f>
        <v>0</v>
      </c>
      <c r="K749" s="49" t="str">
        <f>IF(F749="", " ", IF(ISNA(VLOOKUP(D749,'[2]stock-take'!$M:$Q,4,FALSE)), "OUT OF STOCK", VLOOKUP(D749,'[2]stock-take'!$M:$Q,4,FALSE)))</f>
        <v xml:space="preserve"> </v>
      </c>
      <c r="L749" s="47">
        <f>IF(ISNA(VLOOKUP(D749,'[2]stock-take'!$M:$Q,3,FALSE)), 0, VLOOKUP(D749,'[2]stock-take'!$M:$Q,3,FALSE))</f>
        <v>0</v>
      </c>
      <c r="M749" s="48" t="str">
        <f t="shared" si="34"/>
        <v xml:space="preserve"> </v>
      </c>
      <c r="N749" s="39" t="str">
        <f t="shared" si="35"/>
        <v xml:space="preserve"> </v>
      </c>
    </row>
    <row r="750" spans="1:14">
      <c r="A750" s="37">
        <f t="shared" si="33"/>
        <v>739</v>
      </c>
      <c r="G750" s="48" t="str">
        <f>IF(F750=""," ",IF(ISNA(VLOOKUP(D750,'[2]stock-take'!$A:$E,4,FALSE)), "OUT OF STOCK", VLOOKUP(D750,'[2]stock-take'!$A:$E,4,FALSE)))</f>
        <v xml:space="preserve"> </v>
      </c>
      <c r="H750" s="48">
        <f>IF(ISNA(VLOOKUP(D750,'[2]stock-take'!$A:$E,3,FALSE)), 0, VLOOKUP(D750,'[2]stock-take'!$A:$E,3,FALSE))</f>
        <v>0</v>
      </c>
      <c r="I750" s="48" t="str">
        <f>IF(F750="", " ",IF(ISNA(VLOOKUP(D750,'[2]stock-take'!$G:$K,4,FALSE)), "OUT OF STOCK", VLOOKUP(D750,'[2]stock-take'!$G:$K,4,FALSE)))</f>
        <v xml:space="preserve"> </v>
      </c>
      <c r="J750" s="39">
        <f>IF(ISNA(VLOOKUP(D750,'[2]stock-take'!$G:$K,3,FALSE)), 0, VLOOKUP(D750,'[2]stock-take'!$G:$K,3,FALSE))</f>
        <v>0</v>
      </c>
      <c r="K750" s="49" t="str">
        <f>IF(F750="", " ", IF(ISNA(VLOOKUP(D750,'[2]stock-take'!$M:$Q,4,FALSE)), "OUT OF STOCK", VLOOKUP(D750,'[2]stock-take'!$M:$Q,4,FALSE)))</f>
        <v xml:space="preserve"> </v>
      </c>
      <c r="L750" s="47">
        <f>IF(ISNA(VLOOKUP(D750,'[2]stock-take'!$M:$Q,3,FALSE)), 0, VLOOKUP(D750,'[2]stock-take'!$M:$Q,3,FALSE))</f>
        <v>0</v>
      </c>
      <c r="M750" s="48" t="str">
        <f t="shared" si="34"/>
        <v xml:space="preserve"> </v>
      </c>
      <c r="N750" s="39" t="str">
        <f t="shared" si="35"/>
        <v xml:space="preserve"> </v>
      </c>
    </row>
    <row r="751" spans="1:14">
      <c r="A751" s="37">
        <f t="shared" si="33"/>
        <v>740</v>
      </c>
      <c r="G751" s="48" t="str">
        <f>IF(F751=""," ",IF(ISNA(VLOOKUP(D751,'[2]stock-take'!$A:$E,4,FALSE)), "OUT OF STOCK", VLOOKUP(D751,'[2]stock-take'!$A:$E,4,FALSE)))</f>
        <v xml:space="preserve"> </v>
      </c>
      <c r="H751" s="48">
        <f>IF(ISNA(VLOOKUP(D751,'[2]stock-take'!$A:$E,3,FALSE)), 0, VLOOKUP(D751,'[2]stock-take'!$A:$E,3,FALSE))</f>
        <v>0</v>
      </c>
      <c r="I751" s="48" t="str">
        <f>IF(F751="", " ",IF(ISNA(VLOOKUP(D751,'[2]stock-take'!$G:$K,4,FALSE)), "OUT OF STOCK", VLOOKUP(D751,'[2]stock-take'!$G:$K,4,FALSE)))</f>
        <v xml:space="preserve"> </v>
      </c>
      <c r="J751" s="39">
        <f>IF(ISNA(VLOOKUP(D751,'[2]stock-take'!$G:$K,3,FALSE)), 0, VLOOKUP(D751,'[2]stock-take'!$G:$K,3,FALSE))</f>
        <v>0</v>
      </c>
      <c r="K751" s="49" t="str">
        <f>IF(F751="", " ", IF(ISNA(VLOOKUP(D751,'[2]stock-take'!$M:$Q,4,FALSE)), "OUT OF STOCK", VLOOKUP(D751,'[2]stock-take'!$M:$Q,4,FALSE)))</f>
        <v xml:space="preserve"> </v>
      </c>
      <c r="L751" s="47">
        <f>IF(ISNA(VLOOKUP(D751,'[2]stock-take'!$M:$Q,3,FALSE)), 0, VLOOKUP(D751,'[2]stock-take'!$M:$Q,3,FALSE))</f>
        <v>0</v>
      </c>
      <c r="M751" s="48" t="str">
        <f t="shared" si="34"/>
        <v xml:space="preserve"> </v>
      </c>
      <c r="N751" s="39" t="str">
        <f t="shared" si="35"/>
        <v xml:space="preserve"> </v>
      </c>
    </row>
    <row r="752" spans="1:14">
      <c r="A752" s="37">
        <f t="shared" si="33"/>
        <v>741</v>
      </c>
      <c r="G752" s="48" t="str">
        <f>IF(F752=""," ",IF(ISNA(VLOOKUP(D752,'[2]stock-take'!$A:$E,4,FALSE)), "OUT OF STOCK", VLOOKUP(D752,'[2]stock-take'!$A:$E,4,FALSE)))</f>
        <v xml:space="preserve"> </v>
      </c>
      <c r="H752" s="48">
        <f>IF(ISNA(VLOOKUP(D752,'[2]stock-take'!$A:$E,3,FALSE)), 0, VLOOKUP(D752,'[2]stock-take'!$A:$E,3,FALSE))</f>
        <v>0</v>
      </c>
      <c r="I752" s="48" t="str">
        <f>IF(F752="", " ",IF(ISNA(VLOOKUP(D752,'[2]stock-take'!$G:$K,4,FALSE)), "OUT OF STOCK", VLOOKUP(D752,'[2]stock-take'!$G:$K,4,FALSE)))</f>
        <v xml:space="preserve"> </v>
      </c>
      <c r="J752" s="39">
        <f>IF(ISNA(VLOOKUP(D752,'[2]stock-take'!$G:$K,3,FALSE)), 0, VLOOKUP(D752,'[2]stock-take'!$G:$K,3,FALSE))</f>
        <v>0</v>
      </c>
      <c r="K752" s="49" t="str">
        <f>IF(F752="", " ", IF(ISNA(VLOOKUP(D752,'[2]stock-take'!$M:$Q,4,FALSE)), "OUT OF STOCK", VLOOKUP(D752,'[2]stock-take'!$M:$Q,4,FALSE)))</f>
        <v xml:space="preserve"> </v>
      </c>
      <c r="L752" s="47">
        <f>IF(ISNA(VLOOKUP(D752,'[2]stock-take'!$M:$Q,3,FALSE)), 0, VLOOKUP(D752,'[2]stock-take'!$M:$Q,3,FALSE))</f>
        <v>0</v>
      </c>
      <c r="M752" s="48" t="str">
        <f t="shared" si="34"/>
        <v xml:space="preserve"> </v>
      </c>
      <c r="N752" s="39" t="str">
        <f t="shared" si="35"/>
        <v xml:space="preserve"> </v>
      </c>
    </row>
    <row r="753" spans="1:14">
      <c r="A753" s="37">
        <f t="shared" si="33"/>
        <v>742</v>
      </c>
      <c r="G753" s="48" t="str">
        <f>IF(F753=""," ",IF(ISNA(VLOOKUP(D753,'[2]stock-take'!$A:$E,4,FALSE)), "OUT OF STOCK", VLOOKUP(D753,'[2]stock-take'!$A:$E,4,FALSE)))</f>
        <v xml:space="preserve"> </v>
      </c>
      <c r="H753" s="48">
        <f>IF(ISNA(VLOOKUP(D753,'[2]stock-take'!$A:$E,3,FALSE)), 0, VLOOKUP(D753,'[2]stock-take'!$A:$E,3,FALSE))</f>
        <v>0</v>
      </c>
      <c r="I753" s="48" t="str">
        <f>IF(F753="", " ",IF(ISNA(VLOOKUP(D753,'[2]stock-take'!$G:$K,4,FALSE)), "OUT OF STOCK", VLOOKUP(D753,'[2]stock-take'!$G:$K,4,FALSE)))</f>
        <v xml:space="preserve"> </v>
      </c>
      <c r="J753" s="39">
        <f>IF(ISNA(VLOOKUP(D753,'[2]stock-take'!$G:$K,3,FALSE)), 0, VLOOKUP(D753,'[2]stock-take'!$G:$K,3,FALSE))</f>
        <v>0</v>
      </c>
      <c r="K753" s="49" t="str">
        <f>IF(F753="", " ", IF(ISNA(VLOOKUP(D753,'[2]stock-take'!$M:$Q,4,FALSE)), "OUT OF STOCK", VLOOKUP(D753,'[2]stock-take'!$M:$Q,4,FALSE)))</f>
        <v xml:space="preserve"> </v>
      </c>
      <c r="L753" s="47">
        <f>IF(ISNA(VLOOKUP(D753,'[2]stock-take'!$M:$Q,3,FALSE)), 0, VLOOKUP(D753,'[2]stock-take'!$M:$Q,3,FALSE))</f>
        <v>0</v>
      </c>
      <c r="M753" s="48" t="str">
        <f t="shared" si="34"/>
        <v xml:space="preserve"> </v>
      </c>
      <c r="N753" s="39" t="str">
        <f t="shared" si="35"/>
        <v xml:space="preserve"> </v>
      </c>
    </row>
    <row r="754" spans="1:14">
      <c r="A754" s="37">
        <f t="shared" si="33"/>
        <v>743</v>
      </c>
      <c r="G754" s="48" t="str">
        <f>IF(F754=""," ",IF(ISNA(VLOOKUP(D754,'[2]stock-take'!$A:$E,4,FALSE)), "OUT OF STOCK", VLOOKUP(D754,'[2]stock-take'!$A:$E,4,FALSE)))</f>
        <v xml:space="preserve"> </v>
      </c>
      <c r="H754" s="48">
        <f>IF(ISNA(VLOOKUP(D754,'[2]stock-take'!$A:$E,3,FALSE)), 0, VLOOKUP(D754,'[2]stock-take'!$A:$E,3,FALSE))</f>
        <v>0</v>
      </c>
      <c r="I754" s="48" t="str">
        <f>IF(F754="", " ",IF(ISNA(VLOOKUP(D754,'[2]stock-take'!$G:$K,4,FALSE)), "OUT OF STOCK", VLOOKUP(D754,'[2]stock-take'!$G:$K,4,FALSE)))</f>
        <v xml:space="preserve"> </v>
      </c>
      <c r="J754" s="39">
        <f>IF(ISNA(VLOOKUP(D754,'[2]stock-take'!$G:$K,3,FALSE)), 0, VLOOKUP(D754,'[2]stock-take'!$G:$K,3,FALSE))</f>
        <v>0</v>
      </c>
      <c r="K754" s="49" t="str">
        <f>IF(F754="", " ", IF(ISNA(VLOOKUP(D754,'[2]stock-take'!$M:$Q,4,FALSE)), "OUT OF STOCK", VLOOKUP(D754,'[2]stock-take'!$M:$Q,4,FALSE)))</f>
        <v xml:space="preserve"> </v>
      </c>
      <c r="L754" s="47">
        <f>IF(ISNA(VLOOKUP(D754,'[2]stock-take'!$M:$Q,3,FALSE)), 0, VLOOKUP(D754,'[2]stock-take'!$M:$Q,3,FALSE))</f>
        <v>0</v>
      </c>
      <c r="M754" s="48" t="str">
        <f t="shared" si="34"/>
        <v xml:space="preserve"> </v>
      </c>
      <c r="N754" s="39" t="str">
        <f t="shared" si="35"/>
        <v xml:space="preserve"> </v>
      </c>
    </row>
    <row r="755" spans="1:14">
      <c r="A755" s="37">
        <f t="shared" si="33"/>
        <v>744</v>
      </c>
      <c r="G755" s="48" t="str">
        <f>IF(F755=""," ",IF(ISNA(VLOOKUP(D755,'[2]stock-take'!$A:$E,4,FALSE)), "OUT OF STOCK", VLOOKUP(D755,'[2]stock-take'!$A:$E,4,FALSE)))</f>
        <v xml:space="preserve"> </v>
      </c>
      <c r="H755" s="48">
        <f>IF(ISNA(VLOOKUP(D755,'[2]stock-take'!$A:$E,3,FALSE)), 0, VLOOKUP(D755,'[2]stock-take'!$A:$E,3,FALSE))</f>
        <v>0</v>
      </c>
      <c r="I755" s="48" t="str">
        <f>IF(F755="", " ",IF(ISNA(VLOOKUP(D755,'[2]stock-take'!$G:$K,4,FALSE)), "OUT OF STOCK", VLOOKUP(D755,'[2]stock-take'!$G:$K,4,FALSE)))</f>
        <v xml:space="preserve"> </v>
      </c>
      <c r="J755" s="39">
        <f>IF(ISNA(VLOOKUP(D755,'[2]stock-take'!$G:$K,3,FALSE)), 0, VLOOKUP(D755,'[2]stock-take'!$G:$K,3,FALSE))</f>
        <v>0</v>
      </c>
      <c r="K755" s="49" t="str">
        <f>IF(F755="", " ", IF(ISNA(VLOOKUP(D755,'[2]stock-take'!$M:$Q,4,FALSE)), "OUT OF STOCK", VLOOKUP(D755,'[2]stock-take'!$M:$Q,4,FALSE)))</f>
        <v xml:space="preserve"> </v>
      </c>
      <c r="L755" s="47">
        <f>IF(ISNA(VLOOKUP(D755,'[2]stock-take'!$M:$Q,3,FALSE)), 0, VLOOKUP(D755,'[2]stock-take'!$M:$Q,3,FALSE))</f>
        <v>0</v>
      </c>
      <c r="M755" s="48" t="str">
        <f t="shared" si="34"/>
        <v xml:space="preserve"> </v>
      </c>
      <c r="N755" s="39" t="str">
        <f t="shared" si="35"/>
        <v xml:space="preserve"> </v>
      </c>
    </row>
    <row r="756" spans="1:14">
      <c r="A756" s="37">
        <f t="shared" si="33"/>
        <v>745</v>
      </c>
      <c r="G756" s="48" t="str">
        <f>IF(F756=""," ",IF(ISNA(VLOOKUP(D756,'[2]stock-take'!$A:$E,4,FALSE)), "OUT OF STOCK", VLOOKUP(D756,'[2]stock-take'!$A:$E,4,FALSE)))</f>
        <v xml:space="preserve"> </v>
      </c>
      <c r="H756" s="48">
        <f>IF(ISNA(VLOOKUP(D756,'[2]stock-take'!$A:$E,3,FALSE)), 0, VLOOKUP(D756,'[2]stock-take'!$A:$E,3,FALSE))</f>
        <v>0</v>
      </c>
      <c r="I756" s="48" t="str">
        <f>IF(F756="", " ",IF(ISNA(VLOOKUP(D756,'[2]stock-take'!$G:$K,4,FALSE)), "OUT OF STOCK", VLOOKUP(D756,'[2]stock-take'!$G:$K,4,FALSE)))</f>
        <v xml:space="preserve"> </v>
      </c>
      <c r="J756" s="39">
        <f>IF(ISNA(VLOOKUP(D756,'[2]stock-take'!$G:$K,3,FALSE)), 0, VLOOKUP(D756,'[2]stock-take'!$G:$K,3,FALSE))</f>
        <v>0</v>
      </c>
      <c r="K756" s="49" t="str">
        <f>IF(F756="", " ", IF(ISNA(VLOOKUP(D756,'[2]stock-take'!$M:$Q,4,FALSE)), "OUT OF STOCK", VLOOKUP(D756,'[2]stock-take'!$M:$Q,4,FALSE)))</f>
        <v xml:space="preserve"> </v>
      </c>
      <c r="L756" s="47">
        <f>IF(ISNA(VLOOKUP(D756,'[2]stock-take'!$M:$Q,3,FALSE)), 0, VLOOKUP(D756,'[2]stock-take'!$M:$Q,3,FALSE))</f>
        <v>0</v>
      </c>
      <c r="M756" s="48" t="str">
        <f t="shared" si="34"/>
        <v xml:space="preserve"> </v>
      </c>
      <c r="N756" s="39" t="str">
        <f t="shared" si="35"/>
        <v xml:space="preserve"> </v>
      </c>
    </row>
    <row r="757" spans="1:14">
      <c r="A757" s="37">
        <f t="shared" si="33"/>
        <v>746</v>
      </c>
      <c r="G757" s="48" t="str">
        <f>IF(F757=""," ",IF(ISNA(VLOOKUP(D757,'[2]stock-take'!$A:$E,4,FALSE)), "OUT OF STOCK", VLOOKUP(D757,'[2]stock-take'!$A:$E,4,FALSE)))</f>
        <v xml:space="preserve"> </v>
      </c>
      <c r="H757" s="48">
        <f>IF(ISNA(VLOOKUP(D757,'[2]stock-take'!$A:$E,3,FALSE)), 0, VLOOKUP(D757,'[2]stock-take'!$A:$E,3,FALSE))</f>
        <v>0</v>
      </c>
      <c r="I757" s="48" t="str">
        <f>IF(F757="", " ",IF(ISNA(VLOOKUP(D757,'[2]stock-take'!$G:$K,4,FALSE)), "OUT OF STOCK", VLOOKUP(D757,'[2]stock-take'!$G:$K,4,FALSE)))</f>
        <v xml:space="preserve"> </v>
      </c>
      <c r="J757" s="39">
        <f>IF(ISNA(VLOOKUP(D757,'[2]stock-take'!$G:$K,3,FALSE)), 0, VLOOKUP(D757,'[2]stock-take'!$G:$K,3,FALSE))</f>
        <v>0</v>
      </c>
      <c r="K757" s="49" t="str">
        <f>IF(F757="", " ", IF(ISNA(VLOOKUP(D757,'[2]stock-take'!$M:$Q,4,FALSE)), "OUT OF STOCK", VLOOKUP(D757,'[2]stock-take'!$M:$Q,4,FALSE)))</f>
        <v xml:space="preserve"> </v>
      </c>
      <c r="L757" s="47">
        <f>IF(ISNA(VLOOKUP(D757,'[2]stock-take'!$M:$Q,3,FALSE)), 0, VLOOKUP(D757,'[2]stock-take'!$M:$Q,3,FALSE))</f>
        <v>0</v>
      </c>
      <c r="M757" s="48" t="str">
        <f t="shared" si="34"/>
        <v xml:space="preserve"> </v>
      </c>
      <c r="N757" s="39" t="str">
        <f t="shared" si="35"/>
        <v xml:space="preserve"> </v>
      </c>
    </row>
    <row r="758" spans="1:14">
      <c r="A758" s="37">
        <f t="shared" si="33"/>
        <v>747</v>
      </c>
      <c r="G758" s="48" t="str">
        <f>IF(F758=""," ",IF(ISNA(VLOOKUP(D758,'[2]stock-take'!$A:$E,4,FALSE)), "OUT OF STOCK", VLOOKUP(D758,'[2]stock-take'!$A:$E,4,FALSE)))</f>
        <v xml:space="preserve"> </v>
      </c>
      <c r="H758" s="48">
        <f>IF(ISNA(VLOOKUP(D758,'[2]stock-take'!$A:$E,3,FALSE)), 0, VLOOKUP(D758,'[2]stock-take'!$A:$E,3,FALSE))</f>
        <v>0</v>
      </c>
      <c r="I758" s="48" t="str">
        <f>IF(F758="", " ",IF(ISNA(VLOOKUP(D758,'[2]stock-take'!$G:$K,4,FALSE)), "OUT OF STOCK", VLOOKUP(D758,'[2]stock-take'!$G:$K,4,FALSE)))</f>
        <v xml:space="preserve"> </v>
      </c>
      <c r="J758" s="39">
        <f>IF(ISNA(VLOOKUP(D758,'[2]stock-take'!$G:$K,3,FALSE)), 0, VLOOKUP(D758,'[2]stock-take'!$G:$K,3,FALSE))</f>
        <v>0</v>
      </c>
      <c r="K758" s="49" t="str">
        <f>IF(F758="", " ", IF(ISNA(VLOOKUP(D758,'[2]stock-take'!$M:$Q,4,FALSE)), "OUT OF STOCK", VLOOKUP(D758,'[2]stock-take'!$M:$Q,4,FALSE)))</f>
        <v xml:space="preserve"> </v>
      </c>
      <c r="L758" s="47">
        <f>IF(ISNA(VLOOKUP(D758,'[2]stock-take'!$M:$Q,3,FALSE)), 0, VLOOKUP(D758,'[2]stock-take'!$M:$Q,3,FALSE))</f>
        <v>0</v>
      </c>
      <c r="M758" s="48" t="str">
        <f t="shared" si="34"/>
        <v xml:space="preserve"> </v>
      </c>
      <c r="N758" s="39" t="str">
        <f t="shared" si="35"/>
        <v xml:space="preserve"> </v>
      </c>
    </row>
    <row r="759" spans="1:14">
      <c r="A759" s="37">
        <f t="shared" si="33"/>
        <v>748</v>
      </c>
      <c r="G759" s="48" t="str">
        <f>IF(F759=""," ",IF(ISNA(VLOOKUP(D759,'[2]stock-take'!$A:$E,4,FALSE)), "OUT OF STOCK", VLOOKUP(D759,'[2]stock-take'!$A:$E,4,FALSE)))</f>
        <v xml:space="preserve"> </v>
      </c>
      <c r="H759" s="48">
        <f>IF(ISNA(VLOOKUP(D759,'[2]stock-take'!$A:$E,3,FALSE)), 0, VLOOKUP(D759,'[2]stock-take'!$A:$E,3,FALSE))</f>
        <v>0</v>
      </c>
      <c r="I759" s="48" t="str">
        <f>IF(F759="", " ",IF(ISNA(VLOOKUP(D759,'[2]stock-take'!$G:$K,4,FALSE)), "OUT OF STOCK", VLOOKUP(D759,'[2]stock-take'!$G:$K,4,FALSE)))</f>
        <v xml:space="preserve"> </v>
      </c>
      <c r="J759" s="39">
        <f>IF(ISNA(VLOOKUP(D759,'[2]stock-take'!$G:$K,3,FALSE)), 0, VLOOKUP(D759,'[2]stock-take'!$G:$K,3,FALSE))</f>
        <v>0</v>
      </c>
      <c r="K759" s="49" t="str">
        <f>IF(F759="", " ", IF(ISNA(VLOOKUP(D759,'[2]stock-take'!$M:$Q,4,FALSE)), "OUT OF STOCK", VLOOKUP(D759,'[2]stock-take'!$M:$Q,4,FALSE)))</f>
        <v xml:space="preserve"> </v>
      </c>
      <c r="L759" s="47">
        <f>IF(ISNA(VLOOKUP(D759,'[2]stock-take'!$M:$Q,3,FALSE)), 0, VLOOKUP(D759,'[2]stock-take'!$M:$Q,3,FALSE))</f>
        <v>0</v>
      </c>
      <c r="M759" s="48" t="str">
        <f t="shared" si="34"/>
        <v xml:space="preserve"> </v>
      </c>
      <c r="N759" s="39" t="str">
        <f t="shared" si="35"/>
        <v xml:space="preserve"> </v>
      </c>
    </row>
    <row r="760" spans="1:14">
      <c r="A760" s="37">
        <f t="shared" si="33"/>
        <v>749</v>
      </c>
      <c r="G760" s="48" t="str">
        <f>IF(F760=""," ",IF(ISNA(VLOOKUP(D760,'[2]stock-take'!$A:$E,4,FALSE)), "OUT OF STOCK", VLOOKUP(D760,'[2]stock-take'!$A:$E,4,FALSE)))</f>
        <v xml:space="preserve"> </v>
      </c>
      <c r="H760" s="48">
        <f>IF(ISNA(VLOOKUP(D760,'[2]stock-take'!$A:$E,3,FALSE)), 0, VLOOKUP(D760,'[2]stock-take'!$A:$E,3,FALSE))</f>
        <v>0</v>
      </c>
      <c r="I760" s="48" t="str">
        <f>IF(F760="", " ",IF(ISNA(VLOOKUP(D760,'[2]stock-take'!$G:$K,4,FALSE)), "OUT OF STOCK", VLOOKUP(D760,'[2]stock-take'!$G:$K,4,FALSE)))</f>
        <v xml:space="preserve"> </v>
      </c>
      <c r="J760" s="39">
        <f>IF(ISNA(VLOOKUP(D760,'[2]stock-take'!$G:$K,3,FALSE)), 0, VLOOKUP(D760,'[2]stock-take'!$G:$K,3,FALSE))</f>
        <v>0</v>
      </c>
      <c r="K760" s="49" t="str">
        <f>IF(F760="", " ", IF(ISNA(VLOOKUP(D760,'[2]stock-take'!$M:$Q,4,FALSE)), "OUT OF STOCK", VLOOKUP(D760,'[2]stock-take'!$M:$Q,4,FALSE)))</f>
        <v xml:space="preserve"> </v>
      </c>
      <c r="L760" s="47">
        <f>IF(ISNA(VLOOKUP(D760,'[2]stock-take'!$M:$Q,3,FALSE)), 0, VLOOKUP(D760,'[2]stock-take'!$M:$Q,3,FALSE))</f>
        <v>0</v>
      </c>
      <c r="M760" s="48" t="str">
        <f t="shared" si="34"/>
        <v xml:space="preserve"> </v>
      </c>
      <c r="N760" s="39" t="str">
        <f t="shared" si="35"/>
        <v xml:space="preserve"> </v>
      </c>
    </row>
    <row r="761" spans="1:14">
      <c r="A761" s="37">
        <f t="shared" si="33"/>
        <v>750</v>
      </c>
      <c r="G761" s="48" t="str">
        <f>IF(F761=""," ",IF(ISNA(VLOOKUP(D761,'[2]stock-take'!$A:$E,4,FALSE)), "OUT OF STOCK", VLOOKUP(D761,'[2]stock-take'!$A:$E,4,FALSE)))</f>
        <v xml:space="preserve"> </v>
      </c>
      <c r="H761" s="48">
        <f>IF(ISNA(VLOOKUP(D761,'[2]stock-take'!$A:$E,3,FALSE)), 0, VLOOKUP(D761,'[2]stock-take'!$A:$E,3,FALSE))</f>
        <v>0</v>
      </c>
      <c r="I761" s="48" t="str">
        <f>IF(F761="", " ",IF(ISNA(VLOOKUP(D761,'[2]stock-take'!$G:$K,4,FALSE)), "OUT OF STOCK", VLOOKUP(D761,'[2]stock-take'!$G:$K,4,FALSE)))</f>
        <v xml:space="preserve"> </v>
      </c>
      <c r="J761" s="39">
        <f>IF(ISNA(VLOOKUP(D761,'[2]stock-take'!$G:$K,3,FALSE)), 0, VLOOKUP(D761,'[2]stock-take'!$G:$K,3,FALSE))</f>
        <v>0</v>
      </c>
      <c r="K761" s="49" t="str">
        <f>IF(F761="", " ", IF(ISNA(VLOOKUP(D761,'[2]stock-take'!$M:$Q,4,FALSE)), "OUT OF STOCK", VLOOKUP(D761,'[2]stock-take'!$M:$Q,4,FALSE)))</f>
        <v xml:space="preserve"> </v>
      </c>
      <c r="L761" s="47">
        <f>IF(ISNA(VLOOKUP(D761,'[2]stock-take'!$M:$Q,3,FALSE)), 0, VLOOKUP(D761,'[2]stock-take'!$M:$Q,3,FALSE))</f>
        <v>0</v>
      </c>
      <c r="M761" s="48" t="str">
        <f t="shared" si="34"/>
        <v xml:space="preserve"> </v>
      </c>
      <c r="N761" s="39" t="str">
        <f t="shared" si="35"/>
        <v xml:space="preserve"> </v>
      </c>
    </row>
    <row r="762" spans="1:14">
      <c r="A762" s="37">
        <f t="shared" si="33"/>
        <v>751</v>
      </c>
      <c r="G762" s="48" t="str">
        <f>IF(F762=""," ",IF(ISNA(VLOOKUP(D762,'[2]stock-take'!$A:$E,4,FALSE)), "OUT OF STOCK", VLOOKUP(D762,'[2]stock-take'!$A:$E,4,FALSE)))</f>
        <v xml:space="preserve"> </v>
      </c>
      <c r="H762" s="48">
        <f>IF(ISNA(VLOOKUP(D762,'[2]stock-take'!$A:$E,3,FALSE)), 0, VLOOKUP(D762,'[2]stock-take'!$A:$E,3,FALSE))</f>
        <v>0</v>
      </c>
      <c r="I762" s="48" t="str">
        <f>IF(F762="", " ",IF(ISNA(VLOOKUP(D762,'[2]stock-take'!$G:$K,4,FALSE)), "OUT OF STOCK", VLOOKUP(D762,'[2]stock-take'!$G:$K,4,FALSE)))</f>
        <v xml:space="preserve"> </v>
      </c>
      <c r="J762" s="39">
        <f>IF(ISNA(VLOOKUP(D762,'[2]stock-take'!$G:$K,3,FALSE)), 0, VLOOKUP(D762,'[2]stock-take'!$G:$K,3,FALSE))</f>
        <v>0</v>
      </c>
      <c r="K762" s="49" t="str">
        <f>IF(F762="", " ", IF(ISNA(VLOOKUP(D762,'[2]stock-take'!$M:$Q,4,FALSE)), "OUT OF STOCK", VLOOKUP(D762,'[2]stock-take'!$M:$Q,4,FALSE)))</f>
        <v xml:space="preserve"> </v>
      </c>
      <c r="L762" s="47">
        <f>IF(ISNA(VLOOKUP(D762,'[2]stock-take'!$M:$Q,3,FALSE)), 0, VLOOKUP(D762,'[2]stock-take'!$M:$Q,3,FALSE))</f>
        <v>0</v>
      </c>
      <c r="M762" s="48" t="str">
        <f t="shared" si="34"/>
        <v xml:space="preserve"> </v>
      </c>
      <c r="N762" s="39" t="str">
        <f t="shared" si="35"/>
        <v xml:space="preserve"> </v>
      </c>
    </row>
    <row r="763" spans="1:14">
      <c r="A763" s="37">
        <f t="shared" si="33"/>
        <v>752</v>
      </c>
      <c r="G763" s="48" t="str">
        <f>IF(F763=""," ",IF(ISNA(VLOOKUP(D763,'[2]stock-take'!$A:$E,4,FALSE)), "OUT OF STOCK", VLOOKUP(D763,'[2]stock-take'!$A:$E,4,FALSE)))</f>
        <v xml:space="preserve"> </v>
      </c>
      <c r="H763" s="48">
        <f>IF(ISNA(VLOOKUP(D763,'[2]stock-take'!$A:$E,3,FALSE)), 0, VLOOKUP(D763,'[2]stock-take'!$A:$E,3,FALSE))</f>
        <v>0</v>
      </c>
      <c r="I763" s="48" t="str">
        <f>IF(F763="", " ",IF(ISNA(VLOOKUP(D763,'[2]stock-take'!$G:$K,4,FALSE)), "OUT OF STOCK", VLOOKUP(D763,'[2]stock-take'!$G:$K,4,FALSE)))</f>
        <v xml:space="preserve"> </v>
      </c>
      <c r="J763" s="39">
        <f>IF(ISNA(VLOOKUP(D763,'[2]stock-take'!$G:$K,3,FALSE)), 0, VLOOKUP(D763,'[2]stock-take'!$G:$K,3,FALSE))</f>
        <v>0</v>
      </c>
      <c r="K763" s="49" t="str">
        <f>IF(F763="", " ", IF(ISNA(VLOOKUP(D763,'[2]stock-take'!$M:$Q,4,FALSE)), "OUT OF STOCK", VLOOKUP(D763,'[2]stock-take'!$M:$Q,4,FALSE)))</f>
        <v xml:space="preserve"> </v>
      </c>
      <c r="L763" s="47">
        <f>IF(ISNA(VLOOKUP(D763,'[2]stock-take'!$M:$Q,3,FALSE)), 0, VLOOKUP(D763,'[2]stock-take'!$M:$Q,3,FALSE))</f>
        <v>0</v>
      </c>
      <c r="M763" s="48" t="str">
        <f t="shared" si="34"/>
        <v xml:space="preserve"> </v>
      </c>
      <c r="N763" s="39" t="str">
        <f t="shared" si="35"/>
        <v xml:space="preserve"> </v>
      </c>
    </row>
    <row r="764" spans="1:14">
      <c r="A764" s="37">
        <f t="shared" si="33"/>
        <v>753</v>
      </c>
      <c r="G764" s="48" t="str">
        <f>IF(F764=""," ",IF(ISNA(VLOOKUP(D764,'[2]stock-take'!$A:$E,4,FALSE)), "OUT OF STOCK", VLOOKUP(D764,'[2]stock-take'!$A:$E,4,FALSE)))</f>
        <v xml:space="preserve"> </v>
      </c>
      <c r="H764" s="48">
        <f>IF(ISNA(VLOOKUP(D764,'[2]stock-take'!$A:$E,3,FALSE)), 0, VLOOKUP(D764,'[2]stock-take'!$A:$E,3,FALSE))</f>
        <v>0</v>
      </c>
      <c r="I764" s="48" t="str">
        <f>IF(F764="", " ",IF(ISNA(VLOOKUP(D764,'[2]stock-take'!$G:$K,4,FALSE)), "OUT OF STOCK", VLOOKUP(D764,'[2]stock-take'!$G:$K,4,FALSE)))</f>
        <v xml:space="preserve"> </v>
      </c>
      <c r="J764" s="39">
        <f>IF(ISNA(VLOOKUP(D764,'[2]stock-take'!$G:$K,3,FALSE)), 0, VLOOKUP(D764,'[2]stock-take'!$G:$K,3,FALSE))</f>
        <v>0</v>
      </c>
      <c r="K764" s="49" t="str">
        <f>IF(F764="", " ", IF(ISNA(VLOOKUP(D764,'[2]stock-take'!$M:$Q,4,FALSE)), "OUT OF STOCK", VLOOKUP(D764,'[2]stock-take'!$M:$Q,4,FALSE)))</f>
        <v xml:space="preserve"> </v>
      </c>
      <c r="L764" s="47">
        <f>IF(ISNA(VLOOKUP(D764,'[2]stock-take'!$M:$Q,3,FALSE)), 0, VLOOKUP(D764,'[2]stock-take'!$M:$Q,3,FALSE))</f>
        <v>0</v>
      </c>
      <c r="M764" s="48" t="str">
        <f t="shared" si="34"/>
        <v xml:space="preserve"> </v>
      </c>
      <c r="N764" s="39" t="str">
        <f t="shared" si="35"/>
        <v xml:space="preserve"> </v>
      </c>
    </row>
    <row r="765" spans="1:14">
      <c r="A765" s="37">
        <f t="shared" si="33"/>
        <v>754</v>
      </c>
      <c r="G765" s="48" t="str">
        <f>IF(F765=""," ",IF(ISNA(VLOOKUP(D765,'[2]stock-take'!$A:$E,4,FALSE)), "OUT OF STOCK", VLOOKUP(D765,'[2]stock-take'!$A:$E,4,FALSE)))</f>
        <v xml:space="preserve"> </v>
      </c>
      <c r="H765" s="48">
        <f>IF(ISNA(VLOOKUP(D765,'[2]stock-take'!$A:$E,3,FALSE)), 0, VLOOKUP(D765,'[2]stock-take'!$A:$E,3,FALSE))</f>
        <v>0</v>
      </c>
      <c r="I765" s="48" t="str">
        <f>IF(F765="", " ",IF(ISNA(VLOOKUP(D765,'[2]stock-take'!$G:$K,4,FALSE)), "OUT OF STOCK", VLOOKUP(D765,'[2]stock-take'!$G:$K,4,FALSE)))</f>
        <v xml:space="preserve"> </v>
      </c>
      <c r="J765" s="39">
        <f>IF(ISNA(VLOOKUP(D765,'[2]stock-take'!$G:$K,3,FALSE)), 0, VLOOKUP(D765,'[2]stock-take'!$G:$K,3,FALSE))</f>
        <v>0</v>
      </c>
      <c r="K765" s="49" t="str">
        <f>IF(F765="", " ", IF(ISNA(VLOOKUP(D765,'[2]stock-take'!$M:$Q,4,FALSE)), "OUT OF STOCK", VLOOKUP(D765,'[2]stock-take'!$M:$Q,4,FALSE)))</f>
        <v xml:space="preserve"> </v>
      </c>
      <c r="L765" s="47">
        <f>IF(ISNA(VLOOKUP(D765,'[2]stock-take'!$M:$Q,3,FALSE)), 0, VLOOKUP(D765,'[2]stock-take'!$M:$Q,3,FALSE))</f>
        <v>0</v>
      </c>
      <c r="M765" s="48" t="str">
        <f t="shared" si="34"/>
        <v xml:space="preserve"> </v>
      </c>
      <c r="N765" s="39" t="str">
        <f t="shared" si="35"/>
        <v xml:space="preserve"> </v>
      </c>
    </row>
    <row r="766" spans="1:14">
      <c r="A766" s="37">
        <f t="shared" si="33"/>
        <v>755</v>
      </c>
      <c r="G766" s="48" t="str">
        <f>IF(F766=""," ",IF(ISNA(VLOOKUP(D766,'[2]stock-take'!$A:$E,4,FALSE)), "OUT OF STOCK", VLOOKUP(D766,'[2]stock-take'!$A:$E,4,FALSE)))</f>
        <v xml:space="preserve"> </v>
      </c>
      <c r="H766" s="48">
        <f>IF(ISNA(VLOOKUP(D766,'[2]stock-take'!$A:$E,3,FALSE)), 0, VLOOKUP(D766,'[2]stock-take'!$A:$E,3,FALSE))</f>
        <v>0</v>
      </c>
      <c r="I766" s="48" t="str">
        <f>IF(F766="", " ",IF(ISNA(VLOOKUP(D766,'[2]stock-take'!$G:$K,4,FALSE)), "OUT OF STOCK", VLOOKUP(D766,'[2]stock-take'!$G:$K,4,FALSE)))</f>
        <v xml:space="preserve"> </v>
      </c>
      <c r="J766" s="39">
        <f>IF(ISNA(VLOOKUP(D766,'[2]stock-take'!$G:$K,3,FALSE)), 0, VLOOKUP(D766,'[2]stock-take'!$G:$K,3,FALSE))</f>
        <v>0</v>
      </c>
      <c r="K766" s="49" t="str">
        <f>IF(F766="", " ", IF(ISNA(VLOOKUP(D766,'[2]stock-take'!$M:$Q,4,FALSE)), "OUT OF STOCK", VLOOKUP(D766,'[2]stock-take'!$M:$Q,4,FALSE)))</f>
        <v xml:space="preserve"> </v>
      </c>
      <c r="L766" s="47">
        <f>IF(ISNA(VLOOKUP(D766,'[2]stock-take'!$M:$Q,3,FALSE)), 0, VLOOKUP(D766,'[2]stock-take'!$M:$Q,3,FALSE))</f>
        <v>0</v>
      </c>
      <c r="M766" s="48" t="str">
        <f t="shared" si="34"/>
        <v xml:space="preserve"> </v>
      </c>
      <c r="N766" s="39" t="str">
        <f t="shared" si="35"/>
        <v xml:space="preserve"> </v>
      </c>
    </row>
    <row r="767" spans="1:14">
      <c r="A767" s="37">
        <f t="shared" si="33"/>
        <v>756</v>
      </c>
      <c r="G767" s="48" t="str">
        <f>IF(F767=""," ",IF(ISNA(VLOOKUP(D767,'[2]stock-take'!$A:$E,4,FALSE)), "OUT OF STOCK", VLOOKUP(D767,'[2]stock-take'!$A:$E,4,FALSE)))</f>
        <v xml:space="preserve"> </v>
      </c>
      <c r="H767" s="48">
        <f>IF(ISNA(VLOOKUP(D767,'[2]stock-take'!$A:$E,3,FALSE)), 0, VLOOKUP(D767,'[2]stock-take'!$A:$E,3,FALSE))</f>
        <v>0</v>
      </c>
      <c r="I767" s="48" t="str">
        <f>IF(F767="", " ",IF(ISNA(VLOOKUP(D767,'[2]stock-take'!$G:$K,4,FALSE)), "OUT OF STOCK", VLOOKUP(D767,'[2]stock-take'!$G:$K,4,FALSE)))</f>
        <v xml:space="preserve"> </v>
      </c>
      <c r="J767" s="39">
        <f>IF(ISNA(VLOOKUP(D767,'[2]stock-take'!$G:$K,3,FALSE)), 0, VLOOKUP(D767,'[2]stock-take'!$G:$K,3,FALSE))</f>
        <v>0</v>
      </c>
      <c r="K767" s="49" t="str">
        <f>IF(F767="", " ", IF(ISNA(VLOOKUP(D767,'[2]stock-take'!$M:$Q,4,FALSE)), "OUT OF STOCK", VLOOKUP(D767,'[2]stock-take'!$M:$Q,4,FALSE)))</f>
        <v xml:space="preserve"> </v>
      </c>
      <c r="L767" s="47">
        <f>IF(ISNA(VLOOKUP(D767,'[2]stock-take'!$M:$Q,3,FALSE)), 0, VLOOKUP(D767,'[2]stock-take'!$M:$Q,3,FALSE))</f>
        <v>0</v>
      </c>
      <c r="M767" s="48" t="str">
        <f t="shared" si="34"/>
        <v xml:space="preserve"> </v>
      </c>
      <c r="N767" s="39" t="str">
        <f t="shared" si="35"/>
        <v xml:space="preserve"> </v>
      </c>
    </row>
    <row r="768" spans="1:14">
      <c r="A768" s="37">
        <f t="shared" si="33"/>
        <v>757</v>
      </c>
      <c r="G768" s="48" t="str">
        <f>IF(F768=""," ",IF(ISNA(VLOOKUP(D768,'[2]stock-take'!$A:$E,4,FALSE)), "OUT OF STOCK", VLOOKUP(D768,'[2]stock-take'!$A:$E,4,FALSE)))</f>
        <v xml:space="preserve"> </v>
      </c>
      <c r="H768" s="48">
        <f>IF(ISNA(VLOOKUP(D768,'[2]stock-take'!$A:$E,3,FALSE)), 0, VLOOKUP(D768,'[2]stock-take'!$A:$E,3,FALSE))</f>
        <v>0</v>
      </c>
      <c r="I768" s="48" t="str">
        <f>IF(F768="", " ",IF(ISNA(VLOOKUP(D768,'[2]stock-take'!$G:$K,4,FALSE)), "OUT OF STOCK", VLOOKUP(D768,'[2]stock-take'!$G:$K,4,FALSE)))</f>
        <v xml:space="preserve"> </v>
      </c>
      <c r="J768" s="39">
        <f>IF(ISNA(VLOOKUP(D768,'[2]stock-take'!$G:$K,3,FALSE)), 0, VLOOKUP(D768,'[2]stock-take'!$G:$K,3,FALSE))</f>
        <v>0</v>
      </c>
      <c r="K768" s="49" t="str">
        <f>IF(F768="", " ", IF(ISNA(VLOOKUP(D768,'[2]stock-take'!$M:$Q,4,FALSE)), "OUT OF STOCK", VLOOKUP(D768,'[2]stock-take'!$M:$Q,4,FALSE)))</f>
        <v xml:space="preserve"> </v>
      </c>
      <c r="L768" s="47">
        <f>IF(ISNA(VLOOKUP(D768,'[2]stock-take'!$M:$Q,3,FALSE)), 0, VLOOKUP(D768,'[2]stock-take'!$M:$Q,3,FALSE))</f>
        <v>0</v>
      </c>
      <c r="M768" s="48" t="str">
        <f t="shared" si="34"/>
        <v xml:space="preserve"> </v>
      </c>
      <c r="N768" s="39" t="str">
        <f t="shared" si="35"/>
        <v xml:space="preserve"> </v>
      </c>
    </row>
    <row r="769" spans="1:14">
      <c r="A769" s="37">
        <f t="shared" si="33"/>
        <v>758</v>
      </c>
      <c r="G769" s="48" t="str">
        <f>IF(F769=""," ",IF(ISNA(VLOOKUP(D769,'[2]stock-take'!$A:$E,4,FALSE)), "OUT OF STOCK", VLOOKUP(D769,'[2]stock-take'!$A:$E,4,FALSE)))</f>
        <v xml:space="preserve"> </v>
      </c>
      <c r="H769" s="48">
        <f>IF(ISNA(VLOOKUP(D769,'[2]stock-take'!$A:$E,3,FALSE)), 0, VLOOKUP(D769,'[2]stock-take'!$A:$E,3,FALSE))</f>
        <v>0</v>
      </c>
      <c r="I769" s="48" t="str">
        <f>IF(F769="", " ",IF(ISNA(VLOOKUP(D769,'[2]stock-take'!$G:$K,4,FALSE)), "OUT OF STOCK", VLOOKUP(D769,'[2]stock-take'!$G:$K,4,FALSE)))</f>
        <v xml:space="preserve"> </v>
      </c>
      <c r="J769" s="39">
        <f>IF(ISNA(VLOOKUP(D769,'[2]stock-take'!$G:$K,3,FALSE)), 0, VLOOKUP(D769,'[2]stock-take'!$G:$K,3,FALSE))</f>
        <v>0</v>
      </c>
      <c r="K769" s="49" t="str">
        <f>IF(F769="", " ", IF(ISNA(VLOOKUP(D769,'[2]stock-take'!$M:$Q,4,FALSE)), "OUT OF STOCK", VLOOKUP(D769,'[2]stock-take'!$M:$Q,4,FALSE)))</f>
        <v xml:space="preserve"> </v>
      </c>
      <c r="L769" s="47">
        <f>IF(ISNA(VLOOKUP(D769,'[2]stock-take'!$M:$Q,3,FALSE)), 0, VLOOKUP(D769,'[2]stock-take'!$M:$Q,3,FALSE))</f>
        <v>0</v>
      </c>
      <c r="M769" s="48" t="str">
        <f t="shared" si="34"/>
        <v xml:space="preserve"> </v>
      </c>
      <c r="N769" s="39" t="str">
        <f t="shared" si="35"/>
        <v xml:space="preserve"> </v>
      </c>
    </row>
    <row r="770" spans="1:14">
      <c r="A770" s="37">
        <f t="shared" si="33"/>
        <v>759</v>
      </c>
      <c r="G770" s="48" t="str">
        <f>IF(F770=""," ",IF(ISNA(VLOOKUP(D770,'[2]stock-take'!$A:$E,4,FALSE)), "OUT OF STOCK", VLOOKUP(D770,'[2]stock-take'!$A:$E,4,FALSE)))</f>
        <v xml:space="preserve"> </v>
      </c>
      <c r="H770" s="48">
        <f>IF(ISNA(VLOOKUP(D770,'[2]stock-take'!$A:$E,3,FALSE)), 0, VLOOKUP(D770,'[2]stock-take'!$A:$E,3,FALSE))</f>
        <v>0</v>
      </c>
      <c r="I770" s="48" t="str">
        <f>IF(F770="", " ",IF(ISNA(VLOOKUP(D770,'[2]stock-take'!$G:$K,4,FALSE)), "OUT OF STOCK", VLOOKUP(D770,'[2]stock-take'!$G:$K,4,FALSE)))</f>
        <v xml:space="preserve"> </v>
      </c>
      <c r="J770" s="39">
        <f>IF(ISNA(VLOOKUP(D770,'[2]stock-take'!$G:$K,3,FALSE)), 0, VLOOKUP(D770,'[2]stock-take'!$G:$K,3,FALSE))</f>
        <v>0</v>
      </c>
      <c r="K770" s="49" t="str">
        <f>IF(F770="", " ", IF(ISNA(VLOOKUP(D770,'[2]stock-take'!$M:$Q,4,FALSE)), "OUT OF STOCK", VLOOKUP(D770,'[2]stock-take'!$M:$Q,4,FALSE)))</f>
        <v xml:space="preserve"> </v>
      </c>
      <c r="L770" s="47">
        <f>IF(ISNA(VLOOKUP(D770,'[2]stock-take'!$M:$Q,3,FALSE)), 0, VLOOKUP(D770,'[2]stock-take'!$M:$Q,3,FALSE))</f>
        <v>0</v>
      </c>
      <c r="M770" s="48" t="str">
        <f t="shared" si="34"/>
        <v xml:space="preserve"> </v>
      </c>
      <c r="N770" s="39" t="str">
        <f t="shared" si="35"/>
        <v xml:space="preserve"> </v>
      </c>
    </row>
    <row r="771" spans="1:14">
      <c r="A771" s="37">
        <f t="shared" si="33"/>
        <v>760</v>
      </c>
      <c r="G771" s="48" t="str">
        <f>IF(F771=""," ",IF(ISNA(VLOOKUP(D771,'[2]stock-take'!$A:$E,4,FALSE)), "OUT OF STOCK", VLOOKUP(D771,'[2]stock-take'!$A:$E,4,FALSE)))</f>
        <v xml:space="preserve"> </v>
      </c>
      <c r="H771" s="48">
        <f>IF(ISNA(VLOOKUP(D771,'[2]stock-take'!$A:$E,3,FALSE)), 0, VLOOKUP(D771,'[2]stock-take'!$A:$E,3,FALSE))</f>
        <v>0</v>
      </c>
      <c r="I771" s="48" t="str">
        <f>IF(F771="", " ",IF(ISNA(VLOOKUP(D771,'[2]stock-take'!$G:$K,4,FALSE)), "OUT OF STOCK", VLOOKUP(D771,'[2]stock-take'!$G:$K,4,FALSE)))</f>
        <v xml:space="preserve"> </v>
      </c>
      <c r="J771" s="39">
        <f>IF(ISNA(VLOOKUP(D771,'[2]stock-take'!$G:$K,3,FALSE)), 0, VLOOKUP(D771,'[2]stock-take'!$G:$K,3,FALSE))</f>
        <v>0</v>
      </c>
      <c r="K771" s="49" t="str">
        <f>IF(F771="", " ", IF(ISNA(VLOOKUP(D771,'[2]stock-take'!$M:$Q,4,FALSE)), "OUT OF STOCK", VLOOKUP(D771,'[2]stock-take'!$M:$Q,4,FALSE)))</f>
        <v xml:space="preserve"> </v>
      </c>
      <c r="L771" s="47">
        <f>IF(ISNA(VLOOKUP(D771,'[2]stock-take'!$M:$Q,3,FALSE)), 0, VLOOKUP(D771,'[2]stock-take'!$M:$Q,3,FALSE))</f>
        <v>0</v>
      </c>
      <c r="M771" s="48" t="str">
        <f t="shared" si="34"/>
        <v xml:space="preserve"> </v>
      </c>
      <c r="N771" s="39" t="str">
        <f t="shared" si="35"/>
        <v xml:space="preserve"> </v>
      </c>
    </row>
    <row r="772" spans="1:14">
      <c r="A772" s="37">
        <f t="shared" si="33"/>
        <v>761</v>
      </c>
      <c r="G772" s="48" t="str">
        <f>IF(F772=""," ",IF(ISNA(VLOOKUP(D772,'[2]stock-take'!$A:$E,4,FALSE)), "OUT OF STOCK", VLOOKUP(D772,'[2]stock-take'!$A:$E,4,FALSE)))</f>
        <v xml:space="preserve"> </v>
      </c>
      <c r="H772" s="48">
        <f>IF(ISNA(VLOOKUP(D772,'[2]stock-take'!$A:$E,3,FALSE)), 0, VLOOKUP(D772,'[2]stock-take'!$A:$E,3,FALSE))</f>
        <v>0</v>
      </c>
      <c r="I772" s="48" t="str">
        <f>IF(F772="", " ",IF(ISNA(VLOOKUP(D772,'[2]stock-take'!$G:$K,4,FALSE)), "OUT OF STOCK", VLOOKUP(D772,'[2]stock-take'!$G:$K,4,FALSE)))</f>
        <v xml:space="preserve"> </v>
      </c>
      <c r="J772" s="39">
        <f>IF(ISNA(VLOOKUP(D772,'[2]stock-take'!$G:$K,3,FALSE)), 0, VLOOKUP(D772,'[2]stock-take'!$G:$K,3,FALSE))</f>
        <v>0</v>
      </c>
      <c r="K772" s="49" t="str">
        <f>IF(F772="", " ", IF(ISNA(VLOOKUP(D772,'[2]stock-take'!$M:$Q,4,FALSE)), "OUT OF STOCK", VLOOKUP(D772,'[2]stock-take'!$M:$Q,4,FALSE)))</f>
        <v xml:space="preserve"> </v>
      </c>
      <c r="L772" s="47">
        <f>IF(ISNA(VLOOKUP(D772,'[2]stock-take'!$M:$Q,3,FALSE)), 0, VLOOKUP(D772,'[2]stock-take'!$M:$Q,3,FALSE))</f>
        <v>0</v>
      </c>
      <c r="M772" s="48" t="str">
        <f t="shared" si="34"/>
        <v xml:space="preserve"> </v>
      </c>
      <c r="N772" s="39" t="str">
        <f t="shared" si="35"/>
        <v xml:space="preserve"> </v>
      </c>
    </row>
    <row r="773" spans="1:14">
      <c r="A773" s="37">
        <f t="shared" si="33"/>
        <v>762</v>
      </c>
      <c r="G773" s="48" t="str">
        <f>IF(F773=""," ",IF(ISNA(VLOOKUP(D773,'[2]stock-take'!$A:$E,4,FALSE)), "OUT OF STOCK", VLOOKUP(D773,'[2]stock-take'!$A:$E,4,FALSE)))</f>
        <v xml:space="preserve"> </v>
      </c>
      <c r="H773" s="48">
        <f>IF(ISNA(VLOOKUP(D773,'[2]stock-take'!$A:$E,3,FALSE)), 0, VLOOKUP(D773,'[2]stock-take'!$A:$E,3,FALSE))</f>
        <v>0</v>
      </c>
      <c r="I773" s="48" t="str">
        <f>IF(F773="", " ",IF(ISNA(VLOOKUP(D773,'[2]stock-take'!$G:$K,4,FALSE)), "OUT OF STOCK", VLOOKUP(D773,'[2]stock-take'!$G:$K,4,FALSE)))</f>
        <v xml:space="preserve"> </v>
      </c>
      <c r="J773" s="39">
        <f>IF(ISNA(VLOOKUP(D773,'[2]stock-take'!$G:$K,3,FALSE)), 0, VLOOKUP(D773,'[2]stock-take'!$G:$K,3,FALSE))</f>
        <v>0</v>
      </c>
      <c r="K773" s="49" t="str">
        <f>IF(F773="", " ", IF(ISNA(VLOOKUP(D773,'[2]stock-take'!$M:$Q,4,FALSE)), "OUT OF STOCK", VLOOKUP(D773,'[2]stock-take'!$M:$Q,4,FALSE)))</f>
        <v xml:space="preserve"> </v>
      </c>
      <c r="L773" s="47">
        <f>IF(ISNA(VLOOKUP(D773,'[2]stock-take'!$M:$Q,3,FALSE)), 0, VLOOKUP(D773,'[2]stock-take'!$M:$Q,3,FALSE))</f>
        <v>0</v>
      </c>
      <c r="M773" s="48" t="str">
        <f t="shared" si="34"/>
        <v xml:space="preserve"> </v>
      </c>
      <c r="N773" s="39" t="str">
        <f t="shared" si="35"/>
        <v xml:space="preserve"> </v>
      </c>
    </row>
    <row r="774" spans="1:14">
      <c r="A774" s="37">
        <f t="shared" si="33"/>
        <v>763</v>
      </c>
      <c r="G774" s="48" t="str">
        <f>IF(F774=""," ",IF(ISNA(VLOOKUP(D774,'[2]stock-take'!$A:$E,4,FALSE)), "OUT OF STOCK", VLOOKUP(D774,'[2]stock-take'!$A:$E,4,FALSE)))</f>
        <v xml:space="preserve"> </v>
      </c>
      <c r="H774" s="48">
        <f>IF(ISNA(VLOOKUP(D774,'[2]stock-take'!$A:$E,3,FALSE)), 0, VLOOKUP(D774,'[2]stock-take'!$A:$E,3,FALSE))</f>
        <v>0</v>
      </c>
      <c r="I774" s="48" t="str">
        <f>IF(F774="", " ",IF(ISNA(VLOOKUP(D774,'[2]stock-take'!$G:$K,4,FALSE)), "OUT OF STOCK", VLOOKUP(D774,'[2]stock-take'!$G:$K,4,FALSE)))</f>
        <v xml:space="preserve"> </v>
      </c>
      <c r="J774" s="39">
        <f>IF(ISNA(VLOOKUP(D774,'[2]stock-take'!$G:$K,3,FALSE)), 0, VLOOKUP(D774,'[2]stock-take'!$G:$K,3,FALSE))</f>
        <v>0</v>
      </c>
      <c r="K774" s="49" t="str">
        <f>IF(F774="", " ", IF(ISNA(VLOOKUP(D774,'[2]stock-take'!$M:$Q,4,FALSE)), "OUT OF STOCK", VLOOKUP(D774,'[2]stock-take'!$M:$Q,4,FALSE)))</f>
        <v xml:space="preserve"> </v>
      </c>
      <c r="L774" s="47">
        <f>IF(ISNA(VLOOKUP(D774,'[2]stock-take'!$M:$Q,3,FALSE)), 0, VLOOKUP(D774,'[2]stock-take'!$M:$Q,3,FALSE))</f>
        <v>0</v>
      </c>
      <c r="M774" s="48" t="str">
        <f t="shared" si="34"/>
        <v xml:space="preserve"> </v>
      </c>
      <c r="N774" s="39" t="str">
        <f t="shared" si="35"/>
        <v xml:space="preserve"> </v>
      </c>
    </row>
    <row r="775" spans="1:14">
      <c r="A775" s="37">
        <f t="shared" si="33"/>
        <v>764</v>
      </c>
      <c r="G775" s="48" t="str">
        <f>IF(F775=""," ",IF(ISNA(VLOOKUP(D775,'[2]stock-take'!$A:$E,4,FALSE)), "OUT OF STOCK", VLOOKUP(D775,'[2]stock-take'!$A:$E,4,FALSE)))</f>
        <v xml:space="preserve"> </v>
      </c>
      <c r="H775" s="48">
        <f>IF(ISNA(VLOOKUP(D775,'[2]stock-take'!$A:$E,3,FALSE)), 0, VLOOKUP(D775,'[2]stock-take'!$A:$E,3,FALSE))</f>
        <v>0</v>
      </c>
      <c r="I775" s="48" t="str">
        <f>IF(F775="", " ",IF(ISNA(VLOOKUP(D775,'[2]stock-take'!$G:$K,4,FALSE)), "OUT OF STOCK", VLOOKUP(D775,'[2]stock-take'!$G:$K,4,FALSE)))</f>
        <v xml:space="preserve"> </v>
      </c>
      <c r="J775" s="39">
        <f>IF(ISNA(VLOOKUP(D775,'[2]stock-take'!$G:$K,3,FALSE)), 0, VLOOKUP(D775,'[2]stock-take'!$G:$K,3,FALSE))</f>
        <v>0</v>
      </c>
      <c r="K775" s="49" t="str">
        <f>IF(F775="", " ", IF(ISNA(VLOOKUP(D775,'[2]stock-take'!$M:$Q,4,FALSE)), "OUT OF STOCK", VLOOKUP(D775,'[2]stock-take'!$M:$Q,4,FALSE)))</f>
        <v xml:space="preserve"> </v>
      </c>
      <c r="L775" s="47">
        <f>IF(ISNA(VLOOKUP(D775,'[2]stock-take'!$M:$Q,3,FALSE)), 0, VLOOKUP(D775,'[2]stock-take'!$M:$Q,3,FALSE))</f>
        <v>0</v>
      </c>
      <c r="M775" s="48" t="str">
        <f t="shared" si="34"/>
        <v xml:space="preserve"> </v>
      </c>
      <c r="N775" s="39" t="str">
        <f t="shared" si="35"/>
        <v xml:space="preserve"> </v>
      </c>
    </row>
    <row r="776" spans="1:14">
      <c r="A776" s="37">
        <f t="shared" si="33"/>
        <v>765</v>
      </c>
      <c r="G776" s="48" t="str">
        <f>IF(F776=""," ",IF(ISNA(VLOOKUP(D776,'[2]stock-take'!$A:$E,4,FALSE)), "OUT OF STOCK", VLOOKUP(D776,'[2]stock-take'!$A:$E,4,FALSE)))</f>
        <v xml:space="preserve"> </v>
      </c>
      <c r="H776" s="48">
        <f>IF(ISNA(VLOOKUP(D776,'[2]stock-take'!$A:$E,3,FALSE)), 0, VLOOKUP(D776,'[2]stock-take'!$A:$E,3,FALSE))</f>
        <v>0</v>
      </c>
      <c r="I776" s="48" t="str">
        <f>IF(F776="", " ",IF(ISNA(VLOOKUP(D776,'[2]stock-take'!$G:$K,4,FALSE)), "OUT OF STOCK", VLOOKUP(D776,'[2]stock-take'!$G:$K,4,FALSE)))</f>
        <v xml:space="preserve"> </v>
      </c>
      <c r="J776" s="39">
        <f>IF(ISNA(VLOOKUP(D776,'[2]stock-take'!$G:$K,3,FALSE)), 0, VLOOKUP(D776,'[2]stock-take'!$G:$K,3,FALSE))</f>
        <v>0</v>
      </c>
      <c r="K776" s="49" t="str">
        <f>IF(F776="", " ", IF(ISNA(VLOOKUP(D776,'[2]stock-take'!$M:$Q,4,FALSE)), "OUT OF STOCK", VLOOKUP(D776,'[2]stock-take'!$M:$Q,4,FALSE)))</f>
        <v xml:space="preserve"> </v>
      </c>
      <c r="L776" s="47">
        <f>IF(ISNA(VLOOKUP(D776,'[2]stock-take'!$M:$Q,3,FALSE)), 0, VLOOKUP(D776,'[2]stock-take'!$M:$Q,3,FALSE))</f>
        <v>0</v>
      </c>
      <c r="M776" s="48" t="str">
        <f t="shared" si="34"/>
        <v xml:space="preserve"> </v>
      </c>
      <c r="N776" s="39" t="str">
        <f t="shared" si="35"/>
        <v xml:space="preserve"> </v>
      </c>
    </row>
    <row r="777" spans="1:14">
      <c r="A777" s="37">
        <f t="shared" si="33"/>
        <v>766</v>
      </c>
      <c r="G777" s="48" t="str">
        <f>IF(F777=""," ",IF(ISNA(VLOOKUP(D777,'[2]stock-take'!$A:$E,4,FALSE)), "OUT OF STOCK", VLOOKUP(D777,'[2]stock-take'!$A:$E,4,FALSE)))</f>
        <v xml:space="preserve"> </v>
      </c>
      <c r="H777" s="48">
        <f>IF(ISNA(VLOOKUP(D777,'[2]stock-take'!$A:$E,3,FALSE)), 0, VLOOKUP(D777,'[2]stock-take'!$A:$E,3,FALSE))</f>
        <v>0</v>
      </c>
      <c r="I777" s="48" t="str">
        <f>IF(F777="", " ",IF(ISNA(VLOOKUP(D777,'[2]stock-take'!$G:$K,4,FALSE)), "OUT OF STOCK", VLOOKUP(D777,'[2]stock-take'!$G:$K,4,FALSE)))</f>
        <v xml:space="preserve"> </v>
      </c>
      <c r="J777" s="39">
        <f>IF(ISNA(VLOOKUP(D777,'[2]stock-take'!$G:$K,3,FALSE)), 0, VLOOKUP(D777,'[2]stock-take'!$G:$K,3,FALSE))</f>
        <v>0</v>
      </c>
      <c r="K777" s="49" t="str">
        <f>IF(F777="", " ", IF(ISNA(VLOOKUP(D777,'[2]stock-take'!$M:$Q,4,FALSE)), "OUT OF STOCK", VLOOKUP(D777,'[2]stock-take'!$M:$Q,4,FALSE)))</f>
        <v xml:space="preserve"> </v>
      </c>
      <c r="L777" s="47">
        <f>IF(ISNA(VLOOKUP(D777,'[2]stock-take'!$M:$Q,3,FALSE)), 0, VLOOKUP(D777,'[2]stock-take'!$M:$Q,3,FALSE))</f>
        <v>0</v>
      </c>
      <c r="M777" s="48" t="str">
        <f t="shared" si="34"/>
        <v xml:space="preserve"> </v>
      </c>
      <c r="N777" s="39" t="str">
        <f t="shared" si="35"/>
        <v xml:space="preserve"> </v>
      </c>
    </row>
    <row r="778" spans="1:14">
      <c r="A778" s="37">
        <f t="shared" si="33"/>
        <v>767</v>
      </c>
      <c r="G778" s="48" t="str">
        <f>IF(F778=""," ",IF(ISNA(VLOOKUP(D778,'[2]stock-take'!$A:$E,4,FALSE)), "OUT OF STOCK", VLOOKUP(D778,'[2]stock-take'!$A:$E,4,FALSE)))</f>
        <v xml:space="preserve"> </v>
      </c>
      <c r="H778" s="48">
        <f>IF(ISNA(VLOOKUP(D778,'[2]stock-take'!$A:$E,3,FALSE)), 0, VLOOKUP(D778,'[2]stock-take'!$A:$E,3,FALSE))</f>
        <v>0</v>
      </c>
      <c r="I778" s="48" t="str">
        <f>IF(F778="", " ",IF(ISNA(VLOOKUP(D778,'[2]stock-take'!$G:$K,4,FALSE)), "OUT OF STOCK", VLOOKUP(D778,'[2]stock-take'!$G:$K,4,FALSE)))</f>
        <v xml:space="preserve"> </v>
      </c>
      <c r="J778" s="39">
        <f>IF(ISNA(VLOOKUP(D778,'[2]stock-take'!$G:$K,3,FALSE)), 0, VLOOKUP(D778,'[2]stock-take'!$G:$K,3,FALSE))</f>
        <v>0</v>
      </c>
      <c r="K778" s="49" t="str">
        <f>IF(F778="", " ", IF(ISNA(VLOOKUP(D778,'[2]stock-take'!$M:$Q,4,FALSE)), "OUT OF STOCK", VLOOKUP(D778,'[2]stock-take'!$M:$Q,4,FALSE)))</f>
        <v xml:space="preserve"> </v>
      </c>
      <c r="L778" s="47">
        <f>IF(ISNA(VLOOKUP(D778,'[2]stock-take'!$M:$Q,3,FALSE)), 0, VLOOKUP(D778,'[2]stock-take'!$M:$Q,3,FALSE))</f>
        <v>0</v>
      </c>
      <c r="M778" s="48" t="str">
        <f t="shared" si="34"/>
        <v xml:space="preserve"> </v>
      </c>
      <c r="N778" s="39" t="str">
        <f t="shared" si="35"/>
        <v xml:space="preserve"> </v>
      </c>
    </row>
    <row r="779" spans="1:14">
      <c r="A779" s="37">
        <f t="shared" si="33"/>
        <v>768</v>
      </c>
      <c r="G779" s="48" t="str">
        <f>IF(F779=""," ",IF(ISNA(VLOOKUP(D779,'[2]stock-take'!$A:$E,4,FALSE)), "OUT OF STOCK", VLOOKUP(D779,'[2]stock-take'!$A:$E,4,FALSE)))</f>
        <v xml:space="preserve"> </v>
      </c>
      <c r="H779" s="48">
        <f>IF(ISNA(VLOOKUP(D779,'[2]stock-take'!$A:$E,3,FALSE)), 0, VLOOKUP(D779,'[2]stock-take'!$A:$E,3,FALSE))</f>
        <v>0</v>
      </c>
      <c r="I779" s="48" t="str">
        <f>IF(F779="", " ",IF(ISNA(VLOOKUP(D779,'[2]stock-take'!$G:$K,4,FALSE)), "OUT OF STOCK", VLOOKUP(D779,'[2]stock-take'!$G:$K,4,FALSE)))</f>
        <v xml:space="preserve"> </v>
      </c>
      <c r="J779" s="39">
        <f>IF(ISNA(VLOOKUP(D779,'[2]stock-take'!$G:$K,3,FALSE)), 0, VLOOKUP(D779,'[2]stock-take'!$G:$K,3,FALSE))</f>
        <v>0</v>
      </c>
      <c r="K779" s="49" t="str">
        <f>IF(F779="", " ", IF(ISNA(VLOOKUP(D779,'[2]stock-take'!$M:$Q,4,FALSE)), "OUT OF STOCK", VLOOKUP(D779,'[2]stock-take'!$M:$Q,4,FALSE)))</f>
        <v xml:space="preserve"> </v>
      </c>
      <c r="L779" s="47">
        <f>IF(ISNA(VLOOKUP(D779,'[2]stock-take'!$M:$Q,3,FALSE)), 0, VLOOKUP(D779,'[2]stock-take'!$M:$Q,3,FALSE))</f>
        <v>0</v>
      </c>
      <c r="M779" s="48" t="str">
        <f t="shared" si="34"/>
        <v xml:space="preserve"> </v>
      </c>
      <c r="N779" s="39" t="str">
        <f t="shared" si="35"/>
        <v xml:space="preserve"> </v>
      </c>
    </row>
    <row r="780" spans="1:14">
      <c r="A780" s="37">
        <f t="shared" ref="A780:A843" si="36">ROW(A780)-11</f>
        <v>769</v>
      </c>
      <c r="G780" s="48" t="str">
        <f>IF(F780=""," ",IF(ISNA(VLOOKUP(D780,'[2]stock-take'!$A:$E,4,FALSE)), "OUT OF STOCK", VLOOKUP(D780,'[2]stock-take'!$A:$E,4,FALSE)))</f>
        <v xml:space="preserve"> </v>
      </c>
      <c r="H780" s="48">
        <f>IF(ISNA(VLOOKUP(D780,'[2]stock-take'!$A:$E,3,FALSE)), 0, VLOOKUP(D780,'[2]stock-take'!$A:$E,3,FALSE))</f>
        <v>0</v>
      </c>
      <c r="I780" s="48" t="str">
        <f>IF(F780="", " ",IF(ISNA(VLOOKUP(D780,'[2]stock-take'!$G:$K,4,FALSE)), "OUT OF STOCK", VLOOKUP(D780,'[2]stock-take'!$G:$K,4,FALSE)))</f>
        <v xml:space="preserve"> </v>
      </c>
      <c r="J780" s="39">
        <f>IF(ISNA(VLOOKUP(D780,'[2]stock-take'!$G:$K,3,FALSE)), 0, VLOOKUP(D780,'[2]stock-take'!$G:$K,3,FALSE))</f>
        <v>0</v>
      </c>
      <c r="K780" s="49" t="str">
        <f>IF(F780="", " ", IF(ISNA(VLOOKUP(D780,'[2]stock-take'!$M:$Q,4,FALSE)), "OUT OF STOCK", VLOOKUP(D780,'[2]stock-take'!$M:$Q,4,FALSE)))</f>
        <v xml:space="preserve"> </v>
      </c>
      <c r="L780" s="47">
        <f>IF(ISNA(VLOOKUP(D780,'[2]stock-take'!$M:$Q,3,FALSE)), 0, VLOOKUP(D780,'[2]stock-take'!$M:$Q,3,FALSE))</f>
        <v>0</v>
      </c>
      <c r="M780" s="48" t="str">
        <f t="shared" si="34"/>
        <v xml:space="preserve"> </v>
      </c>
      <c r="N780" s="39" t="str">
        <f t="shared" si="35"/>
        <v xml:space="preserve"> </v>
      </c>
    </row>
    <row r="781" spans="1:14">
      <c r="A781" s="37">
        <f t="shared" si="36"/>
        <v>770</v>
      </c>
      <c r="G781" s="48" t="str">
        <f>IF(F781=""," ",IF(ISNA(VLOOKUP(D781,'[2]stock-take'!$A:$E,4,FALSE)), "OUT OF STOCK", VLOOKUP(D781,'[2]stock-take'!$A:$E,4,FALSE)))</f>
        <v xml:space="preserve"> </v>
      </c>
      <c r="H781" s="48">
        <f>IF(ISNA(VLOOKUP(D781,'[2]stock-take'!$A:$E,3,FALSE)), 0, VLOOKUP(D781,'[2]stock-take'!$A:$E,3,FALSE))</f>
        <v>0</v>
      </c>
      <c r="I781" s="48" t="str">
        <f>IF(F781="", " ",IF(ISNA(VLOOKUP(D781,'[2]stock-take'!$G:$K,4,FALSE)), "OUT OF STOCK", VLOOKUP(D781,'[2]stock-take'!$G:$K,4,FALSE)))</f>
        <v xml:space="preserve"> </v>
      </c>
      <c r="J781" s="39">
        <f>IF(ISNA(VLOOKUP(D781,'[2]stock-take'!$G:$K,3,FALSE)), 0, VLOOKUP(D781,'[2]stock-take'!$G:$K,3,FALSE))</f>
        <v>0</v>
      </c>
      <c r="K781" s="49" t="str">
        <f>IF(F781="", " ", IF(ISNA(VLOOKUP(D781,'[2]stock-take'!$M:$Q,4,FALSE)), "OUT OF STOCK", VLOOKUP(D781,'[2]stock-take'!$M:$Q,4,FALSE)))</f>
        <v xml:space="preserve"> </v>
      </c>
      <c r="L781" s="47">
        <f>IF(ISNA(VLOOKUP(D781,'[2]stock-take'!$M:$Q,3,FALSE)), 0, VLOOKUP(D781,'[2]stock-take'!$M:$Q,3,FALSE))</f>
        <v>0</v>
      </c>
      <c r="M781" s="48" t="str">
        <f t="shared" ref="M781:M844" si="37">IF(F781=""," ",IF(H781&gt;=F781,"Y",IF(J781&gt;=F781,"Y",IF(L781&gt;=F781,"Y",IF(SUM(H781,J781,L781)&gt;=F781,"Y","N")))))</f>
        <v xml:space="preserve"> </v>
      </c>
      <c r="N781" s="39" t="str">
        <f t="shared" ref="N781:N844" si="38">IF(F781=""," ",IF(H781&gt;=F781,"ILOOM",IF(J781&gt;=F781,"NO.6",IF(L781&gt;=F781,"RMD",IF(SUM(H781,J781,L781)&gt;=F781,"MULTI","LACK")))))</f>
        <v xml:space="preserve"> </v>
      </c>
    </row>
    <row r="782" spans="1:14">
      <c r="A782" s="37">
        <f t="shared" si="36"/>
        <v>771</v>
      </c>
      <c r="G782" s="48" t="str">
        <f>IF(F782=""," ",IF(ISNA(VLOOKUP(D782,'[2]stock-take'!$A:$E,4,FALSE)), "OUT OF STOCK", VLOOKUP(D782,'[2]stock-take'!$A:$E,4,FALSE)))</f>
        <v xml:space="preserve"> </v>
      </c>
      <c r="H782" s="48">
        <f>IF(ISNA(VLOOKUP(D782,'[2]stock-take'!$A:$E,3,FALSE)), 0, VLOOKUP(D782,'[2]stock-take'!$A:$E,3,FALSE))</f>
        <v>0</v>
      </c>
      <c r="I782" s="48" t="str">
        <f>IF(F782="", " ",IF(ISNA(VLOOKUP(D782,'[2]stock-take'!$G:$K,4,FALSE)), "OUT OF STOCK", VLOOKUP(D782,'[2]stock-take'!$G:$K,4,FALSE)))</f>
        <v xml:space="preserve"> </v>
      </c>
      <c r="J782" s="39">
        <f>IF(ISNA(VLOOKUP(D782,'[2]stock-take'!$G:$K,3,FALSE)), 0, VLOOKUP(D782,'[2]stock-take'!$G:$K,3,FALSE))</f>
        <v>0</v>
      </c>
      <c r="K782" s="49" t="str">
        <f>IF(F782="", " ", IF(ISNA(VLOOKUP(D782,'[2]stock-take'!$M:$Q,4,FALSE)), "OUT OF STOCK", VLOOKUP(D782,'[2]stock-take'!$M:$Q,4,FALSE)))</f>
        <v xml:space="preserve"> </v>
      </c>
      <c r="L782" s="47">
        <f>IF(ISNA(VLOOKUP(D782,'[2]stock-take'!$M:$Q,3,FALSE)), 0, VLOOKUP(D782,'[2]stock-take'!$M:$Q,3,FALSE))</f>
        <v>0</v>
      </c>
      <c r="M782" s="48" t="str">
        <f t="shared" si="37"/>
        <v xml:space="preserve"> </v>
      </c>
      <c r="N782" s="39" t="str">
        <f t="shared" si="38"/>
        <v xml:space="preserve"> </v>
      </c>
    </row>
    <row r="783" spans="1:14">
      <c r="A783" s="37">
        <f t="shared" si="36"/>
        <v>772</v>
      </c>
      <c r="G783" s="48" t="str">
        <f>IF(F783=""," ",IF(ISNA(VLOOKUP(D783,'[2]stock-take'!$A:$E,4,FALSE)), "OUT OF STOCK", VLOOKUP(D783,'[2]stock-take'!$A:$E,4,FALSE)))</f>
        <v xml:space="preserve"> </v>
      </c>
      <c r="H783" s="48">
        <f>IF(ISNA(VLOOKUP(D783,'[2]stock-take'!$A:$E,3,FALSE)), 0, VLOOKUP(D783,'[2]stock-take'!$A:$E,3,FALSE))</f>
        <v>0</v>
      </c>
      <c r="I783" s="48" t="str">
        <f>IF(F783="", " ",IF(ISNA(VLOOKUP(D783,'[2]stock-take'!$G:$K,4,FALSE)), "OUT OF STOCK", VLOOKUP(D783,'[2]stock-take'!$G:$K,4,FALSE)))</f>
        <v xml:space="preserve"> </v>
      </c>
      <c r="J783" s="39">
        <f>IF(ISNA(VLOOKUP(D783,'[2]stock-take'!$G:$K,3,FALSE)), 0, VLOOKUP(D783,'[2]stock-take'!$G:$K,3,FALSE))</f>
        <v>0</v>
      </c>
      <c r="K783" s="49" t="str">
        <f>IF(F783="", " ", IF(ISNA(VLOOKUP(D783,'[2]stock-take'!$M:$Q,4,FALSE)), "OUT OF STOCK", VLOOKUP(D783,'[2]stock-take'!$M:$Q,4,FALSE)))</f>
        <v xml:space="preserve"> </v>
      </c>
      <c r="L783" s="47">
        <f>IF(ISNA(VLOOKUP(D783,'[2]stock-take'!$M:$Q,3,FALSE)), 0, VLOOKUP(D783,'[2]stock-take'!$M:$Q,3,FALSE))</f>
        <v>0</v>
      </c>
      <c r="M783" s="48" t="str">
        <f t="shared" si="37"/>
        <v xml:space="preserve"> </v>
      </c>
      <c r="N783" s="39" t="str">
        <f t="shared" si="38"/>
        <v xml:space="preserve"> </v>
      </c>
    </row>
    <row r="784" spans="1:14">
      <c r="A784" s="37">
        <f t="shared" si="36"/>
        <v>773</v>
      </c>
      <c r="G784" s="48" t="str">
        <f>IF(F784=""," ",IF(ISNA(VLOOKUP(D784,'[2]stock-take'!$A:$E,4,FALSE)), "OUT OF STOCK", VLOOKUP(D784,'[2]stock-take'!$A:$E,4,FALSE)))</f>
        <v xml:space="preserve"> </v>
      </c>
      <c r="H784" s="48">
        <f>IF(ISNA(VLOOKUP(D784,'[2]stock-take'!$A:$E,3,FALSE)), 0, VLOOKUP(D784,'[2]stock-take'!$A:$E,3,FALSE))</f>
        <v>0</v>
      </c>
      <c r="I784" s="48" t="str">
        <f>IF(F784="", " ",IF(ISNA(VLOOKUP(D784,'[2]stock-take'!$G:$K,4,FALSE)), "OUT OF STOCK", VLOOKUP(D784,'[2]stock-take'!$G:$K,4,FALSE)))</f>
        <v xml:space="preserve"> </v>
      </c>
      <c r="J784" s="39">
        <f>IF(ISNA(VLOOKUP(D784,'[2]stock-take'!$G:$K,3,FALSE)), 0, VLOOKUP(D784,'[2]stock-take'!$G:$K,3,FALSE))</f>
        <v>0</v>
      </c>
      <c r="K784" s="49" t="str">
        <f>IF(F784="", " ", IF(ISNA(VLOOKUP(D784,'[2]stock-take'!$M:$Q,4,FALSE)), "OUT OF STOCK", VLOOKUP(D784,'[2]stock-take'!$M:$Q,4,FALSE)))</f>
        <v xml:space="preserve"> </v>
      </c>
      <c r="L784" s="47">
        <f>IF(ISNA(VLOOKUP(D784,'[2]stock-take'!$M:$Q,3,FALSE)), 0, VLOOKUP(D784,'[2]stock-take'!$M:$Q,3,FALSE))</f>
        <v>0</v>
      </c>
      <c r="M784" s="48" t="str">
        <f t="shared" si="37"/>
        <v xml:space="preserve"> </v>
      </c>
      <c r="N784" s="39" t="str">
        <f t="shared" si="38"/>
        <v xml:space="preserve"> </v>
      </c>
    </row>
    <row r="785" spans="1:14">
      <c r="A785" s="37">
        <f t="shared" si="36"/>
        <v>774</v>
      </c>
      <c r="G785" s="48" t="str">
        <f>IF(F785=""," ",IF(ISNA(VLOOKUP(D785,'[2]stock-take'!$A:$E,4,FALSE)), "OUT OF STOCK", VLOOKUP(D785,'[2]stock-take'!$A:$E,4,FALSE)))</f>
        <v xml:space="preserve"> </v>
      </c>
      <c r="H785" s="48">
        <f>IF(ISNA(VLOOKUP(D785,'[2]stock-take'!$A:$E,3,FALSE)), 0, VLOOKUP(D785,'[2]stock-take'!$A:$E,3,FALSE))</f>
        <v>0</v>
      </c>
      <c r="I785" s="48" t="str">
        <f>IF(F785="", " ",IF(ISNA(VLOOKUP(D785,'[2]stock-take'!$G:$K,4,FALSE)), "OUT OF STOCK", VLOOKUP(D785,'[2]stock-take'!$G:$K,4,FALSE)))</f>
        <v xml:space="preserve"> </v>
      </c>
      <c r="J785" s="39">
        <f>IF(ISNA(VLOOKUP(D785,'[2]stock-take'!$G:$K,3,FALSE)), 0, VLOOKUP(D785,'[2]stock-take'!$G:$K,3,FALSE))</f>
        <v>0</v>
      </c>
      <c r="K785" s="49" t="str">
        <f>IF(F785="", " ", IF(ISNA(VLOOKUP(D785,'[2]stock-take'!$M:$Q,4,FALSE)), "OUT OF STOCK", VLOOKUP(D785,'[2]stock-take'!$M:$Q,4,FALSE)))</f>
        <v xml:space="preserve"> </v>
      </c>
      <c r="L785" s="47">
        <f>IF(ISNA(VLOOKUP(D785,'[2]stock-take'!$M:$Q,3,FALSE)), 0, VLOOKUP(D785,'[2]stock-take'!$M:$Q,3,FALSE))</f>
        <v>0</v>
      </c>
      <c r="M785" s="48" t="str">
        <f t="shared" si="37"/>
        <v xml:space="preserve"> </v>
      </c>
      <c r="N785" s="39" t="str">
        <f t="shared" si="38"/>
        <v xml:space="preserve"> </v>
      </c>
    </row>
    <row r="786" spans="1:14">
      <c r="A786" s="37">
        <f t="shared" si="36"/>
        <v>775</v>
      </c>
      <c r="G786" s="48" t="str">
        <f>IF(F786=""," ",IF(ISNA(VLOOKUP(D786,'[2]stock-take'!$A:$E,4,FALSE)), "OUT OF STOCK", VLOOKUP(D786,'[2]stock-take'!$A:$E,4,FALSE)))</f>
        <v xml:space="preserve"> </v>
      </c>
      <c r="H786" s="48">
        <f>IF(ISNA(VLOOKUP(D786,'[2]stock-take'!$A:$E,3,FALSE)), 0, VLOOKUP(D786,'[2]stock-take'!$A:$E,3,FALSE))</f>
        <v>0</v>
      </c>
      <c r="I786" s="48" t="str">
        <f>IF(F786="", " ",IF(ISNA(VLOOKUP(D786,'[2]stock-take'!$G:$K,4,FALSE)), "OUT OF STOCK", VLOOKUP(D786,'[2]stock-take'!$G:$K,4,FALSE)))</f>
        <v xml:space="preserve"> </v>
      </c>
      <c r="J786" s="39">
        <f>IF(ISNA(VLOOKUP(D786,'[2]stock-take'!$G:$K,3,FALSE)), 0, VLOOKUP(D786,'[2]stock-take'!$G:$K,3,FALSE))</f>
        <v>0</v>
      </c>
      <c r="K786" s="49" t="str">
        <f>IF(F786="", " ", IF(ISNA(VLOOKUP(D786,'[2]stock-take'!$M:$Q,4,FALSE)), "OUT OF STOCK", VLOOKUP(D786,'[2]stock-take'!$M:$Q,4,FALSE)))</f>
        <v xml:space="preserve"> </v>
      </c>
      <c r="L786" s="47">
        <f>IF(ISNA(VLOOKUP(D786,'[2]stock-take'!$M:$Q,3,FALSE)), 0, VLOOKUP(D786,'[2]stock-take'!$M:$Q,3,FALSE))</f>
        <v>0</v>
      </c>
      <c r="M786" s="48" t="str">
        <f t="shared" si="37"/>
        <v xml:space="preserve"> </v>
      </c>
      <c r="N786" s="39" t="str">
        <f t="shared" si="38"/>
        <v xml:space="preserve"> </v>
      </c>
    </row>
    <row r="787" spans="1:14">
      <c r="A787" s="37">
        <f t="shared" si="36"/>
        <v>776</v>
      </c>
      <c r="G787" s="48" t="str">
        <f>IF(F787=""," ",IF(ISNA(VLOOKUP(D787,'[2]stock-take'!$A:$E,4,FALSE)), "OUT OF STOCK", VLOOKUP(D787,'[2]stock-take'!$A:$E,4,FALSE)))</f>
        <v xml:space="preserve"> </v>
      </c>
      <c r="H787" s="48">
        <f>IF(ISNA(VLOOKUP(D787,'[2]stock-take'!$A:$E,3,FALSE)), 0, VLOOKUP(D787,'[2]stock-take'!$A:$E,3,FALSE))</f>
        <v>0</v>
      </c>
      <c r="I787" s="48" t="str">
        <f>IF(F787="", " ",IF(ISNA(VLOOKUP(D787,'[2]stock-take'!$G:$K,4,FALSE)), "OUT OF STOCK", VLOOKUP(D787,'[2]stock-take'!$G:$K,4,FALSE)))</f>
        <v xml:space="preserve"> </v>
      </c>
      <c r="J787" s="39">
        <f>IF(ISNA(VLOOKUP(D787,'[2]stock-take'!$G:$K,3,FALSE)), 0, VLOOKUP(D787,'[2]stock-take'!$G:$K,3,FALSE))</f>
        <v>0</v>
      </c>
      <c r="K787" s="49" t="str">
        <f>IF(F787="", " ", IF(ISNA(VLOOKUP(D787,'[2]stock-take'!$M:$Q,4,FALSE)), "OUT OF STOCK", VLOOKUP(D787,'[2]stock-take'!$M:$Q,4,FALSE)))</f>
        <v xml:space="preserve"> </v>
      </c>
      <c r="L787" s="47">
        <f>IF(ISNA(VLOOKUP(D787,'[2]stock-take'!$M:$Q,3,FALSE)), 0, VLOOKUP(D787,'[2]stock-take'!$M:$Q,3,FALSE))</f>
        <v>0</v>
      </c>
      <c r="M787" s="48" t="str">
        <f t="shared" si="37"/>
        <v xml:space="preserve"> </v>
      </c>
      <c r="N787" s="39" t="str">
        <f t="shared" si="38"/>
        <v xml:space="preserve"> </v>
      </c>
    </row>
    <row r="788" spans="1:14">
      <c r="A788" s="37">
        <f t="shared" si="36"/>
        <v>777</v>
      </c>
      <c r="G788" s="48" t="str">
        <f>IF(F788=""," ",IF(ISNA(VLOOKUP(D788,'[2]stock-take'!$A:$E,4,FALSE)), "OUT OF STOCK", VLOOKUP(D788,'[2]stock-take'!$A:$E,4,FALSE)))</f>
        <v xml:space="preserve"> </v>
      </c>
      <c r="H788" s="48">
        <f>IF(ISNA(VLOOKUP(D788,'[2]stock-take'!$A:$E,3,FALSE)), 0, VLOOKUP(D788,'[2]stock-take'!$A:$E,3,FALSE))</f>
        <v>0</v>
      </c>
      <c r="I788" s="48" t="str">
        <f>IF(F788="", " ",IF(ISNA(VLOOKUP(D788,'[2]stock-take'!$G:$K,4,FALSE)), "OUT OF STOCK", VLOOKUP(D788,'[2]stock-take'!$G:$K,4,FALSE)))</f>
        <v xml:space="preserve"> </v>
      </c>
      <c r="J788" s="39">
        <f>IF(ISNA(VLOOKUP(D788,'[2]stock-take'!$G:$K,3,FALSE)), 0, VLOOKUP(D788,'[2]stock-take'!$G:$K,3,FALSE))</f>
        <v>0</v>
      </c>
      <c r="K788" s="49" t="str">
        <f>IF(F788="", " ", IF(ISNA(VLOOKUP(D788,'[2]stock-take'!$M:$Q,4,FALSE)), "OUT OF STOCK", VLOOKUP(D788,'[2]stock-take'!$M:$Q,4,FALSE)))</f>
        <v xml:space="preserve"> </v>
      </c>
      <c r="L788" s="47">
        <f>IF(ISNA(VLOOKUP(D788,'[2]stock-take'!$M:$Q,3,FALSE)), 0, VLOOKUP(D788,'[2]stock-take'!$M:$Q,3,FALSE))</f>
        <v>0</v>
      </c>
      <c r="M788" s="48" t="str">
        <f t="shared" si="37"/>
        <v xml:space="preserve"> </v>
      </c>
      <c r="N788" s="39" t="str">
        <f t="shared" si="38"/>
        <v xml:space="preserve"> </v>
      </c>
    </row>
    <row r="789" spans="1:14">
      <c r="A789" s="37">
        <f t="shared" si="36"/>
        <v>778</v>
      </c>
      <c r="G789" s="48" t="str">
        <f>IF(F789=""," ",IF(ISNA(VLOOKUP(D789,'[2]stock-take'!$A:$E,4,FALSE)), "OUT OF STOCK", VLOOKUP(D789,'[2]stock-take'!$A:$E,4,FALSE)))</f>
        <v xml:space="preserve"> </v>
      </c>
      <c r="H789" s="48">
        <f>IF(ISNA(VLOOKUP(D789,'[2]stock-take'!$A:$E,3,FALSE)), 0, VLOOKUP(D789,'[2]stock-take'!$A:$E,3,FALSE))</f>
        <v>0</v>
      </c>
      <c r="I789" s="48" t="str">
        <f>IF(F789="", " ",IF(ISNA(VLOOKUP(D789,'[2]stock-take'!$G:$K,4,FALSE)), "OUT OF STOCK", VLOOKUP(D789,'[2]stock-take'!$G:$K,4,FALSE)))</f>
        <v xml:space="preserve"> </v>
      </c>
      <c r="J789" s="39">
        <f>IF(ISNA(VLOOKUP(D789,'[2]stock-take'!$G:$K,3,FALSE)), 0, VLOOKUP(D789,'[2]stock-take'!$G:$K,3,FALSE))</f>
        <v>0</v>
      </c>
      <c r="K789" s="49" t="str">
        <f>IF(F789="", " ", IF(ISNA(VLOOKUP(D789,'[2]stock-take'!$M:$Q,4,FALSE)), "OUT OF STOCK", VLOOKUP(D789,'[2]stock-take'!$M:$Q,4,FALSE)))</f>
        <v xml:space="preserve"> </v>
      </c>
      <c r="L789" s="47">
        <f>IF(ISNA(VLOOKUP(D789,'[2]stock-take'!$M:$Q,3,FALSE)), 0, VLOOKUP(D789,'[2]stock-take'!$M:$Q,3,FALSE))</f>
        <v>0</v>
      </c>
      <c r="M789" s="48" t="str">
        <f t="shared" si="37"/>
        <v xml:space="preserve"> </v>
      </c>
      <c r="N789" s="39" t="str">
        <f t="shared" si="38"/>
        <v xml:space="preserve"> </v>
      </c>
    </row>
    <row r="790" spans="1:14">
      <c r="A790" s="37">
        <f t="shared" si="36"/>
        <v>779</v>
      </c>
      <c r="G790" s="48" t="str">
        <f>IF(F790=""," ",IF(ISNA(VLOOKUP(D790,'[2]stock-take'!$A:$E,4,FALSE)), "OUT OF STOCK", VLOOKUP(D790,'[2]stock-take'!$A:$E,4,FALSE)))</f>
        <v xml:space="preserve"> </v>
      </c>
      <c r="H790" s="48">
        <f>IF(ISNA(VLOOKUP(D790,'[2]stock-take'!$A:$E,3,FALSE)), 0, VLOOKUP(D790,'[2]stock-take'!$A:$E,3,FALSE))</f>
        <v>0</v>
      </c>
      <c r="I790" s="48" t="str">
        <f>IF(F790="", " ",IF(ISNA(VLOOKUP(D790,'[2]stock-take'!$G:$K,4,FALSE)), "OUT OF STOCK", VLOOKUP(D790,'[2]stock-take'!$G:$K,4,FALSE)))</f>
        <v xml:space="preserve"> </v>
      </c>
      <c r="J790" s="39">
        <f>IF(ISNA(VLOOKUP(D790,'[2]stock-take'!$G:$K,3,FALSE)), 0, VLOOKUP(D790,'[2]stock-take'!$G:$K,3,FALSE))</f>
        <v>0</v>
      </c>
      <c r="K790" s="49" t="str">
        <f>IF(F790="", " ", IF(ISNA(VLOOKUP(D790,'[2]stock-take'!$M:$Q,4,FALSE)), "OUT OF STOCK", VLOOKUP(D790,'[2]stock-take'!$M:$Q,4,FALSE)))</f>
        <v xml:space="preserve"> </v>
      </c>
      <c r="L790" s="47">
        <f>IF(ISNA(VLOOKUP(D790,'[2]stock-take'!$M:$Q,3,FALSE)), 0, VLOOKUP(D790,'[2]stock-take'!$M:$Q,3,FALSE))</f>
        <v>0</v>
      </c>
      <c r="M790" s="48" t="str">
        <f t="shared" si="37"/>
        <v xml:space="preserve"> </v>
      </c>
      <c r="N790" s="39" t="str">
        <f t="shared" si="38"/>
        <v xml:space="preserve"> </v>
      </c>
    </row>
    <row r="791" spans="1:14">
      <c r="A791" s="37">
        <f t="shared" si="36"/>
        <v>780</v>
      </c>
      <c r="G791" s="48" t="str">
        <f>IF(F791=""," ",IF(ISNA(VLOOKUP(D791,'[2]stock-take'!$A:$E,4,FALSE)), "OUT OF STOCK", VLOOKUP(D791,'[2]stock-take'!$A:$E,4,FALSE)))</f>
        <v xml:space="preserve"> </v>
      </c>
      <c r="H791" s="48">
        <f>IF(ISNA(VLOOKUP(D791,'[2]stock-take'!$A:$E,3,FALSE)), 0, VLOOKUP(D791,'[2]stock-take'!$A:$E,3,FALSE))</f>
        <v>0</v>
      </c>
      <c r="I791" s="48" t="str">
        <f>IF(F791="", " ",IF(ISNA(VLOOKUP(D791,'[2]stock-take'!$G:$K,4,FALSE)), "OUT OF STOCK", VLOOKUP(D791,'[2]stock-take'!$G:$K,4,FALSE)))</f>
        <v xml:space="preserve"> </v>
      </c>
      <c r="J791" s="39">
        <f>IF(ISNA(VLOOKUP(D791,'[2]stock-take'!$G:$K,3,FALSE)), 0, VLOOKUP(D791,'[2]stock-take'!$G:$K,3,FALSE))</f>
        <v>0</v>
      </c>
      <c r="K791" s="49" t="str">
        <f>IF(F791="", " ", IF(ISNA(VLOOKUP(D791,'[2]stock-take'!$M:$Q,4,FALSE)), "OUT OF STOCK", VLOOKUP(D791,'[2]stock-take'!$M:$Q,4,FALSE)))</f>
        <v xml:space="preserve"> </v>
      </c>
      <c r="L791" s="47">
        <f>IF(ISNA(VLOOKUP(D791,'[2]stock-take'!$M:$Q,3,FALSE)), 0, VLOOKUP(D791,'[2]stock-take'!$M:$Q,3,FALSE))</f>
        <v>0</v>
      </c>
      <c r="M791" s="48" t="str">
        <f t="shared" si="37"/>
        <v xml:space="preserve"> </v>
      </c>
      <c r="N791" s="39" t="str">
        <f t="shared" si="38"/>
        <v xml:space="preserve"> </v>
      </c>
    </row>
    <row r="792" spans="1:14">
      <c r="A792" s="37">
        <f t="shared" si="36"/>
        <v>781</v>
      </c>
      <c r="G792" s="48" t="str">
        <f>IF(F792=""," ",IF(ISNA(VLOOKUP(D792,'[2]stock-take'!$A:$E,4,FALSE)), "OUT OF STOCK", VLOOKUP(D792,'[2]stock-take'!$A:$E,4,FALSE)))</f>
        <v xml:space="preserve"> </v>
      </c>
      <c r="H792" s="48">
        <f>IF(ISNA(VLOOKUP(D792,'[2]stock-take'!$A:$E,3,FALSE)), 0, VLOOKUP(D792,'[2]stock-take'!$A:$E,3,FALSE))</f>
        <v>0</v>
      </c>
      <c r="I792" s="48" t="str">
        <f>IF(F792="", " ",IF(ISNA(VLOOKUP(D792,'[2]stock-take'!$G:$K,4,FALSE)), "OUT OF STOCK", VLOOKUP(D792,'[2]stock-take'!$G:$K,4,FALSE)))</f>
        <v xml:space="preserve"> </v>
      </c>
      <c r="J792" s="39">
        <f>IF(ISNA(VLOOKUP(D792,'[2]stock-take'!$G:$K,3,FALSE)), 0, VLOOKUP(D792,'[2]stock-take'!$G:$K,3,FALSE))</f>
        <v>0</v>
      </c>
      <c r="K792" s="49" t="str">
        <f>IF(F792="", " ", IF(ISNA(VLOOKUP(D792,'[2]stock-take'!$M:$Q,4,FALSE)), "OUT OF STOCK", VLOOKUP(D792,'[2]stock-take'!$M:$Q,4,FALSE)))</f>
        <v xml:space="preserve"> </v>
      </c>
      <c r="L792" s="47">
        <f>IF(ISNA(VLOOKUP(D792,'[2]stock-take'!$M:$Q,3,FALSE)), 0, VLOOKUP(D792,'[2]stock-take'!$M:$Q,3,FALSE))</f>
        <v>0</v>
      </c>
      <c r="M792" s="48" t="str">
        <f t="shared" si="37"/>
        <v xml:space="preserve"> </v>
      </c>
      <c r="N792" s="39" t="str">
        <f t="shared" si="38"/>
        <v xml:space="preserve"> </v>
      </c>
    </row>
    <row r="793" spans="1:14">
      <c r="A793" s="37">
        <f t="shared" si="36"/>
        <v>782</v>
      </c>
      <c r="G793" s="48" t="str">
        <f>IF(F793=""," ",IF(ISNA(VLOOKUP(D793,'[2]stock-take'!$A:$E,4,FALSE)), "OUT OF STOCK", VLOOKUP(D793,'[2]stock-take'!$A:$E,4,FALSE)))</f>
        <v xml:space="preserve"> </v>
      </c>
      <c r="H793" s="48">
        <f>IF(ISNA(VLOOKUP(D793,'[2]stock-take'!$A:$E,3,FALSE)), 0, VLOOKUP(D793,'[2]stock-take'!$A:$E,3,FALSE))</f>
        <v>0</v>
      </c>
      <c r="I793" s="48" t="str">
        <f>IF(F793="", " ",IF(ISNA(VLOOKUP(D793,'[2]stock-take'!$G:$K,4,FALSE)), "OUT OF STOCK", VLOOKUP(D793,'[2]stock-take'!$G:$K,4,FALSE)))</f>
        <v xml:space="preserve"> </v>
      </c>
      <c r="J793" s="39">
        <f>IF(ISNA(VLOOKUP(D793,'[2]stock-take'!$G:$K,3,FALSE)), 0, VLOOKUP(D793,'[2]stock-take'!$G:$K,3,FALSE))</f>
        <v>0</v>
      </c>
      <c r="K793" s="49" t="str">
        <f>IF(F793="", " ", IF(ISNA(VLOOKUP(D793,'[2]stock-take'!$M:$Q,4,FALSE)), "OUT OF STOCK", VLOOKUP(D793,'[2]stock-take'!$M:$Q,4,FALSE)))</f>
        <v xml:space="preserve"> </v>
      </c>
      <c r="L793" s="47">
        <f>IF(ISNA(VLOOKUP(D793,'[2]stock-take'!$M:$Q,3,FALSE)), 0, VLOOKUP(D793,'[2]stock-take'!$M:$Q,3,FALSE))</f>
        <v>0</v>
      </c>
      <c r="M793" s="48" t="str">
        <f t="shared" si="37"/>
        <v xml:space="preserve"> </v>
      </c>
      <c r="N793" s="39" t="str">
        <f t="shared" si="38"/>
        <v xml:space="preserve"> </v>
      </c>
    </row>
    <row r="794" spans="1:14">
      <c r="A794" s="37">
        <f t="shared" si="36"/>
        <v>783</v>
      </c>
      <c r="G794" s="48" t="str">
        <f>IF(F794=""," ",IF(ISNA(VLOOKUP(D794,'[2]stock-take'!$A:$E,4,FALSE)), "OUT OF STOCK", VLOOKUP(D794,'[2]stock-take'!$A:$E,4,FALSE)))</f>
        <v xml:space="preserve"> </v>
      </c>
      <c r="H794" s="48">
        <f>IF(ISNA(VLOOKUP(D794,'[2]stock-take'!$A:$E,3,FALSE)), 0, VLOOKUP(D794,'[2]stock-take'!$A:$E,3,FALSE))</f>
        <v>0</v>
      </c>
      <c r="I794" s="48" t="str">
        <f>IF(F794="", " ",IF(ISNA(VLOOKUP(D794,'[2]stock-take'!$G:$K,4,FALSE)), "OUT OF STOCK", VLOOKUP(D794,'[2]stock-take'!$G:$K,4,FALSE)))</f>
        <v xml:space="preserve"> </v>
      </c>
      <c r="J794" s="39">
        <f>IF(ISNA(VLOOKUP(D794,'[2]stock-take'!$G:$K,3,FALSE)), 0, VLOOKUP(D794,'[2]stock-take'!$G:$K,3,FALSE))</f>
        <v>0</v>
      </c>
      <c r="K794" s="49" t="str">
        <f>IF(F794="", " ", IF(ISNA(VLOOKUP(D794,'[2]stock-take'!$M:$Q,4,FALSE)), "OUT OF STOCK", VLOOKUP(D794,'[2]stock-take'!$M:$Q,4,FALSE)))</f>
        <v xml:space="preserve"> </v>
      </c>
      <c r="L794" s="47">
        <f>IF(ISNA(VLOOKUP(D794,'[2]stock-take'!$M:$Q,3,FALSE)), 0, VLOOKUP(D794,'[2]stock-take'!$M:$Q,3,FALSE))</f>
        <v>0</v>
      </c>
      <c r="M794" s="48" t="str">
        <f t="shared" si="37"/>
        <v xml:space="preserve"> </v>
      </c>
      <c r="N794" s="39" t="str">
        <f t="shared" si="38"/>
        <v xml:space="preserve"> </v>
      </c>
    </row>
    <row r="795" spans="1:14">
      <c r="A795" s="37">
        <f t="shared" si="36"/>
        <v>784</v>
      </c>
      <c r="G795" s="48" t="str">
        <f>IF(F795=""," ",IF(ISNA(VLOOKUP(D795,'[2]stock-take'!$A:$E,4,FALSE)), "OUT OF STOCK", VLOOKUP(D795,'[2]stock-take'!$A:$E,4,FALSE)))</f>
        <v xml:space="preserve"> </v>
      </c>
      <c r="H795" s="48">
        <f>IF(ISNA(VLOOKUP(D795,'[2]stock-take'!$A:$E,3,FALSE)), 0, VLOOKUP(D795,'[2]stock-take'!$A:$E,3,FALSE))</f>
        <v>0</v>
      </c>
      <c r="I795" s="48" t="str">
        <f>IF(F795="", " ",IF(ISNA(VLOOKUP(D795,'[2]stock-take'!$G:$K,4,FALSE)), "OUT OF STOCK", VLOOKUP(D795,'[2]stock-take'!$G:$K,4,FALSE)))</f>
        <v xml:space="preserve"> </v>
      </c>
      <c r="J795" s="39">
        <f>IF(ISNA(VLOOKUP(D795,'[2]stock-take'!$G:$K,3,FALSE)), 0, VLOOKUP(D795,'[2]stock-take'!$G:$K,3,FALSE))</f>
        <v>0</v>
      </c>
      <c r="K795" s="49" t="str">
        <f>IF(F795="", " ", IF(ISNA(VLOOKUP(D795,'[2]stock-take'!$M:$Q,4,FALSE)), "OUT OF STOCK", VLOOKUP(D795,'[2]stock-take'!$M:$Q,4,FALSE)))</f>
        <v xml:space="preserve"> </v>
      </c>
      <c r="L795" s="47">
        <f>IF(ISNA(VLOOKUP(D795,'[2]stock-take'!$M:$Q,3,FALSE)), 0, VLOOKUP(D795,'[2]stock-take'!$M:$Q,3,FALSE))</f>
        <v>0</v>
      </c>
      <c r="M795" s="48" t="str">
        <f t="shared" si="37"/>
        <v xml:space="preserve"> </v>
      </c>
      <c r="N795" s="39" t="str">
        <f t="shared" si="38"/>
        <v xml:space="preserve"> </v>
      </c>
    </row>
    <row r="796" spans="1:14">
      <c r="A796" s="37">
        <f t="shared" si="36"/>
        <v>785</v>
      </c>
      <c r="G796" s="48" t="str">
        <f>IF(F796=""," ",IF(ISNA(VLOOKUP(D796,'[2]stock-take'!$A:$E,4,FALSE)), "OUT OF STOCK", VLOOKUP(D796,'[2]stock-take'!$A:$E,4,FALSE)))</f>
        <v xml:space="preserve"> </v>
      </c>
      <c r="H796" s="48">
        <f>IF(ISNA(VLOOKUP(D796,'[2]stock-take'!$A:$E,3,FALSE)), 0, VLOOKUP(D796,'[2]stock-take'!$A:$E,3,FALSE))</f>
        <v>0</v>
      </c>
      <c r="I796" s="48" t="str">
        <f>IF(F796="", " ",IF(ISNA(VLOOKUP(D796,'[2]stock-take'!$G:$K,4,FALSE)), "OUT OF STOCK", VLOOKUP(D796,'[2]stock-take'!$G:$K,4,FALSE)))</f>
        <v xml:space="preserve"> </v>
      </c>
      <c r="J796" s="39">
        <f>IF(ISNA(VLOOKUP(D796,'[2]stock-take'!$G:$K,3,FALSE)), 0, VLOOKUP(D796,'[2]stock-take'!$G:$K,3,FALSE))</f>
        <v>0</v>
      </c>
      <c r="K796" s="49" t="str">
        <f>IF(F796="", " ", IF(ISNA(VLOOKUP(D796,'[2]stock-take'!$M:$Q,4,FALSE)), "OUT OF STOCK", VLOOKUP(D796,'[2]stock-take'!$M:$Q,4,FALSE)))</f>
        <v xml:space="preserve"> </v>
      </c>
      <c r="L796" s="47">
        <f>IF(ISNA(VLOOKUP(D796,'[2]stock-take'!$M:$Q,3,FALSE)), 0, VLOOKUP(D796,'[2]stock-take'!$M:$Q,3,FALSE))</f>
        <v>0</v>
      </c>
      <c r="M796" s="48" t="str">
        <f t="shared" si="37"/>
        <v xml:space="preserve"> </v>
      </c>
      <c r="N796" s="39" t="str">
        <f t="shared" si="38"/>
        <v xml:space="preserve"> </v>
      </c>
    </row>
    <row r="797" spans="1:14">
      <c r="A797" s="37">
        <f t="shared" si="36"/>
        <v>786</v>
      </c>
      <c r="G797" s="48" t="str">
        <f>IF(F797=""," ",IF(ISNA(VLOOKUP(D797,'[2]stock-take'!$A:$E,4,FALSE)), "OUT OF STOCK", VLOOKUP(D797,'[2]stock-take'!$A:$E,4,FALSE)))</f>
        <v xml:space="preserve"> </v>
      </c>
      <c r="H797" s="48">
        <f>IF(ISNA(VLOOKUP(D797,'[2]stock-take'!$A:$E,3,FALSE)), 0, VLOOKUP(D797,'[2]stock-take'!$A:$E,3,FALSE))</f>
        <v>0</v>
      </c>
      <c r="I797" s="48" t="str">
        <f>IF(F797="", " ",IF(ISNA(VLOOKUP(D797,'[2]stock-take'!$G:$K,4,FALSE)), "OUT OF STOCK", VLOOKUP(D797,'[2]stock-take'!$G:$K,4,FALSE)))</f>
        <v xml:space="preserve"> </v>
      </c>
      <c r="J797" s="39">
        <f>IF(ISNA(VLOOKUP(D797,'[2]stock-take'!$G:$K,3,FALSE)), 0, VLOOKUP(D797,'[2]stock-take'!$G:$K,3,FALSE))</f>
        <v>0</v>
      </c>
      <c r="K797" s="49" t="str">
        <f>IF(F797="", " ", IF(ISNA(VLOOKUP(D797,'[2]stock-take'!$M:$Q,4,FALSE)), "OUT OF STOCK", VLOOKUP(D797,'[2]stock-take'!$M:$Q,4,FALSE)))</f>
        <v xml:space="preserve"> </v>
      </c>
      <c r="L797" s="47">
        <f>IF(ISNA(VLOOKUP(D797,'[2]stock-take'!$M:$Q,3,FALSE)), 0, VLOOKUP(D797,'[2]stock-take'!$M:$Q,3,FALSE))</f>
        <v>0</v>
      </c>
      <c r="M797" s="48" t="str">
        <f t="shared" si="37"/>
        <v xml:space="preserve"> </v>
      </c>
      <c r="N797" s="39" t="str">
        <f t="shared" si="38"/>
        <v xml:space="preserve"> </v>
      </c>
    </row>
    <row r="798" spans="1:14">
      <c r="A798" s="37">
        <f t="shared" si="36"/>
        <v>787</v>
      </c>
      <c r="G798" s="48" t="str">
        <f>IF(F798=""," ",IF(ISNA(VLOOKUP(D798,'[2]stock-take'!$A:$E,4,FALSE)), "OUT OF STOCK", VLOOKUP(D798,'[2]stock-take'!$A:$E,4,FALSE)))</f>
        <v xml:space="preserve"> </v>
      </c>
      <c r="H798" s="48">
        <f>IF(ISNA(VLOOKUP(D798,'[2]stock-take'!$A:$E,3,FALSE)), 0, VLOOKUP(D798,'[2]stock-take'!$A:$E,3,FALSE))</f>
        <v>0</v>
      </c>
      <c r="I798" s="48" t="str">
        <f>IF(F798="", " ",IF(ISNA(VLOOKUP(D798,'[2]stock-take'!$G:$K,4,FALSE)), "OUT OF STOCK", VLOOKUP(D798,'[2]stock-take'!$G:$K,4,FALSE)))</f>
        <v xml:space="preserve"> </v>
      </c>
      <c r="J798" s="39">
        <f>IF(ISNA(VLOOKUP(D798,'[2]stock-take'!$G:$K,3,FALSE)), 0, VLOOKUP(D798,'[2]stock-take'!$G:$K,3,FALSE))</f>
        <v>0</v>
      </c>
      <c r="K798" s="49" t="str">
        <f>IF(F798="", " ", IF(ISNA(VLOOKUP(D798,'[2]stock-take'!$M:$Q,4,FALSE)), "OUT OF STOCK", VLOOKUP(D798,'[2]stock-take'!$M:$Q,4,FALSE)))</f>
        <v xml:space="preserve"> </v>
      </c>
      <c r="L798" s="47">
        <f>IF(ISNA(VLOOKUP(D798,'[2]stock-take'!$M:$Q,3,FALSE)), 0, VLOOKUP(D798,'[2]stock-take'!$M:$Q,3,FALSE))</f>
        <v>0</v>
      </c>
      <c r="M798" s="48" t="str">
        <f t="shared" si="37"/>
        <v xml:space="preserve"> </v>
      </c>
      <c r="N798" s="39" t="str">
        <f t="shared" si="38"/>
        <v xml:space="preserve"> </v>
      </c>
    </row>
    <row r="799" spans="1:14">
      <c r="A799" s="37">
        <f t="shared" si="36"/>
        <v>788</v>
      </c>
      <c r="G799" s="48" t="str">
        <f>IF(F799=""," ",IF(ISNA(VLOOKUP(D799,'[2]stock-take'!$A:$E,4,FALSE)), "OUT OF STOCK", VLOOKUP(D799,'[2]stock-take'!$A:$E,4,FALSE)))</f>
        <v xml:space="preserve"> </v>
      </c>
      <c r="H799" s="48">
        <f>IF(ISNA(VLOOKUP(D799,'[2]stock-take'!$A:$E,3,FALSE)), 0, VLOOKUP(D799,'[2]stock-take'!$A:$E,3,FALSE))</f>
        <v>0</v>
      </c>
      <c r="I799" s="48" t="str">
        <f>IF(F799="", " ",IF(ISNA(VLOOKUP(D799,'[2]stock-take'!$G:$K,4,FALSE)), "OUT OF STOCK", VLOOKUP(D799,'[2]stock-take'!$G:$K,4,FALSE)))</f>
        <v xml:space="preserve"> </v>
      </c>
      <c r="J799" s="39">
        <f>IF(ISNA(VLOOKUP(D799,'[2]stock-take'!$G:$K,3,FALSE)), 0, VLOOKUP(D799,'[2]stock-take'!$G:$K,3,FALSE))</f>
        <v>0</v>
      </c>
      <c r="K799" s="49" t="str">
        <f>IF(F799="", " ", IF(ISNA(VLOOKUP(D799,'[2]stock-take'!$M:$Q,4,FALSE)), "OUT OF STOCK", VLOOKUP(D799,'[2]stock-take'!$M:$Q,4,FALSE)))</f>
        <v xml:space="preserve"> </v>
      </c>
      <c r="L799" s="47">
        <f>IF(ISNA(VLOOKUP(D799,'[2]stock-take'!$M:$Q,3,FALSE)), 0, VLOOKUP(D799,'[2]stock-take'!$M:$Q,3,FALSE))</f>
        <v>0</v>
      </c>
      <c r="M799" s="48" t="str">
        <f t="shared" si="37"/>
        <v xml:space="preserve"> </v>
      </c>
      <c r="N799" s="39" t="str">
        <f t="shared" si="38"/>
        <v xml:space="preserve"> </v>
      </c>
    </row>
    <row r="800" spans="1:14">
      <c r="A800" s="37">
        <f t="shared" si="36"/>
        <v>789</v>
      </c>
      <c r="G800" s="48" t="str">
        <f>IF(F800=""," ",IF(ISNA(VLOOKUP(D800,'[2]stock-take'!$A:$E,4,FALSE)), "OUT OF STOCK", VLOOKUP(D800,'[2]stock-take'!$A:$E,4,FALSE)))</f>
        <v xml:space="preserve"> </v>
      </c>
      <c r="H800" s="48">
        <f>IF(ISNA(VLOOKUP(D800,'[2]stock-take'!$A:$E,3,FALSE)), 0, VLOOKUP(D800,'[2]stock-take'!$A:$E,3,FALSE))</f>
        <v>0</v>
      </c>
      <c r="I800" s="48" t="str">
        <f>IF(F800="", " ",IF(ISNA(VLOOKUP(D800,'[2]stock-take'!$G:$K,4,FALSE)), "OUT OF STOCK", VLOOKUP(D800,'[2]stock-take'!$G:$K,4,FALSE)))</f>
        <v xml:space="preserve"> </v>
      </c>
      <c r="J800" s="39">
        <f>IF(ISNA(VLOOKUP(D800,'[2]stock-take'!$G:$K,3,FALSE)), 0, VLOOKUP(D800,'[2]stock-take'!$G:$K,3,FALSE))</f>
        <v>0</v>
      </c>
      <c r="K800" s="49" t="str">
        <f>IF(F800="", " ", IF(ISNA(VLOOKUP(D800,'[2]stock-take'!$M:$Q,4,FALSE)), "OUT OF STOCK", VLOOKUP(D800,'[2]stock-take'!$M:$Q,4,FALSE)))</f>
        <v xml:space="preserve"> </v>
      </c>
      <c r="L800" s="47">
        <f>IF(ISNA(VLOOKUP(D800,'[2]stock-take'!$M:$Q,3,FALSE)), 0, VLOOKUP(D800,'[2]stock-take'!$M:$Q,3,FALSE))</f>
        <v>0</v>
      </c>
      <c r="M800" s="48" t="str">
        <f t="shared" si="37"/>
        <v xml:space="preserve"> </v>
      </c>
      <c r="N800" s="39" t="str">
        <f t="shared" si="38"/>
        <v xml:space="preserve"> </v>
      </c>
    </row>
    <row r="801" spans="1:14">
      <c r="A801" s="37">
        <f t="shared" si="36"/>
        <v>790</v>
      </c>
      <c r="G801" s="48" t="str">
        <f>IF(F801=""," ",IF(ISNA(VLOOKUP(D801,'[2]stock-take'!$A:$E,4,FALSE)), "OUT OF STOCK", VLOOKUP(D801,'[2]stock-take'!$A:$E,4,FALSE)))</f>
        <v xml:space="preserve"> </v>
      </c>
      <c r="H801" s="48">
        <f>IF(ISNA(VLOOKUP(D801,'[2]stock-take'!$A:$E,3,FALSE)), 0, VLOOKUP(D801,'[2]stock-take'!$A:$E,3,FALSE))</f>
        <v>0</v>
      </c>
      <c r="I801" s="48" t="str">
        <f>IF(F801="", " ",IF(ISNA(VLOOKUP(D801,'[2]stock-take'!$G:$K,4,FALSE)), "OUT OF STOCK", VLOOKUP(D801,'[2]stock-take'!$G:$K,4,FALSE)))</f>
        <v xml:space="preserve"> </v>
      </c>
      <c r="J801" s="39">
        <f>IF(ISNA(VLOOKUP(D801,'[2]stock-take'!$G:$K,3,FALSE)), 0, VLOOKUP(D801,'[2]stock-take'!$G:$K,3,FALSE))</f>
        <v>0</v>
      </c>
      <c r="K801" s="49" t="str">
        <f>IF(F801="", " ", IF(ISNA(VLOOKUP(D801,'[2]stock-take'!$M:$Q,4,FALSE)), "OUT OF STOCK", VLOOKUP(D801,'[2]stock-take'!$M:$Q,4,FALSE)))</f>
        <v xml:space="preserve"> </v>
      </c>
      <c r="L801" s="47">
        <f>IF(ISNA(VLOOKUP(D801,'[2]stock-take'!$M:$Q,3,FALSE)), 0, VLOOKUP(D801,'[2]stock-take'!$M:$Q,3,FALSE))</f>
        <v>0</v>
      </c>
      <c r="M801" s="48" t="str">
        <f t="shared" si="37"/>
        <v xml:space="preserve"> </v>
      </c>
      <c r="N801" s="39" t="str">
        <f t="shared" si="38"/>
        <v xml:space="preserve"> </v>
      </c>
    </row>
    <row r="802" spans="1:14">
      <c r="A802" s="37">
        <f t="shared" si="36"/>
        <v>791</v>
      </c>
      <c r="G802" s="48" t="str">
        <f>IF(F802=""," ",IF(ISNA(VLOOKUP(D802,'[2]stock-take'!$A:$E,4,FALSE)), "OUT OF STOCK", VLOOKUP(D802,'[2]stock-take'!$A:$E,4,FALSE)))</f>
        <v xml:space="preserve"> </v>
      </c>
      <c r="H802" s="48">
        <f>IF(ISNA(VLOOKUP(D802,'[2]stock-take'!$A:$E,3,FALSE)), 0, VLOOKUP(D802,'[2]stock-take'!$A:$E,3,FALSE))</f>
        <v>0</v>
      </c>
      <c r="I802" s="48" t="str">
        <f>IF(F802="", " ",IF(ISNA(VLOOKUP(D802,'[2]stock-take'!$G:$K,4,FALSE)), "OUT OF STOCK", VLOOKUP(D802,'[2]stock-take'!$G:$K,4,FALSE)))</f>
        <v xml:space="preserve"> </v>
      </c>
      <c r="J802" s="39">
        <f>IF(ISNA(VLOOKUP(D802,'[2]stock-take'!$G:$K,3,FALSE)), 0, VLOOKUP(D802,'[2]stock-take'!$G:$K,3,FALSE))</f>
        <v>0</v>
      </c>
      <c r="K802" s="49" t="str">
        <f>IF(F802="", " ", IF(ISNA(VLOOKUP(D802,'[2]stock-take'!$M:$Q,4,FALSE)), "OUT OF STOCK", VLOOKUP(D802,'[2]stock-take'!$M:$Q,4,FALSE)))</f>
        <v xml:space="preserve"> </v>
      </c>
      <c r="L802" s="47">
        <f>IF(ISNA(VLOOKUP(D802,'[2]stock-take'!$M:$Q,3,FALSE)), 0, VLOOKUP(D802,'[2]stock-take'!$M:$Q,3,FALSE))</f>
        <v>0</v>
      </c>
      <c r="M802" s="48" t="str">
        <f t="shared" si="37"/>
        <v xml:space="preserve"> </v>
      </c>
      <c r="N802" s="39" t="str">
        <f t="shared" si="38"/>
        <v xml:space="preserve"> </v>
      </c>
    </row>
    <row r="803" spans="1:14">
      <c r="A803" s="37">
        <f t="shared" si="36"/>
        <v>792</v>
      </c>
      <c r="G803" s="48" t="str">
        <f>IF(F803=""," ",IF(ISNA(VLOOKUP(D803,'[2]stock-take'!$A:$E,4,FALSE)), "OUT OF STOCK", VLOOKUP(D803,'[2]stock-take'!$A:$E,4,FALSE)))</f>
        <v xml:space="preserve"> </v>
      </c>
      <c r="H803" s="48">
        <f>IF(ISNA(VLOOKUP(D803,'[2]stock-take'!$A:$E,3,FALSE)), 0, VLOOKUP(D803,'[2]stock-take'!$A:$E,3,FALSE))</f>
        <v>0</v>
      </c>
      <c r="I803" s="48" t="str">
        <f>IF(F803="", " ",IF(ISNA(VLOOKUP(D803,'[2]stock-take'!$G:$K,4,FALSE)), "OUT OF STOCK", VLOOKUP(D803,'[2]stock-take'!$G:$K,4,FALSE)))</f>
        <v xml:space="preserve"> </v>
      </c>
      <c r="J803" s="39">
        <f>IF(ISNA(VLOOKUP(D803,'[2]stock-take'!$G:$K,3,FALSE)), 0, VLOOKUP(D803,'[2]stock-take'!$G:$K,3,FALSE))</f>
        <v>0</v>
      </c>
      <c r="K803" s="49" t="str">
        <f>IF(F803="", " ", IF(ISNA(VLOOKUP(D803,'[2]stock-take'!$M:$Q,4,FALSE)), "OUT OF STOCK", VLOOKUP(D803,'[2]stock-take'!$M:$Q,4,FALSE)))</f>
        <v xml:space="preserve"> </v>
      </c>
      <c r="L803" s="47">
        <f>IF(ISNA(VLOOKUP(D803,'[2]stock-take'!$M:$Q,3,FALSE)), 0, VLOOKUP(D803,'[2]stock-take'!$M:$Q,3,FALSE))</f>
        <v>0</v>
      </c>
      <c r="M803" s="48" t="str">
        <f t="shared" si="37"/>
        <v xml:space="preserve"> </v>
      </c>
      <c r="N803" s="39" t="str">
        <f t="shared" si="38"/>
        <v xml:space="preserve"> </v>
      </c>
    </row>
    <row r="804" spans="1:14">
      <c r="A804" s="37">
        <f t="shared" si="36"/>
        <v>793</v>
      </c>
      <c r="G804" s="48" t="str">
        <f>IF(F804=""," ",IF(ISNA(VLOOKUP(D804,'[2]stock-take'!$A:$E,4,FALSE)), "OUT OF STOCK", VLOOKUP(D804,'[2]stock-take'!$A:$E,4,FALSE)))</f>
        <v xml:space="preserve"> </v>
      </c>
      <c r="H804" s="48">
        <f>IF(ISNA(VLOOKUP(D804,'[2]stock-take'!$A:$E,3,FALSE)), 0, VLOOKUP(D804,'[2]stock-take'!$A:$E,3,FALSE))</f>
        <v>0</v>
      </c>
      <c r="I804" s="48" t="str">
        <f>IF(F804="", " ",IF(ISNA(VLOOKUP(D804,'[2]stock-take'!$G:$K,4,FALSE)), "OUT OF STOCK", VLOOKUP(D804,'[2]stock-take'!$G:$K,4,FALSE)))</f>
        <v xml:space="preserve"> </v>
      </c>
      <c r="J804" s="39">
        <f>IF(ISNA(VLOOKUP(D804,'[2]stock-take'!$G:$K,3,FALSE)), 0, VLOOKUP(D804,'[2]stock-take'!$G:$K,3,FALSE))</f>
        <v>0</v>
      </c>
      <c r="K804" s="49" t="str">
        <f>IF(F804="", " ", IF(ISNA(VLOOKUP(D804,'[2]stock-take'!$M:$Q,4,FALSE)), "OUT OF STOCK", VLOOKUP(D804,'[2]stock-take'!$M:$Q,4,FALSE)))</f>
        <v xml:space="preserve"> </v>
      </c>
      <c r="L804" s="47">
        <f>IF(ISNA(VLOOKUP(D804,'[2]stock-take'!$M:$Q,3,FALSE)), 0, VLOOKUP(D804,'[2]stock-take'!$M:$Q,3,FALSE))</f>
        <v>0</v>
      </c>
      <c r="M804" s="48" t="str">
        <f t="shared" si="37"/>
        <v xml:space="preserve"> </v>
      </c>
      <c r="N804" s="39" t="str">
        <f t="shared" si="38"/>
        <v xml:space="preserve"> </v>
      </c>
    </row>
    <row r="805" spans="1:14">
      <c r="A805" s="37">
        <f t="shared" si="36"/>
        <v>794</v>
      </c>
      <c r="G805" s="48" t="str">
        <f>IF(F805=""," ",IF(ISNA(VLOOKUP(D805,'[2]stock-take'!$A:$E,4,FALSE)), "OUT OF STOCK", VLOOKUP(D805,'[2]stock-take'!$A:$E,4,FALSE)))</f>
        <v xml:space="preserve"> </v>
      </c>
      <c r="H805" s="48">
        <f>IF(ISNA(VLOOKUP(D805,'[2]stock-take'!$A:$E,3,FALSE)), 0, VLOOKUP(D805,'[2]stock-take'!$A:$E,3,FALSE))</f>
        <v>0</v>
      </c>
      <c r="I805" s="48" t="str">
        <f>IF(F805="", " ",IF(ISNA(VLOOKUP(D805,'[2]stock-take'!$G:$K,4,FALSE)), "OUT OF STOCK", VLOOKUP(D805,'[2]stock-take'!$G:$K,4,FALSE)))</f>
        <v xml:space="preserve"> </v>
      </c>
      <c r="J805" s="39">
        <f>IF(ISNA(VLOOKUP(D805,'[2]stock-take'!$G:$K,3,FALSE)), 0, VLOOKUP(D805,'[2]stock-take'!$G:$K,3,FALSE))</f>
        <v>0</v>
      </c>
      <c r="K805" s="49" t="str">
        <f>IF(F805="", " ", IF(ISNA(VLOOKUP(D805,'[2]stock-take'!$M:$Q,4,FALSE)), "OUT OF STOCK", VLOOKUP(D805,'[2]stock-take'!$M:$Q,4,FALSE)))</f>
        <v xml:space="preserve"> </v>
      </c>
      <c r="L805" s="47">
        <f>IF(ISNA(VLOOKUP(D805,'[2]stock-take'!$M:$Q,3,FALSE)), 0, VLOOKUP(D805,'[2]stock-take'!$M:$Q,3,FALSE))</f>
        <v>0</v>
      </c>
      <c r="M805" s="48" t="str">
        <f t="shared" si="37"/>
        <v xml:space="preserve"> </v>
      </c>
      <c r="N805" s="39" t="str">
        <f t="shared" si="38"/>
        <v xml:space="preserve"> </v>
      </c>
    </row>
    <row r="806" spans="1:14">
      <c r="A806" s="37">
        <f t="shared" si="36"/>
        <v>795</v>
      </c>
      <c r="G806" s="48" t="str">
        <f>IF(F806=""," ",IF(ISNA(VLOOKUP(D806,'[2]stock-take'!$A:$E,4,FALSE)), "OUT OF STOCK", VLOOKUP(D806,'[2]stock-take'!$A:$E,4,FALSE)))</f>
        <v xml:space="preserve"> </v>
      </c>
      <c r="H806" s="48">
        <f>IF(ISNA(VLOOKUP(D806,'[2]stock-take'!$A:$E,3,FALSE)), 0, VLOOKUP(D806,'[2]stock-take'!$A:$E,3,FALSE))</f>
        <v>0</v>
      </c>
      <c r="I806" s="48" t="str">
        <f>IF(F806="", " ",IF(ISNA(VLOOKUP(D806,'[2]stock-take'!$G:$K,4,FALSE)), "OUT OF STOCK", VLOOKUP(D806,'[2]stock-take'!$G:$K,4,FALSE)))</f>
        <v xml:space="preserve"> </v>
      </c>
      <c r="J806" s="39">
        <f>IF(ISNA(VLOOKUP(D806,'[2]stock-take'!$G:$K,3,FALSE)), 0, VLOOKUP(D806,'[2]stock-take'!$G:$K,3,FALSE))</f>
        <v>0</v>
      </c>
      <c r="K806" s="49" t="str">
        <f>IF(F806="", " ", IF(ISNA(VLOOKUP(D806,'[2]stock-take'!$M:$Q,4,FALSE)), "OUT OF STOCK", VLOOKUP(D806,'[2]stock-take'!$M:$Q,4,FALSE)))</f>
        <v xml:space="preserve"> </v>
      </c>
      <c r="L806" s="47">
        <f>IF(ISNA(VLOOKUP(D806,'[2]stock-take'!$M:$Q,3,FALSE)), 0, VLOOKUP(D806,'[2]stock-take'!$M:$Q,3,FALSE))</f>
        <v>0</v>
      </c>
      <c r="M806" s="48" t="str">
        <f t="shared" si="37"/>
        <v xml:space="preserve"> </v>
      </c>
      <c r="N806" s="39" t="str">
        <f t="shared" si="38"/>
        <v xml:space="preserve"> </v>
      </c>
    </row>
    <row r="807" spans="1:14">
      <c r="A807" s="37">
        <f t="shared" si="36"/>
        <v>796</v>
      </c>
      <c r="G807" s="48" t="str">
        <f>IF(F807=""," ",IF(ISNA(VLOOKUP(D807,'[2]stock-take'!$A:$E,4,FALSE)), "OUT OF STOCK", VLOOKUP(D807,'[2]stock-take'!$A:$E,4,FALSE)))</f>
        <v xml:space="preserve"> </v>
      </c>
      <c r="H807" s="48">
        <f>IF(ISNA(VLOOKUP(D807,'[2]stock-take'!$A:$E,3,FALSE)), 0, VLOOKUP(D807,'[2]stock-take'!$A:$E,3,FALSE))</f>
        <v>0</v>
      </c>
      <c r="I807" s="48" t="str">
        <f>IF(F807="", " ",IF(ISNA(VLOOKUP(D807,'[2]stock-take'!$G:$K,4,FALSE)), "OUT OF STOCK", VLOOKUP(D807,'[2]stock-take'!$G:$K,4,FALSE)))</f>
        <v xml:space="preserve"> </v>
      </c>
      <c r="J807" s="39">
        <f>IF(ISNA(VLOOKUP(D807,'[2]stock-take'!$G:$K,3,FALSE)), 0, VLOOKUP(D807,'[2]stock-take'!$G:$K,3,FALSE))</f>
        <v>0</v>
      </c>
      <c r="K807" s="49" t="str">
        <f>IF(F807="", " ", IF(ISNA(VLOOKUP(D807,'[2]stock-take'!$M:$Q,4,FALSE)), "OUT OF STOCK", VLOOKUP(D807,'[2]stock-take'!$M:$Q,4,FALSE)))</f>
        <v xml:space="preserve"> </v>
      </c>
      <c r="L807" s="47">
        <f>IF(ISNA(VLOOKUP(D807,'[2]stock-take'!$M:$Q,3,FALSE)), 0, VLOOKUP(D807,'[2]stock-take'!$M:$Q,3,FALSE))</f>
        <v>0</v>
      </c>
      <c r="M807" s="48" t="str">
        <f t="shared" si="37"/>
        <v xml:space="preserve"> </v>
      </c>
      <c r="N807" s="39" t="str">
        <f t="shared" si="38"/>
        <v xml:space="preserve"> </v>
      </c>
    </row>
    <row r="808" spans="1:14">
      <c r="A808" s="37">
        <f t="shared" si="36"/>
        <v>797</v>
      </c>
      <c r="G808" s="48" t="str">
        <f>IF(F808=""," ",IF(ISNA(VLOOKUP(D808,'[2]stock-take'!$A:$E,4,FALSE)), "OUT OF STOCK", VLOOKUP(D808,'[2]stock-take'!$A:$E,4,FALSE)))</f>
        <v xml:space="preserve"> </v>
      </c>
      <c r="H808" s="48">
        <f>IF(ISNA(VLOOKUP(D808,'[2]stock-take'!$A:$E,3,FALSE)), 0, VLOOKUP(D808,'[2]stock-take'!$A:$E,3,FALSE))</f>
        <v>0</v>
      </c>
      <c r="I808" s="48" t="str">
        <f>IF(F808="", " ",IF(ISNA(VLOOKUP(D808,'[2]stock-take'!$G:$K,4,FALSE)), "OUT OF STOCK", VLOOKUP(D808,'[2]stock-take'!$G:$K,4,FALSE)))</f>
        <v xml:space="preserve"> </v>
      </c>
      <c r="J808" s="39">
        <f>IF(ISNA(VLOOKUP(D808,'[2]stock-take'!$G:$K,3,FALSE)), 0, VLOOKUP(D808,'[2]stock-take'!$G:$K,3,FALSE))</f>
        <v>0</v>
      </c>
      <c r="K808" s="49" t="str">
        <f>IF(F808="", " ", IF(ISNA(VLOOKUP(D808,'[2]stock-take'!$M:$Q,4,FALSE)), "OUT OF STOCK", VLOOKUP(D808,'[2]stock-take'!$M:$Q,4,FALSE)))</f>
        <v xml:space="preserve"> </v>
      </c>
      <c r="L808" s="47">
        <f>IF(ISNA(VLOOKUP(D808,'[2]stock-take'!$M:$Q,3,FALSE)), 0, VLOOKUP(D808,'[2]stock-take'!$M:$Q,3,FALSE))</f>
        <v>0</v>
      </c>
      <c r="M808" s="48" t="str">
        <f t="shared" si="37"/>
        <v xml:space="preserve"> </v>
      </c>
      <c r="N808" s="39" t="str">
        <f t="shared" si="38"/>
        <v xml:space="preserve"> </v>
      </c>
    </row>
    <row r="809" spans="1:14">
      <c r="A809" s="37">
        <f t="shared" si="36"/>
        <v>798</v>
      </c>
      <c r="G809" s="48" t="str">
        <f>IF(F809=""," ",IF(ISNA(VLOOKUP(D809,'[2]stock-take'!$A:$E,4,FALSE)), "OUT OF STOCK", VLOOKUP(D809,'[2]stock-take'!$A:$E,4,FALSE)))</f>
        <v xml:space="preserve"> </v>
      </c>
      <c r="H809" s="48">
        <f>IF(ISNA(VLOOKUP(D809,'[2]stock-take'!$A:$E,3,FALSE)), 0, VLOOKUP(D809,'[2]stock-take'!$A:$E,3,FALSE))</f>
        <v>0</v>
      </c>
      <c r="I809" s="48" t="str">
        <f>IF(F809="", " ",IF(ISNA(VLOOKUP(D809,'[2]stock-take'!$G:$K,4,FALSE)), "OUT OF STOCK", VLOOKUP(D809,'[2]stock-take'!$G:$K,4,FALSE)))</f>
        <v xml:space="preserve"> </v>
      </c>
      <c r="J809" s="39">
        <f>IF(ISNA(VLOOKUP(D809,'[2]stock-take'!$G:$K,3,FALSE)), 0, VLOOKUP(D809,'[2]stock-take'!$G:$K,3,FALSE))</f>
        <v>0</v>
      </c>
      <c r="K809" s="49" t="str">
        <f>IF(F809="", " ", IF(ISNA(VLOOKUP(D809,'[2]stock-take'!$M:$Q,4,FALSE)), "OUT OF STOCK", VLOOKUP(D809,'[2]stock-take'!$M:$Q,4,FALSE)))</f>
        <v xml:space="preserve"> </v>
      </c>
      <c r="L809" s="47">
        <f>IF(ISNA(VLOOKUP(D809,'[2]stock-take'!$M:$Q,3,FALSE)), 0, VLOOKUP(D809,'[2]stock-take'!$M:$Q,3,FALSE))</f>
        <v>0</v>
      </c>
      <c r="M809" s="48" t="str">
        <f t="shared" si="37"/>
        <v xml:space="preserve"> </v>
      </c>
      <c r="N809" s="39" t="str">
        <f t="shared" si="38"/>
        <v xml:space="preserve"> </v>
      </c>
    </row>
    <row r="810" spans="1:14">
      <c r="A810" s="37">
        <f t="shared" si="36"/>
        <v>799</v>
      </c>
      <c r="G810" s="48" t="str">
        <f>IF(F810=""," ",IF(ISNA(VLOOKUP(D810,'[2]stock-take'!$A:$E,4,FALSE)), "OUT OF STOCK", VLOOKUP(D810,'[2]stock-take'!$A:$E,4,FALSE)))</f>
        <v xml:space="preserve"> </v>
      </c>
      <c r="H810" s="48">
        <f>IF(ISNA(VLOOKUP(D810,'[2]stock-take'!$A:$E,3,FALSE)), 0, VLOOKUP(D810,'[2]stock-take'!$A:$E,3,FALSE))</f>
        <v>0</v>
      </c>
      <c r="I810" s="48" t="str">
        <f>IF(F810="", " ",IF(ISNA(VLOOKUP(D810,'[2]stock-take'!$G:$K,4,FALSE)), "OUT OF STOCK", VLOOKUP(D810,'[2]stock-take'!$G:$K,4,FALSE)))</f>
        <v xml:space="preserve"> </v>
      </c>
      <c r="J810" s="39">
        <f>IF(ISNA(VLOOKUP(D810,'[2]stock-take'!$G:$K,3,FALSE)), 0, VLOOKUP(D810,'[2]stock-take'!$G:$K,3,FALSE))</f>
        <v>0</v>
      </c>
      <c r="K810" s="49" t="str">
        <f>IF(F810="", " ", IF(ISNA(VLOOKUP(D810,'[2]stock-take'!$M:$Q,4,FALSE)), "OUT OF STOCK", VLOOKUP(D810,'[2]stock-take'!$M:$Q,4,FALSE)))</f>
        <v xml:space="preserve"> </v>
      </c>
      <c r="L810" s="47">
        <f>IF(ISNA(VLOOKUP(D810,'[2]stock-take'!$M:$Q,3,FALSE)), 0, VLOOKUP(D810,'[2]stock-take'!$M:$Q,3,FALSE))</f>
        <v>0</v>
      </c>
      <c r="M810" s="48" t="str">
        <f t="shared" si="37"/>
        <v xml:space="preserve"> </v>
      </c>
      <c r="N810" s="39" t="str">
        <f t="shared" si="38"/>
        <v xml:space="preserve"> </v>
      </c>
    </row>
    <row r="811" spans="1:14">
      <c r="A811" s="37">
        <f t="shared" si="36"/>
        <v>800</v>
      </c>
      <c r="G811" s="48" t="str">
        <f>IF(F811=""," ",IF(ISNA(VLOOKUP(D811,'[2]stock-take'!$A:$E,4,FALSE)), "OUT OF STOCK", VLOOKUP(D811,'[2]stock-take'!$A:$E,4,FALSE)))</f>
        <v xml:space="preserve"> </v>
      </c>
      <c r="H811" s="48">
        <f>IF(ISNA(VLOOKUP(D811,'[2]stock-take'!$A:$E,3,FALSE)), 0, VLOOKUP(D811,'[2]stock-take'!$A:$E,3,FALSE))</f>
        <v>0</v>
      </c>
      <c r="I811" s="48" t="str">
        <f>IF(F811="", " ",IF(ISNA(VLOOKUP(D811,'[2]stock-take'!$G:$K,4,FALSE)), "OUT OF STOCK", VLOOKUP(D811,'[2]stock-take'!$G:$K,4,FALSE)))</f>
        <v xml:space="preserve"> </v>
      </c>
      <c r="J811" s="39">
        <f>IF(ISNA(VLOOKUP(D811,'[2]stock-take'!$G:$K,3,FALSE)), 0, VLOOKUP(D811,'[2]stock-take'!$G:$K,3,FALSE))</f>
        <v>0</v>
      </c>
      <c r="K811" s="49" t="str">
        <f>IF(F811="", " ", IF(ISNA(VLOOKUP(D811,'[2]stock-take'!$M:$Q,4,FALSE)), "OUT OF STOCK", VLOOKUP(D811,'[2]stock-take'!$M:$Q,4,FALSE)))</f>
        <v xml:space="preserve"> </v>
      </c>
      <c r="L811" s="47">
        <f>IF(ISNA(VLOOKUP(D811,'[2]stock-take'!$M:$Q,3,FALSE)), 0, VLOOKUP(D811,'[2]stock-take'!$M:$Q,3,FALSE))</f>
        <v>0</v>
      </c>
      <c r="M811" s="48" t="str">
        <f t="shared" si="37"/>
        <v xml:space="preserve"> </v>
      </c>
      <c r="N811" s="39" t="str">
        <f t="shared" si="38"/>
        <v xml:space="preserve"> </v>
      </c>
    </row>
    <row r="812" spans="1:14">
      <c r="A812" s="37">
        <f t="shared" si="36"/>
        <v>801</v>
      </c>
      <c r="G812" s="48" t="str">
        <f>IF(F812=""," ",IF(ISNA(VLOOKUP(D812,'[2]stock-take'!$A:$E,4,FALSE)), "OUT OF STOCK", VLOOKUP(D812,'[2]stock-take'!$A:$E,4,FALSE)))</f>
        <v xml:space="preserve"> </v>
      </c>
      <c r="H812" s="48">
        <f>IF(ISNA(VLOOKUP(D812,'[2]stock-take'!$A:$E,3,FALSE)), 0, VLOOKUP(D812,'[2]stock-take'!$A:$E,3,FALSE))</f>
        <v>0</v>
      </c>
      <c r="I812" s="48" t="str">
        <f>IF(F812="", " ",IF(ISNA(VLOOKUP(D812,'[2]stock-take'!$G:$K,4,FALSE)), "OUT OF STOCK", VLOOKUP(D812,'[2]stock-take'!$G:$K,4,FALSE)))</f>
        <v xml:space="preserve"> </v>
      </c>
      <c r="J812" s="39">
        <f>IF(ISNA(VLOOKUP(D812,'[2]stock-take'!$G:$K,3,FALSE)), 0, VLOOKUP(D812,'[2]stock-take'!$G:$K,3,FALSE))</f>
        <v>0</v>
      </c>
      <c r="K812" s="49" t="str">
        <f>IF(F812="", " ", IF(ISNA(VLOOKUP(D812,'[2]stock-take'!$M:$Q,4,FALSE)), "OUT OF STOCK", VLOOKUP(D812,'[2]stock-take'!$M:$Q,4,FALSE)))</f>
        <v xml:space="preserve"> </v>
      </c>
      <c r="L812" s="47">
        <f>IF(ISNA(VLOOKUP(D812,'[2]stock-take'!$M:$Q,3,FALSE)), 0, VLOOKUP(D812,'[2]stock-take'!$M:$Q,3,FALSE))</f>
        <v>0</v>
      </c>
      <c r="M812" s="48" t="str">
        <f t="shared" si="37"/>
        <v xml:space="preserve"> </v>
      </c>
      <c r="N812" s="39" t="str">
        <f t="shared" si="38"/>
        <v xml:space="preserve"> </v>
      </c>
    </row>
    <row r="813" spans="1:14">
      <c r="A813" s="37">
        <f t="shared" si="36"/>
        <v>802</v>
      </c>
      <c r="G813" s="48" t="str">
        <f>IF(F813=""," ",IF(ISNA(VLOOKUP(D813,'[2]stock-take'!$A:$E,4,FALSE)), "OUT OF STOCK", VLOOKUP(D813,'[2]stock-take'!$A:$E,4,FALSE)))</f>
        <v xml:space="preserve"> </v>
      </c>
      <c r="H813" s="48">
        <f>IF(ISNA(VLOOKUP(D813,'[2]stock-take'!$A:$E,3,FALSE)), 0, VLOOKUP(D813,'[2]stock-take'!$A:$E,3,FALSE))</f>
        <v>0</v>
      </c>
      <c r="I813" s="48" t="str">
        <f>IF(F813="", " ",IF(ISNA(VLOOKUP(D813,'[2]stock-take'!$G:$K,4,FALSE)), "OUT OF STOCK", VLOOKUP(D813,'[2]stock-take'!$G:$K,4,FALSE)))</f>
        <v xml:space="preserve"> </v>
      </c>
      <c r="J813" s="39">
        <f>IF(ISNA(VLOOKUP(D813,'[2]stock-take'!$G:$K,3,FALSE)), 0, VLOOKUP(D813,'[2]stock-take'!$G:$K,3,FALSE))</f>
        <v>0</v>
      </c>
      <c r="K813" s="49" t="str">
        <f>IF(F813="", " ", IF(ISNA(VLOOKUP(D813,'[2]stock-take'!$M:$Q,4,FALSE)), "OUT OF STOCK", VLOOKUP(D813,'[2]stock-take'!$M:$Q,4,FALSE)))</f>
        <v xml:space="preserve"> </v>
      </c>
      <c r="L813" s="47">
        <f>IF(ISNA(VLOOKUP(D813,'[2]stock-take'!$M:$Q,3,FALSE)), 0, VLOOKUP(D813,'[2]stock-take'!$M:$Q,3,FALSE))</f>
        <v>0</v>
      </c>
      <c r="M813" s="48" t="str">
        <f t="shared" si="37"/>
        <v xml:space="preserve"> </v>
      </c>
      <c r="N813" s="39" t="str">
        <f t="shared" si="38"/>
        <v xml:space="preserve"> </v>
      </c>
    </row>
    <row r="814" spans="1:14">
      <c r="A814" s="37">
        <f t="shared" si="36"/>
        <v>803</v>
      </c>
      <c r="G814" s="48" t="str">
        <f>IF(F814=""," ",IF(ISNA(VLOOKUP(D814,'[2]stock-take'!$A:$E,4,FALSE)), "OUT OF STOCK", VLOOKUP(D814,'[2]stock-take'!$A:$E,4,FALSE)))</f>
        <v xml:space="preserve"> </v>
      </c>
      <c r="H814" s="48">
        <f>IF(ISNA(VLOOKUP(D814,'[2]stock-take'!$A:$E,3,FALSE)), 0, VLOOKUP(D814,'[2]stock-take'!$A:$E,3,FALSE))</f>
        <v>0</v>
      </c>
      <c r="I814" s="48" t="str">
        <f>IF(F814="", " ",IF(ISNA(VLOOKUP(D814,'[2]stock-take'!$G:$K,4,FALSE)), "OUT OF STOCK", VLOOKUP(D814,'[2]stock-take'!$G:$K,4,FALSE)))</f>
        <v xml:space="preserve"> </v>
      </c>
      <c r="J814" s="39">
        <f>IF(ISNA(VLOOKUP(D814,'[2]stock-take'!$G:$K,3,FALSE)), 0, VLOOKUP(D814,'[2]stock-take'!$G:$K,3,FALSE))</f>
        <v>0</v>
      </c>
      <c r="K814" s="49" t="str">
        <f>IF(F814="", " ", IF(ISNA(VLOOKUP(D814,'[2]stock-take'!$M:$Q,4,FALSE)), "OUT OF STOCK", VLOOKUP(D814,'[2]stock-take'!$M:$Q,4,FALSE)))</f>
        <v xml:space="preserve"> </v>
      </c>
      <c r="L814" s="47">
        <f>IF(ISNA(VLOOKUP(D814,'[2]stock-take'!$M:$Q,3,FALSE)), 0, VLOOKUP(D814,'[2]stock-take'!$M:$Q,3,FALSE))</f>
        <v>0</v>
      </c>
      <c r="M814" s="48" t="str">
        <f t="shared" si="37"/>
        <v xml:space="preserve"> </v>
      </c>
      <c r="N814" s="39" t="str">
        <f t="shared" si="38"/>
        <v xml:space="preserve"> </v>
      </c>
    </row>
    <row r="815" spans="1:14">
      <c r="A815" s="37">
        <f t="shared" si="36"/>
        <v>804</v>
      </c>
      <c r="G815" s="48" t="str">
        <f>IF(F815=""," ",IF(ISNA(VLOOKUP(D815,'[2]stock-take'!$A:$E,4,FALSE)), "OUT OF STOCK", VLOOKUP(D815,'[2]stock-take'!$A:$E,4,FALSE)))</f>
        <v xml:space="preserve"> </v>
      </c>
      <c r="H815" s="48">
        <f>IF(ISNA(VLOOKUP(D815,'[2]stock-take'!$A:$E,3,FALSE)), 0, VLOOKUP(D815,'[2]stock-take'!$A:$E,3,FALSE))</f>
        <v>0</v>
      </c>
      <c r="I815" s="48" t="str">
        <f>IF(F815="", " ",IF(ISNA(VLOOKUP(D815,'[2]stock-take'!$G:$K,4,FALSE)), "OUT OF STOCK", VLOOKUP(D815,'[2]stock-take'!$G:$K,4,FALSE)))</f>
        <v xml:space="preserve"> </v>
      </c>
      <c r="J815" s="39">
        <f>IF(ISNA(VLOOKUP(D815,'[2]stock-take'!$G:$K,3,FALSE)), 0, VLOOKUP(D815,'[2]stock-take'!$G:$K,3,FALSE))</f>
        <v>0</v>
      </c>
      <c r="K815" s="49" t="str">
        <f>IF(F815="", " ", IF(ISNA(VLOOKUP(D815,'[2]stock-take'!$M:$Q,4,FALSE)), "OUT OF STOCK", VLOOKUP(D815,'[2]stock-take'!$M:$Q,4,FALSE)))</f>
        <v xml:space="preserve"> </v>
      </c>
      <c r="L815" s="47">
        <f>IF(ISNA(VLOOKUP(D815,'[2]stock-take'!$M:$Q,3,FALSE)), 0, VLOOKUP(D815,'[2]stock-take'!$M:$Q,3,FALSE))</f>
        <v>0</v>
      </c>
      <c r="M815" s="48" t="str">
        <f t="shared" si="37"/>
        <v xml:space="preserve"> </v>
      </c>
      <c r="N815" s="39" t="str">
        <f t="shared" si="38"/>
        <v xml:space="preserve"> </v>
      </c>
    </row>
    <row r="816" spans="1:14">
      <c r="A816" s="37">
        <f t="shared" si="36"/>
        <v>805</v>
      </c>
      <c r="G816" s="48" t="str">
        <f>IF(F816=""," ",IF(ISNA(VLOOKUP(D816,'[2]stock-take'!$A:$E,4,FALSE)), "OUT OF STOCK", VLOOKUP(D816,'[2]stock-take'!$A:$E,4,FALSE)))</f>
        <v xml:space="preserve"> </v>
      </c>
      <c r="H816" s="48">
        <f>IF(ISNA(VLOOKUP(D816,'[2]stock-take'!$A:$E,3,FALSE)), 0, VLOOKUP(D816,'[2]stock-take'!$A:$E,3,FALSE))</f>
        <v>0</v>
      </c>
      <c r="I816" s="48" t="str">
        <f>IF(F816="", " ",IF(ISNA(VLOOKUP(D816,'[2]stock-take'!$G:$K,4,FALSE)), "OUT OF STOCK", VLOOKUP(D816,'[2]stock-take'!$G:$K,4,FALSE)))</f>
        <v xml:space="preserve"> </v>
      </c>
      <c r="J816" s="39">
        <f>IF(ISNA(VLOOKUP(D816,'[2]stock-take'!$G:$K,3,FALSE)), 0, VLOOKUP(D816,'[2]stock-take'!$G:$K,3,FALSE))</f>
        <v>0</v>
      </c>
      <c r="K816" s="49" t="str">
        <f>IF(F816="", " ", IF(ISNA(VLOOKUP(D816,'[2]stock-take'!$M:$Q,4,FALSE)), "OUT OF STOCK", VLOOKUP(D816,'[2]stock-take'!$M:$Q,4,FALSE)))</f>
        <v xml:space="preserve"> </v>
      </c>
      <c r="L816" s="47">
        <f>IF(ISNA(VLOOKUP(D816,'[2]stock-take'!$M:$Q,3,FALSE)), 0, VLOOKUP(D816,'[2]stock-take'!$M:$Q,3,FALSE))</f>
        <v>0</v>
      </c>
      <c r="M816" s="48" t="str">
        <f t="shared" si="37"/>
        <v xml:space="preserve"> </v>
      </c>
      <c r="N816" s="39" t="str">
        <f t="shared" si="38"/>
        <v xml:space="preserve"> </v>
      </c>
    </row>
    <row r="817" spans="1:14">
      <c r="A817" s="37">
        <f t="shared" si="36"/>
        <v>806</v>
      </c>
      <c r="G817" s="48" t="str">
        <f>IF(F817=""," ",IF(ISNA(VLOOKUP(D817,'[2]stock-take'!$A:$E,4,FALSE)), "OUT OF STOCK", VLOOKUP(D817,'[2]stock-take'!$A:$E,4,FALSE)))</f>
        <v xml:space="preserve"> </v>
      </c>
      <c r="H817" s="48">
        <f>IF(ISNA(VLOOKUP(D817,'[2]stock-take'!$A:$E,3,FALSE)), 0, VLOOKUP(D817,'[2]stock-take'!$A:$E,3,FALSE))</f>
        <v>0</v>
      </c>
      <c r="I817" s="48" t="str">
        <f>IF(F817="", " ",IF(ISNA(VLOOKUP(D817,'[2]stock-take'!$G:$K,4,FALSE)), "OUT OF STOCK", VLOOKUP(D817,'[2]stock-take'!$G:$K,4,FALSE)))</f>
        <v xml:space="preserve"> </v>
      </c>
      <c r="J817" s="39">
        <f>IF(ISNA(VLOOKUP(D817,'[2]stock-take'!$G:$K,3,FALSE)), 0, VLOOKUP(D817,'[2]stock-take'!$G:$K,3,FALSE))</f>
        <v>0</v>
      </c>
      <c r="K817" s="49" t="str">
        <f>IF(F817="", " ", IF(ISNA(VLOOKUP(D817,'[2]stock-take'!$M:$Q,4,FALSE)), "OUT OF STOCK", VLOOKUP(D817,'[2]stock-take'!$M:$Q,4,FALSE)))</f>
        <v xml:space="preserve"> </v>
      </c>
      <c r="L817" s="47">
        <f>IF(ISNA(VLOOKUP(D817,'[2]stock-take'!$M:$Q,3,FALSE)), 0, VLOOKUP(D817,'[2]stock-take'!$M:$Q,3,FALSE))</f>
        <v>0</v>
      </c>
      <c r="M817" s="48" t="str">
        <f t="shared" si="37"/>
        <v xml:space="preserve"> </v>
      </c>
      <c r="N817" s="39" t="str">
        <f t="shared" si="38"/>
        <v xml:space="preserve"> </v>
      </c>
    </row>
    <row r="818" spans="1:14">
      <c r="A818" s="37">
        <f t="shared" si="36"/>
        <v>807</v>
      </c>
      <c r="G818" s="48" t="str">
        <f>IF(F818=""," ",IF(ISNA(VLOOKUP(D818,'[2]stock-take'!$A:$E,4,FALSE)), "OUT OF STOCK", VLOOKUP(D818,'[2]stock-take'!$A:$E,4,FALSE)))</f>
        <v xml:space="preserve"> </v>
      </c>
      <c r="H818" s="48">
        <f>IF(ISNA(VLOOKUP(D818,'[2]stock-take'!$A:$E,3,FALSE)), 0, VLOOKUP(D818,'[2]stock-take'!$A:$E,3,FALSE))</f>
        <v>0</v>
      </c>
      <c r="I818" s="48" t="str">
        <f>IF(F818="", " ",IF(ISNA(VLOOKUP(D818,'[2]stock-take'!$G:$K,4,FALSE)), "OUT OF STOCK", VLOOKUP(D818,'[2]stock-take'!$G:$K,4,FALSE)))</f>
        <v xml:space="preserve"> </v>
      </c>
      <c r="J818" s="39">
        <f>IF(ISNA(VLOOKUP(D818,'[2]stock-take'!$G:$K,3,FALSE)), 0, VLOOKUP(D818,'[2]stock-take'!$G:$K,3,FALSE))</f>
        <v>0</v>
      </c>
      <c r="K818" s="49" t="str">
        <f>IF(F818="", " ", IF(ISNA(VLOOKUP(D818,'[2]stock-take'!$M:$Q,4,FALSE)), "OUT OF STOCK", VLOOKUP(D818,'[2]stock-take'!$M:$Q,4,FALSE)))</f>
        <v xml:space="preserve"> </v>
      </c>
      <c r="L818" s="47">
        <f>IF(ISNA(VLOOKUP(D818,'[2]stock-take'!$M:$Q,3,FALSE)), 0, VLOOKUP(D818,'[2]stock-take'!$M:$Q,3,FALSE))</f>
        <v>0</v>
      </c>
      <c r="M818" s="48" t="str">
        <f t="shared" si="37"/>
        <v xml:space="preserve"> </v>
      </c>
      <c r="N818" s="39" t="str">
        <f t="shared" si="38"/>
        <v xml:space="preserve"> </v>
      </c>
    </row>
    <row r="819" spans="1:14">
      <c r="A819" s="37">
        <f t="shared" si="36"/>
        <v>808</v>
      </c>
      <c r="G819" s="48" t="str">
        <f>IF(F819=""," ",IF(ISNA(VLOOKUP(D819,'[2]stock-take'!$A:$E,4,FALSE)), "OUT OF STOCK", VLOOKUP(D819,'[2]stock-take'!$A:$E,4,FALSE)))</f>
        <v xml:space="preserve"> </v>
      </c>
      <c r="H819" s="48">
        <f>IF(ISNA(VLOOKUP(D819,'[2]stock-take'!$A:$E,3,FALSE)), 0, VLOOKUP(D819,'[2]stock-take'!$A:$E,3,FALSE))</f>
        <v>0</v>
      </c>
      <c r="I819" s="48" t="str">
        <f>IF(F819="", " ",IF(ISNA(VLOOKUP(D819,'[2]stock-take'!$G:$K,4,FALSE)), "OUT OF STOCK", VLOOKUP(D819,'[2]stock-take'!$G:$K,4,FALSE)))</f>
        <v xml:space="preserve"> </v>
      </c>
      <c r="J819" s="39">
        <f>IF(ISNA(VLOOKUP(D819,'[2]stock-take'!$G:$K,3,FALSE)), 0, VLOOKUP(D819,'[2]stock-take'!$G:$K,3,FALSE))</f>
        <v>0</v>
      </c>
      <c r="K819" s="49" t="str">
        <f>IF(F819="", " ", IF(ISNA(VLOOKUP(D819,'[2]stock-take'!$M:$Q,4,FALSE)), "OUT OF STOCK", VLOOKUP(D819,'[2]stock-take'!$M:$Q,4,FALSE)))</f>
        <v xml:space="preserve"> </v>
      </c>
      <c r="L819" s="47">
        <f>IF(ISNA(VLOOKUP(D819,'[2]stock-take'!$M:$Q,3,FALSE)), 0, VLOOKUP(D819,'[2]stock-take'!$M:$Q,3,FALSE))</f>
        <v>0</v>
      </c>
      <c r="M819" s="48" t="str">
        <f t="shared" si="37"/>
        <v xml:space="preserve"> </v>
      </c>
      <c r="N819" s="39" t="str">
        <f t="shared" si="38"/>
        <v xml:space="preserve"> </v>
      </c>
    </row>
    <row r="820" spans="1:14">
      <c r="A820" s="37">
        <f t="shared" si="36"/>
        <v>809</v>
      </c>
      <c r="G820" s="48" t="str">
        <f>IF(F820=""," ",IF(ISNA(VLOOKUP(D820,'[2]stock-take'!$A:$E,4,FALSE)), "OUT OF STOCK", VLOOKUP(D820,'[2]stock-take'!$A:$E,4,FALSE)))</f>
        <v xml:space="preserve"> </v>
      </c>
      <c r="H820" s="48">
        <f>IF(ISNA(VLOOKUP(D820,'[2]stock-take'!$A:$E,3,FALSE)), 0, VLOOKUP(D820,'[2]stock-take'!$A:$E,3,FALSE))</f>
        <v>0</v>
      </c>
      <c r="I820" s="48" t="str">
        <f>IF(F820="", " ",IF(ISNA(VLOOKUP(D820,'[2]stock-take'!$G:$K,4,FALSE)), "OUT OF STOCK", VLOOKUP(D820,'[2]stock-take'!$G:$K,4,FALSE)))</f>
        <v xml:space="preserve"> </v>
      </c>
      <c r="J820" s="39">
        <f>IF(ISNA(VLOOKUP(D820,'[2]stock-take'!$G:$K,3,FALSE)), 0, VLOOKUP(D820,'[2]stock-take'!$G:$K,3,FALSE))</f>
        <v>0</v>
      </c>
      <c r="K820" s="49" t="str">
        <f>IF(F820="", " ", IF(ISNA(VLOOKUP(D820,'[2]stock-take'!$M:$Q,4,FALSE)), "OUT OF STOCK", VLOOKUP(D820,'[2]stock-take'!$M:$Q,4,FALSE)))</f>
        <v xml:space="preserve"> </v>
      </c>
      <c r="L820" s="47">
        <f>IF(ISNA(VLOOKUP(D820,'[2]stock-take'!$M:$Q,3,FALSE)), 0, VLOOKUP(D820,'[2]stock-take'!$M:$Q,3,FALSE))</f>
        <v>0</v>
      </c>
      <c r="M820" s="48" t="str">
        <f t="shared" si="37"/>
        <v xml:space="preserve"> </v>
      </c>
      <c r="N820" s="39" t="str">
        <f t="shared" si="38"/>
        <v xml:space="preserve"> </v>
      </c>
    </row>
    <row r="821" spans="1:14">
      <c r="A821" s="37">
        <f t="shared" si="36"/>
        <v>810</v>
      </c>
      <c r="G821" s="48" t="str">
        <f>IF(F821=""," ",IF(ISNA(VLOOKUP(D821,'[2]stock-take'!$A:$E,4,FALSE)), "OUT OF STOCK", VLOOKUP(D821,'[2]stock-take'!$A:$E,4,FALSE)))</f>
        <v xml:space="preserve"> </v>
      </c>
      <c r="H821" s="48">
        <f>IF(ISNA(VLOOKUP(D821,'[2]stock-take'!$A:$E,3,FALSE)), 0, VLOOKUP(D821,'[2]stock-take'!$A:$E,3,FALSE))</f>
        <v>0</v>
      </c>
      <c r="I821" s="48" t="str">
        <f>IF(F821="", " ",IF(ISNA(VLOOKUP(D821,'[2]stock-take'!$G:$K,4,FALSE)), "OUT OF STOCK", VLOOKUP(D821,'[2]stock-take'!$G:$K,4,FALSE)))</f>
        <v xml:space="preserve"> </v>
      </c>
      <c r="J821" s="39">
        <f>IF(ISNA(VLOOKUP(D821,'[2]stock-take'!$G:$K,3,FALSE)), 0, VLOOKUP(D821,'[2]stock-take'!$G:$K,3,FALSE))</f>
        <v>0</v>
      </c>
      <c r="K821" s="49" t="str">
        <f>IF(F821="", " ", IF(ISNA(VLOOKUP(D821,'[2]stock-take'!$M:$Q,4,FALSE)), "OUT OF STOCK", VLOOKUP(D821,'[2]stock-take'!$M:$Q,4,FALSE)))</f>
        <v xml:space="preserve"> </v>
      </c>
      <c r="L821" s="47">
        <f>IF(ISNA(VLOOKUP(D821,'[2]stock-take'!$M:$Q,3,FALSE)), 0, VLOOKUP(D821,'[2]stock-take'!$M:$Q,3,FALSE))</f>
        <v>0</v>
      </c>
      <c r="M821" s="48" t="str">
        <f t="shared" si="37"/>
        <v xml:space="preserve"> </v>
      </c>
      <c r="N821" s="39" t="str">
        <f t="shared" si="38"/>
        <v xml:space="preserve"> </v>
      </c>
    </row>
    <row r="822" spans="1:14">
      <c r="A822" s="37">
        <f t="shared" si="36"/>
        <v>811</v>
      </c>
      <c r="G822" s="48" t="str">
        <f>IF(F822=""," ",IF(ISNA(VLOOKUP(D822,'[2]stock-take'!$A:$E,4,FALSE)), "OUT OF STOCK", VLOOKUP(D822,'[2]stock-take'!$A:$E,4,FALSE)))</f>
        <v xml:space="preserve"> </v>
      </c>
      <c r="H822" s="48">
        <f>IF(ISNA(VLOOKUP(D822,'[2]stock-take'!$A:$E,3,FALSE)), 0, VLOOKUP(D822,'[2]stock-take'!$A:$E,3,FALSE))</f>
        <v>0</v>
      </c>
      <c r="I822" s="48" t="str">
        <f>IF(F822="", " ",IF(ISNA(VLOOKUP(D822,'[2]stock-take'!$G:$K,4,FALSE)), "OUT OF STOCK", VLOOKUP(D822,'[2]stock-take'!$G:$K,4,FALSE)))</f>
        <v xml:space="preserve"> </v>
      </c>
      <c r="J822" s="39">
        <f>IF(ISNA(VLOOKUP(D822,'[2]stock-take'!$G:$K,3,FALSE)), 0, VLOOKUP(D822,'[2]stock-take'!$G:$K,3,FALSE))</f>
        <v>0</v>
      </c>
      <c r="K822" s="49" t="str">
        <f>IF(F822="", " ", IF(ISNA(VLOOKUP(D822,'[2]stock-take'!$M:$Q,4,FALSE)), "OUT OF STOCK", VLOOKUP(D822,'[2]stock-take'!$M:$Q,4,FALSE)))</f>
        <v xml:space="preserve"> </v>
      </c>
      <c r="L822" s="47">
        <f>IF(ISNA(VLOOKUP(D822,'[2]stock-take'!$M:$Q,3,FALSE)), 0, VLOOKUP(D822,'[2]stock-take'!$M:$Q,3,FALSE))</f>
        <v>0</v>
      </c>
      <c r="M822" s="48" t="str">
        <f t="shared" si="37"/>
        <v xml:space="preserve"> </v>
      </c>
      <c r="N822" s="39" t="str">
        <f t="shared" si="38"/>
        <v xml:space="preserve"> </v>
      </c>
    </row>
    <row r="823" spans="1:14">
      <c r="A823" s="37">
        <f t="shared" si="36"/>
        <v>812</v>
      </c>
      <c r="G823" s="48" t="str">
        <f>IF(F823=""," ",IF(ISNA(VLOOKUP(D823,'[2]stock-take'!$A:$E,4,FALSE)), "OUT OF STOCK", VLOOKUP(D823,'[2]stock-take'!$A:$E,4,FALSE)))</f>
        <v xml:space="preserve"> </v>
      </c>
      <c r="H823" s="48">
        <f>IF(ISNA(VLOOKUP(D823,'[2]stock-take'!$A:$E,3,FALSE)), 0, VLOOKUP(D823,'[2]stock-take'!$A:$E,3,FALSE))</f>
        <v>0</v>
      </c>
      <c r="I823" s="48" t="str">
        <f>IF(F823="", " ",IF(ISNA(VLOOKUP(D823,'[2]stock-take'!$G:$K,4,FALSE)), "OUT OF STOCK", VLOOKUP(D823,'[2]stock-take'!$G:$K,4,FALSE)))</f>
        <v xml:space="preserve"> </v>
      </c>
      <c r="J823" s="39">
        <f>IF(ISNA(VLOOKUP(D823,'[2]stock-take'!$G:$K,3,FALSE)), 0, VLOOKUP(D823,'[2]stock-take'!$G:$K,3,FALSE))</f>
        <v>0</v>
      </c>
      <c r="K823" s="49" t="str">
        <f>IF(F823="", " ", IF(ISNA(VLOOKUP(D823,'[2]stock-take'!$M:$Q,4,FALSE)), "OUT OF STOCK", VLOOKUP(D823,'[2]stock-take'!$M:$Q,4,FALSE)))</f>
        <v xml:space="preserve"> </v>
      </c>
      <c r="L823" s="47">
        <f>IF(ISNA(VLOOKUP(D823,'[2]stock-take'!$M:$Q,3,FALSE)), 0, VLOOKUP(D823,'[2]stock-take'!$M:$Q,3,FALSE))</f>
        <v>0</v>
      </c>
      <c r="M823" s="48" t="str">
        <f t="shared" si="37"/>
        <v xml:space="preserve"> </v>
      </c>
      <c r="N823" s="39" t="str">
        <f t="shared" si="38"/>
        <v xml:space="preserve"> </v>
      </c>
    </row>
    <row r="824" spans="1:14">
      <c r="A824" s="37">
        <f t="shared" si="36"/>
        <v>813</v>
      </c>
      <c r="G824" s="48" t="str">
        <f>IF(F824=""," ",IF(ISNA(VLOOKUP(D824,'[2]stock-take'!$A:$E,4,FALSE)), "OUT OF STOCK", VLOOKUP(D824,'[2]stock-take'!$A:$E,4,FALSE)))</f>
        <v xml:space="preserve"> </v>
      </c>
      <c r="H824" s="48">
        <f>IF(ISNA(VLOOKUP(D824,'[2]stock-take'!$A:$E,3,FALSE)), 0, VLOOKUP(D824,'[2]stock-take'!$A:$E,3,FALSE))</f>
        <v>0</v>
      </c>
      <c r="I824" s="48" t="str">
        <f>IF(F824="", " ",IF(ISNA(VLOOKUP(D824,'[2]stock-take'!$G:$K,4,FALSE)), "OUT OF STOCK", VLOOKUP(D824,'[2]stock-take'!$G:$K,4,FALSE)))</f>
        <v xml:space="preserve"> </v>
      </c>
      <c r="J824" s="39">
        <f>IF(ISNA(VLOOKUP(D824,'[2]stock-take'!$G:$K,3,FALSE)), 0, VLOOKUP(D824,'[2]stock-take'!$G:$K,3,FALSE))</f>
        <v>0</v>
      </c>
      <c r="K824" s="49" t="str">
        <f>IF(F824="", " ", IF(ISNA(VLOOKUP(D824,'[2]stock-take'!$M:$Q,4,FALSE)), "OUT OF STOCK", VLOOKUP(D824,'[2]stock-take'!$M:$Q,4,FALSE)))</f>
        <v xml:space="preserve"> </v>
      </c>
      <c r="L824" s="47">
        <f>IF(ISNA(VLOOKUP(D824,'[2]stock-take'!$M:$Q,3,FALSE)), 0, VLOOKUP(D824,'[2]stock-take'!$M:$Q,3,FALSE))</f>
        <v>0</v>
      </c>
      <c r="M824" s="48" t="str">
        <f t="shared" si="37"/>
        <v xml:space="preserve"> </v>
      </c>
      <c r="N824" s="39" t="str">
        <f t="shared" si="38"/>
        <v xml:space="preserve"> </v>
      </c>
    </row>
    <row r="825" spans="1:14">
      <c r="A825" s="37">
        <f t="shared" si="36"/>
        <v>814</v>
      </c>
      <c r="G825" s="48" t="str">
        <f>IF(F825=""," ",IF(ISNA(VLOOKUP(D825,'[2]stock-take'!$A:$E,4,FALSE)), "OUT OF STOCK", VLOOKUP(D825,'[2]stock-take'!$A:$E,4,FALSE)))</f>
        <v xml:space="preserve"> </v>
      </c>
      <c r="H825" s="48">
        <f>IF(ISNA(VLOOKUP(D825,'[2]stock-take'!$A:$E,3,FALSE)), 0, VLOOKUP(D825,'[2]stock-take'!$A:$E,3,FALSE))</f>
        <v>0</v>
      </c>
      <c r="I825" s="48" t="str">
        <f>IF(F825="", " ",IF(ISNA(VLOOKUP(D825,'[2]stock-take'!$G:$K,4,FALSE)), "OUT OF STOCK", VLOOKUP(D825,'[2]stock-take'!$G:$K,4,FALSE)))</f>
        <v xml:space="preserve"> </v>
      </c>
      <c r="J825" s="39">
        <f>IF(ISNA(VLOOKUP(D825,'[2]stock-take'!$G:$K,3,FALSE)), 0, VLOOKUP(D825,'[2]stock-take'!$G:$K,3,FALSE))</f>
        <v>0</v>
      </c>
      <c r="K825" s="49" t="str">
        <f>IF(F825="", " ", IF(ISNA(VLOOKUP(D825,'[2]stock-take'!$M:$Q,4,FALSE)), "OUT OF STOCK", VLOOKUP(D825,'[2]stock-take'!$M:$Q,4,FALSE)))</f>
        <v xml:space="preserve"> </v>
      </c>
      <c r="L825" s="47">
        <f>IF(ISNA(VLOOKUP(D825,'[2]stock-take'!$M:$Q,3,FALSE)), 0, VLOOKUP(D825,'[2]stock-take'!$M:$Q,3,FALSE))</f>
        <v>0</v>
      </c>
      <c r="M825" s="48" t="str">
        <f t="shared" si="37"/>
        <v xml:space="preserve"> </v>
      </c>
      <c r="N825" s="39" t="str">
        <f t="shared" si="38"/>
        <v xml:space="preserve"> </v>
      </c>
    </row>
    <row r="826" spans="1:14">
      <c r="A826" s="37">
        <f t="shared" si="36"/>
        <v>815</v>
      </c>
      <c r="G826" s="48" t="str">
        <f>IF(F826=""," ",IF(ISNA(VLOOKUP(D826,'[2]stock-take'!$A:$E,4,FALSE)), "OUT OF STOCK", VLOOKUP(D826,'[2]stock-take'!$A:$E,4,FALSE)))</f>
        <v xml:space="preserve"> </v>
      </c>
      <c r="H826" s="48">
        <f>IF(ISNA(VLOOKUP(D826,'[2]stock-take'!$A:$E,3,FALSE)), 0, VLOOKUP(D826,'[2]stock-take'!$A:$E,3,FALSE))</f>
        <v>0</v>
      </c>
      <c r="I826" s="48" t="str">
        <f>IF(F826="", " ",IF(ISNA(VLOOKUP(D826,'[2]stock-take'!$G:$K,4,FALSE)), "OUT OF STOCK", VLOOKUP(D826,'[2]stock-take'!$G:$K,4,FALSE)))</f>
        <v xml:space="preserve"> </v>
      </c>
      <c r="J826" s="39">
        <f>IF(ISNA(VLOOKUP(D826,'[2]stock-take'!$G:$K,3,FALSE)), 0, VLOOKUP(D826,'[2]stock-take'!$G:$K,3,FALSE))</f>
        <v>0</v>
      </c>
      <c r="K826" s="49" t="str">
        <f>IF(F826="", " ", IF(ISNA(VLOOKUP(D826,'[2]stock-take'!$M:$Q,4,FALSE)), "OUT OF STOCK", VLOOKUP(D826,'[2]stock-take'!$M:$Q,4,FALSE)))</f>
        <v xml:space="preserve"> </v>
      </c>
      <c r="L826" s="47">
        <f>IF(ISNA(VLOOKUP(D826,'[2]stock-take'!$M:$Q,3,FALSE)), 0, VLOOKUP(D826,'[2]stock-take'!$M:$Q,3,FALSE))</f>
        <v>0</v>
      </c>
      <c r="M826" s="48" t="str">
        <f t="shared" si="37"/>
        <v xml:space="preserve"> </v>
      </c>
      <c r="N826" s="39" t="str">
        <f t="shared" si="38"/>
        <v xml:space="preserve"> </v>
      </c>
    </row>
    <row r="827" spans="1:14">
      <c r="A827" s="37">
        <f t="shared" si="36"/>
        <v>816</v>
      </c>
      <c r="G827" s="48" t="str">
        <f>IF(F827=""," ",IF(ISNA(VLOOKUP(D827,'[2]stock-take'!$A:$E,4,FALSE)), "OUT OF STOCK", VLOOKUP(D827,'[2]stock-take'!$A:$E,4,FALSE)))</f>
        <v xml:space="preserve"> </v>
      </c>
      <c r="H827" s="48">
        <f>IF(ISNA(VLOOKUP(D827,'[2]stock-take'!$A:$E,3,FALSE)), 0, VLOOKUP(D827,'[2]stock-take'!$A:$E,3,FALSE))</f>
        <v>0</v>
      </c>
      <c r="I827" s="48" t="str">
        <f>IF(F827="", " ",IF(ISNA(VLOOKUP(D827,'[2]stock-take'!$G:$K,4,FALSE)), "OUT OF STOCK", VLOOKUP(D827,'[2]stock-take'!$G:$K,4,FALSE)))</f>
        <v xml:space="preserve"> </v>
      </c>
      <c r="J827" s="39">
        <f>IF(ISNA(VLOOKUP(D827,'[2]stock-take'!$G:$K,3,FALSE)), 0, VLOOKUP(D827,'[2]stock-take'!$G:$K,3,FALSE))</f>
        <v>0</v>
      </c>
      <c r="K827" s="49" t="str">
        <f>IF(F827="", " ", IF(ISNA(VLOOKUP(D827,'[2]stock-take'!$M:$Q,4,FALSE)), "OUT OF STOCK", VLOOKUP(D827,'[2]stock-take'!$M:$Q,4,FALSE)))</f>
        <v xml:space="preserve"> </v>
      </c>
      <c r="L827" s="47">
        <f>IF(ISNA(VLOOKUP(D827,'[2]stock-take'!$M:$Q,3,FALSE)), 0, VLOOKUP(D827,'[2]stock-take'!$M:$Q,3,FALSE))</f>
        <v>0</v>
      </c>
      <c r="M827" s="48" t="str">
        <f t="shared" si="37"/>
        <v xml:space="preserve"> </v>
      </c>
      <c r="N827" s="39" t="str">
        <f t="shared" si="38"/>
        <v xml:space="preserve"> </v>
      </c>
    </row>
    <row r="828" spans="1:14">
      <c r="A828" s="37">
        <f t="shared" si="36"/>
        <v>817</v>
      </c>
      <c r="G828" s="48" t="str">
        <f>IF(F828=""," ",IF(ISNA(VLOOKUP(D828,'[2]stock-take'!$A:$E,4,FALSE)), "OUT OF STOCK", VLOOKUP(D828,'[2]stock-take'!$A:$E,4,FALSE)))</f>
        <v xml:space="preserve"> </v>
      </c>
      <c r="H828" s="48">
        <f>IF(ISNA(VLOOKUP(D828,'[2]stock-take'!$A:$E,3,FALSE)), 0, VLOOKUP(D828,'[2]stock-take'!$A:$E,3,FALSE))</f>
        <v>0</v>
      </c>
      <c r="I828" s="48" t="str">
        <f>IF(F828="", " ",IF(ISNA(VLOOKUP(D828,'[2]stock-take'!$G:$K,4,FALSE)), "OUT OF STOCK", VLOOKUP(D828,'[2]stock-take'!$G:$K,4,FALSE)))</f>
        <v xml:space="preserve"> </v>
      </c>
      <c r="J828" s="39">
        <f>IF(ISNA(VLOOKUP(D828,'[2]stock-take'!$G:$K,3,FALSE)), 0, VLOOKUP(D828,'[2]stock-take'!$G:$K,3,FALSE))</f>
        <v>0</v>
      </c>
      <c r="K828" s="49" t="str">
        <f>IF(F828="", " ", IF(ISNA(VLOOKUP(D828,'[2]stock-take'!$M:$Q,4,FALSE)), "OUT OF STOCK", VLOOKUP(D828,'[2]stock-take'!$M:$Q,4,FALSE)))</f>
        <v xml:space="preserve"> </v>
      </c>
      <c r="L828" s="47">
        <f>IF(ISNA(VLOOKUP(D828,'[2]stock-take'!$M:$Q,3,FALSE)), 0, VLOOKUP(D828,'[2]stock-take'!$M:$Q,3,FALSE))</f>
        <v>0</v>
      </c>
      <c r="M828" s="48" t="str">
        <f t="shared" si="37"/>
        <v xml:space="preserve"> </v>
      </c>
      <c r="N828" s="39" t="str">
        <f t="shared" si="38"/>
        <v xml:space="preserve"> </v>
      </c>
    </row>
    <row r="829" spans="1:14">
      <c r="A829" s="37">
        <f t="shared" si="36"/>
        <v>818</v>
      </c>
      <c r="G829" s="48" t="str">
        <f>IF(F829=""," ",IF(ISNA(VLOOKUP(D829,'[2]stock-take'!$A:$E,4,FALSE)), "OUT OF STOCK", VLOOKUP(D829,'[2]stock-take'!$A:$E,4,FALSE)))</f>
        <v xml:space="preserve"> </v>
      </c>
      <c r="H829" s="48">
        <f>IF(ISNA(VLOOKUP(D829,'[2]stock-take'!$A:$E,3,FALSE)), 0, VLOOKUP(D829,'[2]stock-take'!$A:$E,3,FALSE))</f>
        <v>0</v>
      </c>
      <c r="I829" s="48" t="str">
        <f>IF(F829="", " ",IF(ISNA(VLOOKUP(D829,'[2]stock-take'!$G:$K,4,FALSE)), "OUT OF STOCK", VLOOKUP(D829,'[2]stock-take'!$G:$K,4,FALSE)))</f>
        <v xml:space="preserve"> </v>
      </c>
      <c r="J829" s="39">
        <f>IF(ISNA(VLOOKUP(D829,'[2]stock-take'!$G:$K,3,FALSE)), 0, VLOOKUP(D829,'[2]stock-take'!$G:$K,3,FALSE))</f>
        <v>0</v>
      </c>
      <c r="K829" s="49" t="str">
        <f>IF(F829="", " ", IF(ISNA(VLOOKUP(D829,'[2]stock-take'!$M:$Q,4,FALSE)), "OUT OF STOCK", VLOOKUP(D829,'[2]stock-take'!$M:$Q,4,FALSE)))</f>
        <v xml:space="preserve"> </v>
      </c>
      <c r="L829" s="47">
        <f>IF(ISNA(VLOOKUP(D829,'[2]stock-take'!$M:$Q,3,FALSE)), 0, VLOOKUP(D829,'[2]stock-take'!$M:$Q,3,FALSE))</f>
        <v>0</v>
      </c>
      <c r="M829" s="48" t="str">
        <f t="shared" si="37"/>
        <v xml:space="preserve"> </v>
      </c>
      <c r="N829" s="39" t="str">
        <f t="shared" si="38"/>
        <v xml:space="preserve"> </v>
      </c>
    </row>
    <row r="830" spans="1:14">
      <c r="A830" s="37">
        <f t="shared" si="36"/>
        <v>819</v>
      </c>
      <c r="G830" s="48" t="str">
        <f>IF(F830=""," ",IF(ISNA(VLOOKUP(D830,'[2]stock-take'!$A:$E,4,FALSE)), "OUT OF STOCK", VLOOKUP(D830,'[2]stock-take'!$A:$E,4,FALSE)))</f>
        <v xml:space="preserve"> </v>
      </c>
      <c r="H830" s="48">
        <f>IF(ISNA(VLOOKUP(D830,'[2]stock-take'!$A:$E,3,FALSE)), 0, VLOOKUP(D830,'[2]stock-take'!$A:$E,3,FALSE))</f>
        <v>0</v>
      </c>
      <c r="I830" s="48" t="str">
        <f>IF(F830="", " ",IF(ISNA(VLOOKUP(D830,'[2]stock-take'!$G:$K,4,FALSE)), "OUT OF STOCK", VLOOKUP(D830,'[2]stock-take'!$G:$K,4,FALSE)))</f>
        <v xml:space="preserve"> </v>
      </c>
      <c r="J830" s="39">
        <f>IF(ISNA(VLOOKUP(D830,'[2]stock-take'!$G:$K,3,FALSE)), 0, VLOOKUP(D830,'[2]stock-take'!$G:$K,3,FALSE))</f>
        <v>0</v>
      </c>
      <c r="K830" s="49" t="str">
        <f>IF(F830="", " ", IF(ISNA(VLOOKUP(D830,'[2]stock-take'!$M:$Q,4,FALSE)), "OUT OF STOCK", VLOOKUP(D830,'[2]stock-take'!$M:$Q,4,FALSE)))</f>
        <v xml:space="preserve"> </v>
      </c>
      <c r="L830" s="47">
        <f>IF(ISNA(VLOOKUP(D830,'[2]stock-take'!$M:$Q,3,FALSE)), 0, VLOOKUP(D830,'[2]stock-take'!$M:$Q,3,FALSE))</f>
        <v>0</v>
      </c>
      <c r="M830" s="48" t="str">
        <f t="shared" si="37"/>
        <v xml:space="preserve"> </v>
      </c>
      <c r="N830" s="39" t="str">
        <f t="shared" si="38"/>
        <v xml:space="preserve"> </v>
      </c>
    </row>
    <row r="831" spans="1:14">
      <c r="A831" s="37">
        <f t="shared" si="36"/>
        <v>820</v>
      </c>
      <c r="G831" s="48" t="str">
        <f>IF(F831=""," ",IF(ISNA(VLOOKUP(D831,'[2]stock-take'!$A:$E,4,FALSE)), "OUT OF STOCK", VLOOKUP(D831,'[2]stock-take'!$A:$E,4,FALSE)))</f>
        <v xml:space="preserve"> </v>
      </c>
      <c r="H831" s="48">
        <f>IF(ISNA(VLOOKUP(D831,'[2]stock-take'!$A:$E,3,FALSE)), 0, VLOOKUP(D831,'[2]stock-take'!$A:$E,3,FALSE))</f>
        <v>0</v>
      </c>
      <c r="I831" s="48" t="str">
        <f>IF(F831="", " ",IF(ISNA(VLOOKUP(D831,'[2]stock-take'!$G:$K,4,FALSE)), "OUT OF STOCK", VLOOKUP(D831,'[2]stock-take'!$G:$K,4,FALSE)))</f>
        <v xml:space="preserve"> </v>
      </c>
      <c r="J831" s="39">
        <f>IF(ISNA(VLOOKUP(D831,'[2]stock-take'!$G:$K,3,FALSE)), 0, VLOOKUP(D831,'[2]stock-take'!$G:$K,3,FALSE))</f>
        <v>0</v>
      </c>
      <c r="K831" s="49" t="str">
        <f>IF(F831="", " ", IF(ISNA(VLOOKUP(D831,'[2]stock-take'!$M:$Q,4,FALSE)), "OUT OF STOCK", VLOOKUP(D831,'[2]stock-take'!$M:$Q,4,FALSE)))</f>
        <v xml:space="preserve"> </v>
      </c>
      <c r="L831" s="47">
        <f>IF(ISNA(VLOOKUP(D831,'[2]stock-take'!$M:$Q,3,FALSE)), 0, VLOOKUP(D831,'[2]stock-take'!$M:$Q,3,FALSE))</f>
        <v>0</v>
      </c>
      <c r="M831" s="48" t="str">
        <f t="shared" si="37"/>
        <v xml:space="preserve"> </v>
      </c>
      <c r="N831" s="39" t="str">
        <f t="shared" si="38"/>
        <v xml:space="preserve"> </v>
      </c>
    </row>
    <row r="832" spans="1:14">
      <c r="A832" s="37">
        <f t="shared" si="36"/>
        <v>821</v>
      </c>
      <c r="G832" s="48" t="str">
        <f>IF(F832=""," ",IF(ISNA(VLOOKUP(D832,'[2]stock-take'!$A:$E,4,FALSE)), "OUT OF STOCK", VLOOKUP(D832,'[2]stock-take'!$A:$E,4,FALSE)))</f>
        <v xml:space="preserve"> </v>
      </c>
      <c r="H832" s="48">
        <f>IF(ISNA(VLOOKUP(D832,'[2]stock-take'!$A:$E,3,FALSE)), 0, VLOOKUP(D832,'[2]stock-take'!$A:$E,3,FALSE))</f>
        <v>0</v>
      </c>
      <c r="I832" s="48" t="str">
        <f>IF(F832="", " ",IF(ISNA(VLOOKUP(D832,'[2]stock-take'!$G:$K,4,FALSE)), "OUT OF STOCK", VLOOKUP(D832,'[2]stock-take'!$G:$K,4,FALSE)))</f>
        <v xml:space="preserve"> </v>
      </c>
      <c r="J832" s="39">
        <f>IF(ISNA(VLOOKUP(D832,'[2]stock-take'!$G:$K,3,FALSE)), 0, VLOOKUP(D832,'[2]stock-take'!$G:$K,3,FALSE))</f>
        <v>0</v>
      </c>
      <c r="K832" s="49" t="str">
        <f>IF(F832="", " ", IF(ISNA(VLOOKUP(D832,'[2]stock-take'!$M:$Q,4,FALSE)), "OUT OF STOCK", VLOOKUP(D832,'[2]stock-take'!$M:$Q,4,FALSE)))</f>
        <v xml:space="preserve"> </v>
      </c>
      <c r="L832" s="47">
        <f>IF(ISNA(VLOOKUP(D832,'[2]stock-take'!$M:$Q,3,FALSE)), 0, VLOOKUP(D832,'[2]stock-take'!$M:$Q,3,FALSE))</f>
        <v>0</v>
      </c>
      <c r="M832" s="48" t="str">
        <f t="shared" si="37"/>
        <v xml:space="preserve"> </v>
      </c>
      <c r="N832" s="39" t="str">
        <f t="shared" si="38"/>
        <v xml:space="preserve"> </v>
      </c>
    </row>
    <row r="833" spans="1:14">
      <c r="A833" s="37">
        <f t="shared" si="36"/>
        <v>822</v>
      </c>
      <c r="G833" s="48" t="str">
        <f>IF(F833=""," ",IF(ISNA(VLOOKUP(D833,'[2]stock-take'!$A:$E,4,FALSE)), "OUT OF STOCK", VLOOKUP(D833,'[2]stock-take'!$A:$E,4,FALSE)))</f>
        <v xml:space="preserve"> </v>
      </c>
      <c r="H833" s="48">
        <f>IF(ISNA(VLOOKUP(D833,'[2]stock-take'!$A:$E,3,FALSE)), 0, VLOOKUP(D833,'[2]stock-take'!$A:$E,3,FALSE))</f>
        <v>0</v>
      </c>
      <c r="I833" s="48" t="str">
        <f>IF(F833="", " ",IF(ISNA(VLOOKUP(D833,'[2]stock-take'!$G:$K,4,FALSE)), "OUT OF STOCK", VLOOKUP(D833,'[2]stock-take'!$G:$K,4,FALSE)))</f>
        <v xml:space="preserve"> </v>
      </c>
      <c r="J833" s="39">
        <f>IF(ISNA(VLOOKUP(D833,'[2]stock-take'!$G:$K,3,FALSE)), 0, VLOOKUP(D833,'[2]stock-take'!$G:$K,3,FALSE))</f>
        <v>0</v>
      </c>
      <c r="K833" s="49" t="str">
        <f>IF(F833="", " ", IF(ISNA(VLOOKUP(D833,'[2]stock-take'!$M:$Q,4,FALSE)), "OUT OF STOCK", VLOOKUP(D833,'[2]stock-take'!$M:$Q,4,FALSE)))</f>
        <v xml:space="preserve"> </v>
      </c>
      <c r="L833" s="47">
        <f>IF(ISNA(VLOOKUP(D833,'[2]stock-take'!$M:$Q,3,FALSE)), 0, VLOOKUP(D833,'[2]stock-take'!$M:$Q,3,FALSE))</f>
        <v>0</v>
      </c>
      <c r="M833" s="48" t="str">
        <f t="shared" si="37"/>
        <v xml:space="preserve"> </v>
      </c>
      <c r="N833" s="39" t="str">
        <f t="shared" si="38"/>
        <v xml:space="preserve"> </v>
      </c>
    </row>
    <row r="834" spans="1:14">
      <c r="A834" s="37">
        <f t="shared" si="36"/>
        <v>823</v>
      </c>
      <c r="G834" s="48" t="str">
        <f>IF(F834=""," ",IF(ISNA(VLOOKUP(D834,'[2]stock-take'!$A:$E,4,FALSE)), "OUT OF STOCK", VLOOKUP(D834,'[2]stock-take'!$A:$E,4,FALSE)))</f>
        <v xml:space="preserve"> </v>
      </c>
      <c r="H834" s="48">
        <f>IF(ISNA(VLOOKUP(D834,'[2]stock-take'!$A:$E,3,FALSE)), 0, VLOOKUP(D834,'[2]stock-take'!$A:$E,3,FALSE))</f>
        <v>0</v>
      </c>
      <c r="I834" s="48" t="str">
        <f>IF(F834="", " ",IF(ISNA(VLOOKUP(D834,'[2]stock-take'!$G:$K,4,FALSE)), "OUT OF STOCK", VLOOKUP(D834,'[2]stock-take'!$G:$K,4,FALSE)))</f>
        <v xml:space="preserve"> </v>
      </c>
      <c r="J834" s="39">
        <f>IF(ISNA(VLOOKUP(D834,'[2]stock-take'!$G:$K,3,FALSE)), 0, VLOOKUP(D834,'[2]stock-take'!$G:$K,3,FALSE))</f>
        <v>0</v>
      </c>
      <c r="K834" s="49" t="str">
        <f>IF(F834="", " ", IF(ISNA(VLOOKUP(D834,'[2]stock-take'!$M:$Q,4,FALSE)), "OUT OF STOCK", VLOOKUP(D834,'[2]stock-take'!$M:$Q,4,FALSE)))</f>
        <v xml:space="preserve"> </v>
      </c>
      <c r="L834" s="47">
        <f>IF(ISNA(VLOOKUP(D834,'[2]stock-take'!$M:$Q,3,FALSE)), 0, VLOOKUP(D834,'[2]stock-take'!$M:$Q,3,FALSE))</f>
        <v>0</v>
      </c>
      <c r="M834" s="48" t="str">
        <f t="shared" si="37"/>
        <v xml:space="preserve"> </v>
      </c>
      <c r="N834" s="39" t="str">
        <f t="shared" si="38"/>
        <v xml:space="preserve"> </v>
      </c>
    </row>
    <row r="835" spans="1:14">
      <c r="A835" s="37">
        <f t="shared" si="36"/>
        <v>824</v>
      </c>
      <c r="G835" s="48" t="str">
        <f>IF(F835=""," ",IF(ISNA(VLOOKUP(D835,'[2]stock-take'!$A:$E,4,FALSE)), "OUT OF STOCK", VLOOKUP(D835,'[2]stock-take'!$A:$E,4,FALSE)))</f>
        <v xml:space="preserve"> </v>
      </c>
      <c r="H835" s="48">
        <f>IF(ISNA(VLOOKUP(D835,'[2]stock-take'!$A:$E,3,FALSE)), 0, VLOOKUP(D835,'[2]stock-take'!$A:$E,3,FALSE))</f>
        <v>0</v>
      </c>
      <c r="I835" s="48" t="str">
        <f>IF(F835="", " ",IF(ISNA(VLOOKUP(D835,'[2]stock-take'!$G:$K,4,FALSE)), "OUT OF STOCK", VLOOKUP(D835,'[2]stock-take'!$G:$K,4,FALSE)))</f>
        <v xml:space="preserve"> </v>
      </c>
      <c r="J835" s="39">
        <f>IF(ISNA(VLOOKUP(D835,'[2]stock-take'!$G:$K,3,FALSE)), 0, VLOOKUP(D835,'[2]stock-take'!$G:$K,3,FALSE))</f>
        <v>0</v>
      </c>
      <c r="K835" s="49" t="str">
        <f>IF(F835="", " ", IF(ISNA(VLOOKUP(D835,'[2]stock-take'!$M:$Q,4,FALSE)), "OUT OF STOCK", VLOOKUP(D835,'[2]stock-take'!$M:$Q,4,FALSE)))</f>
        <v xml:space="preserve"> </v>
      </c>
      <c r="L835" s="47">
        <f>IF(ISNA(VLOOKUP(D835,'[2]stock-take'!$M:$Q,3,FALSE)), 0, VLOOKUP(D835,'[2]stock-take'!$M:$Q,3,FALSE))</f>
        <v>0</v>
      </c>
      <c r="M835" s="48" t="str">
        <f t="shared" si="37"/>
        <v xml:space="preserve"> </v>
      </c>
      <c r="N835" s="39" t="str">
        <f t="shared" si="38"/>
        <v xml:space="preserve"> </v>
      </c>
    </row>
    <row r="836" spans="1:14">
      <c r="A836" s="37">
        <f t="shared" si="36"/>
        <v>825</v>
      </c>
      <c r="G836" s="48" t="str">
        <f>IF(F836=""," ",IF(ISNA(VLOOKUP(D836,'[2]stock-take'!$A:$E,4,FALSE)), "OUT OF STOCK", VLOOKUP(D836,'[2]stock-take'!$A:$E,4,FALSE)))</f>
        <v xml:space="preserve"> </v>
      </c>
      <c r="H836" s="48">
        <f>IF(ISNA(VLOOKUP(D836,'[2]stock-take'!$A:$E,3,FALSE)), 0, VLOOKUP(D836,'[2]stock-take'!$A:$E,3,FALSE))</f>
        <v>0</v>
      </c>
      <c r="I836" s="48" t="str">
        <f>IF(F836="", " ",IF(ISNA(VLOOKUP(D836,'[2]stock-take'!$G:$K,4,FALSE)), "OUT OF STOCK", VLOOKUP(D836,'[2]stock-take'!$G:$K,4,FALSE)))</f>
        <v xml:space="preserve"> </v>
      </c>
      <c r="J836" s="39">
        <f>IF(ISNA(VLOOKUP(D836,'[2]stock-take'!$G:$K,3,FALSE)), 0, VLOOKUP(D836,'[2]stock-take'!$G:$K,3,FALSE))</f>
        <v>0</v>
      </c>
      <c r="K836" s="49" t="str">
        <f>IF(F836="", " ", IF(ISNA(VLOOKUP(D836,'[2]stock-take'!$M:$Q,4,FALSE)), "OUT OF STOCK", VLOOKUP(D836,'[2]stock-take'!$M:$Q,4,FALSE)))</f>
        <v xml:space="preserve"> </v>
      </c>
      <c r="L836" s="47">
        <f>IF(ISNA(VLOOKUP(D836,'[2]stock-take'!$M:$Q,3,FALSE)), 0, VLOOKUP(D836,'[2]stock-take'!$M:$Q,3,FALSE))</f>
        <v>0</v>
      </c>
      <c r="M836" s="48" t="str">
        <f t="shared" si="37"/>
        <v xml:space="preserve"> </v>
      </c>
      <c r="N836" s="39" t="str">
        <f t="shared" si="38"/>
        <v xml:space="preserve"> </v>
      </c>
    </row>
    <row r="837" spans="1:14">
      <c r="A837" s="37">
        <f t="shared" si="36"/>
        <v>826</v>
      </c>
      <c r="G837" s="48" t="str">
        <f>IF(F837=""," ",IF(ISNA(VLOOKUP(D837,'[2]stock-take'!$A:$E,4,FALSE)), "OUT OF STOCK", VLOOKUP(D837,'[2]stock-take'!$A:$E,4,FALSE)))</f>
        <v xml:space="preserve"> </v>
      </c>
      <c r="H837" s="48">
        <f>IF(ISNA(VLOOKUP(D837,'[2]stock-take'!$A:$E,3,FALSE)), 0, VLOOKUP(D837,'[2]stock-take'!$A:$E,3,FALSE))</f>
        <v>0</v>
      </c>
      <c r="I837" s="48" t="str">
        <f>IF(F837="", " ",IF(ISNA(VLOOKUP(D837,'[2]stock-take'!$G:$K,4,FALSE)), "OUT OF STOCK", VLOOKUP(D837,'[2]stock-take'!$G:$K,4,FALSE)))</f>
        <v xml:space="preserve"> </v>
      </c>
      <c r="J837" s="39">
        <f>IF(ISNA(VLOOKUP(D837,'[2]stock-take'!$G:$K,3,FALSE)), 0, VLOOKUP(D837,'[2]stock-take'!$G:$K,3,FALSE))</f>
        <v>0</v>
      </c>
      <c r="K837" s="49" t="str">
        <f>IF(F837="", " ", IF(ISNA(VLOOKUP(D837,'[2]stock-take'!$M:$Q,4,FALSE)), "OUT OF STOCK", VLOOKUP(D837,'[2]stock-take'!$M:$Q,4,FALSE)))</f>
        <v xml:space="preserve"> </v>
      </c>
      <c r="L837" s="47">
        <f>IF(ISNA(VLOOKUP(D837,'[2]stock-take'!$M:$Q,3,FALSE)), 0, VLOOKUP(D837,'[2]stock-take'!$M:$Q,3,FALSE))</f>
        <v>0</v>
      </c>
      <c r="M837" s="48" t="str">
        <f t="shared" si="37"/>
        <v xml:space="preserve"> </v>
      </c>
      <c r="N837" s="39" t="str">
        <f t="shared" si="38"/>
        <v xml:space="preserve"> </v>
      </c>
    </row>
    <row r="838" spans="1:14">
      <c r="A838" s="37">
        <f t="shared" si="36"/>
        <v>827</v>
      </c>
      <c r="G838" s="48" t="str">
        <f>IF(F838=""," ",IF(ISNA(VLOOKUP(D838,'[2]stock-take'!$A:$E,4,FALSE)), "OUT OF STOCK", VLOOKUP(D838,'[2]stock-take'!$A:$E,4,FALSE)))</f>
        <v xml:space="preserve"> </v>
      </c>
      <c r="H838" s="48">
        <f>IF(ISNA(VLOOKUP(D838,'[2]stock-take'!$A:$E,3,FALSE)), 0, VLOOKUP(D838,'[2]stock-take'!$A:$E,3,FALSE))</f>
        <v>0</v>
      </c>
      <c r="I838" s="48" t="str">
        <f>IF(F838="", " ",IF(ISNA(VLOOKUP(D838,'[2]stock-take'!$G:$K,4,FALSE)), "OUT OF STOCK", VLOOKUP(D838,'[2]stock-take'!$G:$K,4,FALSE)))</f>
        <v xml:space="preserve"> </v>
      </c>
      <c r="J838" s="39">
        <f>IF(ISNA(VLOOKUP(D838,'[2]stock-take'!$G:$K,3,FALSE)), 0, VLOOKUP(D838,'[2]stock-take'!$G:$K,3,FALSE))</f>
        <v>0</v>
      </c>
      <c r="K838" s="49" t="str">
        <f>IF(F838="", " ", IF(ISNA(VLOOKUP(D838,'[2]stock-take'!$M:$Q,4,FALSE)), "OUT OF STOCK", VLOOKUP(D838,'[2]stock-take'!$M:$Q,4,FALSE)))</f>
        <v xml:space="preserve"> </v>
      </c>
      <c r="L838" s="47">
        <f>IF(ISNA(VLOOKUP(D838,'[2]stock-take'!$M:$Q,3,FALSE)), 0, VLOOKUP(D838,'[2]stock-take'!$M:$Q,3,FALSE))</f>
        <v>0</v>
      </c>
      <c r="M838" s="48" t="str">
        <f t="shared" si="37"/>
        <v xml:space="preserve"> </v>
      </c>
      <c r="N838" s="39" t="str">
        <f t="shared" si="38"/>
        <v xml:space="preserve"> </v>
      </c>
    </row>
    <row r="839" spans="1:14">
      <c r="A839" s="37">
        <f t="shared" si="36"/>
        <v>828</v>
      </c>
      <c r="G839" s="48" t="str">
        <f>IF(F839=""," ",IF(ISNA(VLOOKUP(D839,'[2]stock-take'!$A:$E,4,FALSE)), "OUT OF STOCK", VLOOKUP(D839,'[2]stock-take'!$A:$E,4,FALSE)))</f>
        <v xml:space="preserve"> </v>
      </c>
      <c r="H839" s="48">
        <f>IF(ISNA(VLOOKUP(D839,'[2]stock-take'!$A:$E,3,FALSE)), 0, VLOOKUP(D839,'[2]stock-take'!$A:$E,3,FALSE))</f>
        <v>0</v>
      </c>
      <c r="I839" s="48" t="str">
        <f>IF(F839="", " ",IF(ISNA(VLOOKUP(D839,'[2]stock-take'!$G:$K,4,FALSE)), "OUT OF STOCK", VLOOKUP(D839,'[2]stock-take'!$G:$K,4,FALSE)))</f>
        <v xml:space="preserve"> </v>
      </c>
      <c r="J839" s="39">
        <f>IF(ISNA(VLOOKUP(D839,'[2]stock-take'!$G:$K,3,FALSE)), 0, VLOOKUP(D839,'[2]stock-take'!$G:$K,3,FALSE))</f>
        <v>0</v>
      </c>
      <c r="K839" s="49" t="str">
        <f>IF(F839="", " ", IF(ISNA(VLOOKUP(D839,'[2]stock-take'!$M:$Q,4,FALSE)), "OUT OF STOCK", VLOOKUP(D839,'[2]stock-take'!$M:$Q,4,FALSE)))</f>
        <v xml:space="preserve"> </v>
      </c>
      <c r="L839" s="47">
        <f>IF(ISNA(VLOOKUP(D839,'[2]stock-take'!$M:$Q,3,FALSE)), 0, VLOOKUP(D839,'[2]stock-take'!$M:$Q,3,FALSE))</f>
        <v>0</v>
      </c>
      <c r="M839" s="48" t="str">
        <f t="shared" si="37"/>
        <v xml:space="preserve"> </v>
      </c>
      <c r="N839" s="39" t="str">
        <f t="shared" si="38"/>
        <v xml:space="preserve"> </v>
      </c>
    </row>
    <row r="840" spans="1:14">
      <c r="A840" s="37">
        <f t="shared" si="36"/>
        <v>829</v>
      </c>
      <c r="G840" s="48" t="str">
        <f>IF(F840=""," ",IF(ISNA(VLOOKUP(D840,'[2]stock-take'!$A:$E,4,FALSE)), "OUT OF STOCK", VLOOKUP(D840,'[2]stock-take'!$A:$E,4,FALSE)))</f>
        <v xml:space="preserve"> </v>
      </c>
      <c r="H840" s="48">
        <f>IF(ISNA(VLOOKUP(D840,'[2]stock-take'!$A:$E,3,FALSE)), 0, VLOOKUP(D840,'[2]stock-take'!$A:$E,3,FALSE))</f>
        <v>0</v>
      </c>
      <c r="I840" s="48" t="str">
        <f>IF(F840="", " ",IF(ISNA(VLOOKUP(D840,'[2]stock-take'!$G:$K,4,FALSE)), "OUT OF STOCK", VLOOKUP(D840,'[2]stock-take'!$G:$K,4,FALSE)))</f>
        <v xml:space="preserve"> </v>
      </c>
      <c r="J840" s="39">
        <f>IF(ISNA(VLOOKUP(D840,'[2]stock-take'!$G:$K,3,FALSE)), 0, VLOOKUP(D840,'[2]stock-take'!$G:$K,3,FALSE))</f>
        <v>0</v>
      </c>
      <c r="K840" s="49" t="str">
        <f>IF(F840="", " ", IF(ISNA(VLOOKUP(D840,'[2]stock-take'!$M:$Q,4,FALSE)), "OUT OF STOCK", VLOOKUP(D840,'[2]stock-take'!$M:$Q,4,FALSE)))</f>
        <v xml:space="preserve"> </v>
      </c>
      <c r="L840" s="47">
        <f>IF(ISNA(VLOOKUP(D840,'[2]stock-take'!$M:$Q,3,FALSE)), 0, VLOOKUP(D840,'[2]stock-take'!$M:$Q,3,FALSE))</f>
        <v>0</v>
      </c>
      <c r="M840" s="48" t="str">
        <f t="shared" si="37"/>
        <v xml:space="preserve"> </v>
      </c>
      <c r="N840" s="39" t="str">
        <f t="shared" si="38"/>
        <v xml:space="preserve"> </v>
      </c>
    </row>
    <row r="841" spans="1:14">
      <c r="A841" s="37">
        <f t="shared" si="36"/>
        <v>830</v>
      </c>
      <c r="G841" s="48" t="str">
        <f>IF(F841=""," ",IF(ISNA(VLOOKUP(D841,'[2]stock-take'!$A:$E,4,FALSE)), "OUT OF STOCK", VLOOKUP(D841,'[2]stock-take'!$A:$E,4,FALSE)))</f>
        <v xml:space="preserve"> </v>
      </c>
      <c r="H841" s="48">
        <f>IF(ISNA(VLOOKUP(D841,'[2]stock-take'!$A:$E,3,FALSE)), 0, VLOOKUP(D841,'[2]stock-take'!$A:$E,3,FALSE))</f>
        <v>0</v>
      </c>
      <c r="I841" s="48" t="str">
        <f>IF(F841="", " ",IF(ISNA(VLOOKUP(D841,'[2]stock-take'!$G:$K,4,FALSE)), "OUT OF STOCK", VLOOKUP(D841,'[2]stock-take'!$G:$K,4,FALSE)))</f>
        <v xml:space="preserve"> </v>
      </c>
      <c r="J841" s="39">
        <f>IF(ISNA(VLOOKUP(D841,'[2]stock-take'!$G:$K,3,FALSE)), 0, VLOOKUP(D841,'[2]stock-take'!$G:$K,3,FALSE))</f>
        <v>0</v>
      </c>
      <c r="K841" s="49" t="str">
        <f>IF(F841="", " ", IF(ISNA(VLOOKUP(D841,'[2]stock-take'!$M:$Q,4,FALSE)), "OUT OF STOCK", VLOOKUP(D841,'[2]stock-take'!$M:$Q,4,FALSE)))</f>
        <v xml:space="preserve"> </v>
      </c>
      <c r="L841" s="47">
        <f>IF(ISNA(VLOOKUP(D841,'[2]stock-take'!$M:$Q,3,FALSE)), 0, VLOOKUP(D841,'[2]stock-take'!$M:$Q,3,FALSE))</f>
        <v>0</v>
      </c>
      <c r="M841" s="48" t="str">
        <f t="shared" si="37"/>
        <v xml:space="preserve"> </v>
      </c>
      <c r="N841" s="39" t="str">
        <f t="shared" si="38"/>
        <v xml:space="preserve"> </v>
      </c>
    </row>
    <row r="842" spans="1:14">
      <c r="A842" s="37">
        <f t="shared" si="36"/>
        <v>831</v>
      </c>
      <c r="G842" s="48" t="str">
        <f>IF(F842=""," ",IF(ISNA(VLOOKUP(D842,'[2]stock-take'!$A:$E,4,FALSE)), "OUT OF STOCK", VLOOKUP(D842,'[2]stock-take'!$A:$E,4,FALSE)))</f>
        <v xml:space="preserve"> </v>
      </c>
      <c r="H842" s="48">
        <f>IF(ISNA(VLOOKUP(D842,'[2]stock-take'!$A:$E,3,FALSE)), 0, VLOOKUP(D842,'[2]stock-take'!$A:$E,3,FALSE))</f>
        <v>0</v>
      </c>
      <c r="I842" s="48" t="str">
        <f>IF(F842="", " ",IF(ISNA(VLOOKUP(D842,'[2]stock-take'!$G:$K,4,FALSE)), "OUT OF STOCK", VLOOKUP(D842,'[2]stock-take'!$G:$K,4,FALSE)))</f>
        <v xml:space="preserve"> </v>
      </c>
      <c r="J842" s="39">
        <f>IF(ISNA(VLOOKUP(D842,'[2]stock-take'!$G:$K,3,FALSE)), 0, VLOOKUP(D842,'[2]stock-take'!$G:$K,3,FALSE))</f>
        <v>0</v>
      </c>
      <c r="K842" s="49" t="str">
        <f>IF(F842="", " ", IF(ISNA(VLOOKUP(D842,'[2]stock-take'!$M:$Q,4,FALSE)), "OUT OF STOCK", VLOOKUP(D842,'[2]stock-take'!$M:$Q,4,FALSE)))</f>
        <v xml:space="preserve"> </v>
      </c>
      <c r="L842" s="47">
        <f>IF(ISNA(VLOOKUP(D842,'[2]stock-take'!$M:$Q,3,FALSE)), 0, VLOOKUP(D842,'[2]stock-take'!$M:$Q,3,FALSE))</f>
        <v>0</v>
      </c>
      <c r="M842" s="48" t="str">
        <f t="shared" si="37"/>
        <v xml:space="preserve"> </v>
      </c>
      <c r="N842" s="39" t="str">
        <f t="shared" si="38"/>
        <v xml:space="preserve"> </v>
      </c>
    </row>
    <row r="843" spans="1:14">
      <c r="A843" s="37">
        <f t="shared" si="36"/>
        <v>832</v>
      </c>
      <c r="G843" s="48" t="str">
        <f>IF(F843=""," ",IF(ISNA(VLOOKUP(D843,'[2]stock-take'!$A:$E,4,FALSE)), "OUT OF STOCK", VLOOKUP(D843,'[2]stock-take'!$A:$E,4,FALSE)))</f>
        <v xml:space="preserve"> </v>
      </c>
      <c r="H843" s="48">
        <f>IF(ISNA(VLOOKUP(D843,'[2]stock-take'!$A:$E,3,FALSE)), 0, VLOOKUP(D843,'[2]stock-take'!$A:$E,3,FALSE))</f>
        <v>0</v>
      </c>
      <c r="I843" s="48" t="str">
        <f>IF(F843="", " ",IF(ISNA(VLOOKUP(D843,'[2]stock-take'!$G:$K,4,FALSE)), "OUT OF STOCK", VLOOKUP(D843,'[2]stock-take'!$G:$K,4,FALSE)))</f>
        <v xml:space="preserve"> </v>
      </c>
      <c r="J843" s="39">
        <f>IF(ISNA(VLOOKUP(D843,'[2]stock-take'!$G:$K,3,FALSE)), 0, VLOOKUP(D843,'[2]stock-take'!$G:$K,3,FALSE))</f>
        <v>0</v>
      </c>
      <c r="K843" s="49" t="str">
        <f>IF(F843="", " ", IF(ISNA(VLOOKUP(D843,'[2]stock-take'!$M:$Q,4,FALSE)), "OUT OF STOCK", VLOOKUP(D843,'[2]stock-take'!$M:$Q,4,FALSE)))</f>
        <v xml:space="preserve"> </v>
      </c>
      <c r="L843" s="47">
        <f>IF(ISNA(VLOOKUP(D843,'[2]stock-take'!$M:$Q,3,FALSE)), 0, VLOOKUP(D843,'[2]stock-take'!$M:$Q,3,FALSE))</f>
        <v>0</v>
      </c>
      <c r="M843" s="48" t="str">
        <f t="shared" si="37"/>
        <v xml:space="preserve"> </v>
      </c>
      <c r="N843" s="39" t="str">
        <f t="shared" si="38"/>
        <v xml:space="preserve"> </v>
      </c>
    </row>
    <row r="844" spans="1:14">
      <c r="A844" s="37">
        <f t="shared" ref="A844:A907" si="39">ROW(A844)-11</f>
        <v>833</v>
      </c>
      <c r="G844" s="48" t="str">
        <f>IF(F844=""," ",IF(ISNA(VLOOKUP(D844,'[2]stock-take'!$A:$E,4,FALSE)), "OUT OF STOCK", VLOOKUP(D844,'[2]stock-take'!$A:$E,4,FALSE)))</f>
        <v xml:space="preserve"> </v>
      </c>
      <c r="H844" s="48">
        <f>IF(ISNA(VLOOKUP(D844,'[2]stock-take'!$A:$E,3,FALSE)), 0, VLOOKUP(D844,'[2]stock-take'!$A:$E,3,FALSE))</f>
        <v>0</v>
      </c>
      <c r="I844" s="48" t="str">
        <f>IF(F844="", " ",IF(ISNA(VLOOKUP(D844,'[2]stock-take'!$G:$K,4,FALSE)), "OUT OF STOCK", VLOOKUP(D844,'[2]stock-take'!$G:$K,4,FALSE)))</f>
        <v xml:space="preserve"> </v>
      </c>
      <c r="J844" s="39">
        <f>IF(ISNA(VLOOKUP(D844,'[2]stock-take'!$G:$K,3,FALSE)), 0, VLOOKUP(D844,'[2]stock-take'!$G:$K,3,FALSE))</f>
        <v>0</v>
      </c>
      <c r="K844" s="49" t="str">
        <f>IF(F844="", " ", IF(ISNA(VLOOKUP(D844,'[2]stock-take'!$M:$Q,4,FALSE)), "OUT OF STOCK", VLOOKUP(D844,'[2]stock-take'!$M:$Q,4,FALSE)))</f>
        <v xml:space="preserve"> </v>
      </c>
      <c r="L844" s="47">
        <f>IF(ISNA(VLOOKUP(D844,'[2]stock-take'!$M:$Q,3,FALSE)), 0, VLOOKUP(D844,'[2]stock-take'!$M:$Q,3,FALSE))</f>
        <v>0</v>
      </c>
      <c r="M844" s="48" t="str">
        <f t="shared" si="37"/>
        <v xml:space="preserve"> </v>
      </c>
      <c r="N844" s="39" t="str">
        <f t="shared" si="38"/>
        <v xml:space="preserve"> </v>
      </c>
    </row>
    <row r="845" spans="1:14">
      <c r="A845" s="37">
        <f t="shared" si="39"/>
        <v>834</v>
      </c>
      <c r="G845" s="48" t="str">
        <f>IF(F845=""," ",IF(ISNA(VLOOKUP(D845,'[2]stock-take'!$A:$E,4,FALSE)), "OUT OF STOCK", VLOOKUP(D845,'[2]stock-take'!$A:$E,4,FALSE)))</f>
        <v xml:space="preserve"> </v>
      </c>
      <c r="H845" s="48">
        <f>IF(ISNA(VLOOKUP(D845,'[2]stock-take'!$A:$E,3,FALSE)), 0, VLOOKUP(D845,'[2]stock-take'!$A:$E,3,FALSE))</f>
        <v>0</v>
      </c>
      <c r="I845" s="48" t="str">
        <f>IF(F845="", " ",IF(ISNA(VLOOKUP(D845,'[2]stock-take'!$G:$K,4,FALSE)), "OUT OF STOCK", VLOOKUP(D845,'[2]stock-take'!$G:$K,4,FALSE)))</f>
        <v xml:space="preserve"> </v>
      </c>
      <c r="J845" s="39">
        <f>IF(ISNA(VLOOKUP(D845,'[2]stock-take'!$G:$K,3,FALSE)), 0, VLOOKUP(D845,'[2]stock-take'!$G:$K,3,FALSE))</f>
        <v>0</v>
      </c>
      <c r="K845" s="49" t="str">
        <f>IF(F845="", " ", IF(ISNA(VLOOKUP(D845,'[2]stock-take'!$M:$Q,4,FALSE)), "OUT OF STOCK", VLOOKUP(D845,'[2]stock-take'!$M:$Q,4,FALSE)))</f>
        <v xml:space="preserve"> </v>
      </c>
      <c r="L845" s="47">
        <f>IF(ISNA(VLOOKUP(D845,'[2]stock-take'!$M:$Q,3,FALSE)), 0, VLOOKUP(D845,'[2]stock-take'!$M:$Q,3,FALSE))</f>
        <v>0</v>
      </c>
      <c r="M845" s="48" t="str">
        <f t="shared" ref="M845:M908" si="40">IF(F845=""," ",IF(H845&gt;=F845,"Y",IF(J845&gt;=F845,"Y",IF(L845&gt;=F845,"Y",IF(SUM(H845,J845,L845)&gt;=F845,"Y","N")))))</f>
        <v xml:space="preserve"> </v>
      </c>
      <c r="N845" s="39" t="str">
        <f t="shared" ref="N845:N908" si="41">IF(F845=""," ",IF(H845&gt;=F845,"ILOOM",IF(J845&gt;=F845,"NO.6",IF(L845&gt;=F845,"RMD",IF(SUM(H845,J845,L845)&gt;=F845,"MULTI","LACK")))))</f>
        <v xml:space="preserve"> </v>
      </c>
    </row>
    <row r="846" spans="1:14">
      <c r="A846" s="37">
        <f t="shared" si="39"/>
        <v>835</v>
      </c>
      <c r="G846" s="48" t="str">
        <f>IF(F846=""," ",IF(ISNA(VLOOKUP(D846,'[2]stock-take'!$A:$E,4,FALSE)), "OUT OF STOCK", VLOOKUP(D846,'[2]stock-take'!$A:$E,4,FALSE)))</f>
        <v xml:space="preserve"> </v>
      </c>
      <c r="H846" s="48">
        <f>IF(ISNA(VLOOKUP(D846,'[2]stock-take'!$A:$E,3,FALSE)), 0, VLOOKUP(D846,'[2]stock-take'!$A:$E,3,FALSE))</f>
        <v>0</v>
      </c>
      <c r="I846" s="48" t="str">
        <f>IF(F846="", " ",IF(ISNA(VLOOKUP(D846,'[2]stock-take'!$G:$K,4,FALSE)), "OUT OF STOCK", VLOOKUP(D846,'[2]stock-take'!$G:$K,4,FALSE)))</f>
        <v xml:space="preserve"> </v>
      </c>
      <c r="J846" s="39">
        <f>IF(ISNA(VLOOKUP(D846,'[2]stock-take'!$G:$K,3,FALSE)), 0, VLOOKUP(D846,'[2]stock-take'!$G:$K,3,FALSE))</f>
        <v>0</v>
      </c>
      <c r="K846" s="49" t="str">
        <f>IF(F846="", " ", IF(ISNA(VLOOKUP(D846,'[2]stock-take'!$M:$Q,4,FALSE)), "OUT OF STOCK", VLOOKUP(D846,'[2]stock-take'!$M:$Q,4,FALSE)))</f>
        <v xml:space="preserve"> </v>
      </c>
      <c r="L846" s="47">
        <f>IF(ISNA(VLOOKUP(D846,'[2]stock-take'!$M:$Q,3,FALSE)), 0, VLOOKUP(D846,'[2]stock-take'!$M:$Q,3,FALSE))</f>
        <v>0</v>
      </c>
      <c r="M846" s="48" t="str">
        <f t="shared" si="40"/>
        <v xml:space="preserve"> </v>
      </c>
      <c r="N846" s="39" t="str">
        <f t="shared" si="41"/>
        <v xml:space="preserve"> </v>
      </c>
    </row>
    <row r="847" spans="1:14">
      <c r="A847" s="37">
        <f t="shared" si="39"/>
        <v>836</v>
      </c>
      <c r="G847" s="48" t="str">
        <f>IF(F847=""," ",IF(ISNA(VLOOKUP(D847,'[2]stock-take'!$A:$E,4,FALSE)), "OUT OF STOCK", VLOOKUP(D847,'[2]stock-take'!$A:$E,4,FALSE)))</f>
        <v xml:space="preserve"> </v>
      </c>
      <c r="H847" s="48">
        <f>IF(ISNA(VLOOKUP(D847,'[2]stock-take'!$A:$E,3,FALSE)), 0, VLOOKUP(D847,'[2]stock-take'!$A:$E,3,FALSE))</f>
        <v>0</v>
      </c>
      <c r="I847" s="48" t="str">
        <f>IF(F847="", " ",IF(ISNA(VLOOKUP(D847,'[2]stock-take'!$G:$K,4,FALSE)), "OUT OF STOCK", VLOOKUP(D847,'[2]stock-take'!$G:$K,4,FALSE)))</f>
        <v xml:space="preserve"> </v>
      </c>
      <c r="J847" s="39">
        <f>IF(ISNA(VLOOKUP(D847,'[2]stock-take'!$G:$K,3,FALSE)), 0, VLOOKUP(D847,'[2]stock-take'!$G:$K,3,FALSE))</f>
        <v>0</v>
      </c>
      <c r="K847" s="49" t="str">
        <f>IF(F847="", " ", IF(ISNA(VLOOKUP(D847,'[2]stock-take'!$M:$Q,4,FALSE)), "OUT OF STOCK", VLOOKUP(D847,'[2]stock-take'!$M:$Q,4,FALSE)))</f>
        <v xml:space="preserve"> </v>
      </c>
      <c r="L847" s="47">
        <f>IF(ISNA(VLOOKUP(D847,'[2]stock-take'!$M:$Q,3,FALSE)), 0, VLOOKUP(D847,'[2]stock-take'!$M:$Q,3,FALSE))</f>
        <v>0</v>
      </c>
      <c r="M847" s="48" t="str">
        <f t="shared" si="40"/>
        <v xml:space="preserve"> </v>
      </c>
      <c r="N847" s="39" t="str">
        <f t="shared" si="41"/>
        <v xml:space="preserve"> </v>
      </c>
    </row>
    <row r="848" spans="1:14">
      <c r="A848" s="37">
        <f t="shared" si="39"/>
        <v>837</v>
      </c>
      <c r="G848" s="48" t="str">
        <f>IF(F848=""," ",IF(ISNA(VLOOKUP(D848,'[2]stock-take'!$A:$E,4,FALSE)), "OUT OF STOCK", VLOOKUP(D848,'[2]stock-take'!$A:$E,4,FALSE)))</f>
        <v xml:space="preserve"> </v>
      </c>
      <c r="H848" s="48">
        <f>IF(ISNA(VLOOKUP(D848,'[2]stock-take'!$A:$E,3,FALSE)), 0, VLOOKUP(D848,'[2]stock-take'!$A:$E,3,FALSE))</f>
        <v>0</v>
      </c>
      <c r="I848" s="48" t="str">
        <f>IF(F848="", " ",IF(ISNA(VLOOKUP(D848,'[2]stock-take'!$G:$K,4,FALSE)), "OUT OF STOCK", VLOOKUP(D848,'[2]stock-take'!$G:$K,4,FALSE)))</f>
        <v xml:space="preserve"> </v>
      </c>
      <c r="J848" s="39">
        <f>IF(ISNA(VLOOKUP(D848,'[2]stock-take'!$G:$K,3,FALSE)), 0, VLOOKUP(D848,'[2]stock-take'!$G:$K,3,FALSE))</f>
        <v>0</v>
      </c>
      <c r="K848" s="49" t="str">
        <f>IF(F848="", " ", IF(ISNA(VLOOKUP(D848,'[2]stock-take'!$M:$Q,4,FALSE)), "OUT OF STOCK", VLOOKUP(D848,'[2]stock-take'!$M:$Q,4,FALSE)))</f>
        <v xml:space="preserve"> </v>
      </c>
      <c r="L848" s="47">
        <f>IF(ISNA(VLOOKUP(D848,'[2]stock-take'!$M:$Q,3,FALSE)), 0, VLOOKUP(D848,'[2]stock-take'!$M:$Q,3,FALSE))</f>
        <v>0</v>
      </c>
      <c r="M848" s="48" t="str">
        <f t="shared" si="40"/>
        <v xml:space="preserve"> </v>
      </c>
      <c r="N848" s="39" t="str">
        <f t="shared" si="41"/>
        <v xml:space="preserve"> </v>
      </c>
    </row>
    <row r="849" spans="1:14">
      <c r="A849" s="37">
        <f t="shared" si="39"/>
        <v>838</v>
      </c>
      <c r="G849" s="48" t="str">
        <f>IF(F849=""," ",IF(ISNA(VLOOKUP(D849,'[2]stock-take'!$A:$E,4,FALSE)), "OUT OF STOCK", VLOOKUP(D849,'[2]stock-take'!$A:$E,4,FALSE)))</f>
        <v xml:space="preserve"> </v>
      </c>
      <c r="H849" s="48">
        <f>IF(ISNA(VLOOKUP(D849,'[2]stock-take'!$A:$E,3,FALSE)), 0, VLOOKUP(D849,'[2]stock-take'!$A:$E,3,FALSE))</f>
        <v>0</v>
      </c>
      <c r="I849" s="48" t="str">
        <f>IF(F849="", " ",IF(ISNA(VLOOKUP(D849,'[2]stock-take'!$G:$K,4,FALSE)), "OUT OF STOCK", VLOOKUP(D849,'[2]stock-take'!$G:$K,4,FALSE)))</f>
        <v xml:space="preserve"> </v>
      </c>
      <c r="J849" s="39">
        <f>IF(ISNA(VLOOKUP(D849,'[2]stock-take'!$G:$K,3,FALSE)), 0, VLOOKUP(D849,'[2]stock-take'!$G:$K,3,FALSE))</f>
        <v>0</v>
      </c>
      <c r="K849" s="49" t="str">
        <f>IF(F849="", " ", IF(ISNA(VLOOKUP(D849,'[2]stock-take'!$M:$Q,4,FALSE)), "OUT OF STOCK", VLOOKUP(D849,'[2]stock-take'!$M:$Q,4,FALSE)))</f>
        <v xml:space="preserve"> </v>
      </c>
      <c r="L849" s="47">
        <f>IF(ISNA(VLOOKUP(D849,'[2]stock-take'!$M:$Q,3,FALSE)), 0, VLOOKUP(D849,'[2]stock-take'!$M:$Q,3,FALSE))</f>
        <v>0</v>
      </c>
      <c r="M849" s="48" t="str">
        <f t="shared" si="40"/>
        <v xml:space="preserve"> </v>
      </c>
      <c r="N849" s="39" t="str">
        <f t="shared" si="41"/>
        <v xml:space="preserve"> </v>
      </c>
    </row>
    <row r="850" spans="1:14">
      <c r="A850" s="37">
        <f t="shared" si="39"/>
        <v>839</v>
      </c>
      <c r="G850" s="48" t="str">
        <f>IF(F850=""," ",IF(ISNA(VLOOKUP(D850,'[2]stock-take'!$A:$E,4,FALSE)), "OUT OF STOCK", VLOOKUP(D850,'[2]stock-take'!$A:$E,4,FALSE)))</f>
        <v xml:space="preserve"> </v>
      </c>
      <c r="H850" s="48">
        <f>IF(ISNA(VLOOKUP(D850,'[2]stock-take'!$A:$E,3,FALSE)), 0, VLOOKUP(D850,'[2]stock-take'!$A:$E,3,FALSE))</f>
        <v>0</v>
      </c>
      <c r="I850" s="48" t="str">
        <f>IF(F850="", " ",IF(ISNA(VLOOKUP(D850,'[2]stock-take'!$G:$K,4,FALSE)), "OUT OF STOCK", VLOOKUP(D850,'[2]stock-take'!$G:$K,4,FALSE)))</f>
        <v xml:space="preserve"> </v>
      </c>
      <c r="J850" s="39">
        <f>IF(ISNA(VLOOKUP(D850,'[2]stock-take'!$G:$K,3,FALSE)), 0, VLOOKUP(D850,'[2]stock-take'!$G:$K,3,FALSE))</f>
        <v>0</v>
      </c>
      <c r="K850" s="49" t="str">
        <f>IF(F850="", " ", IF(ISNA(VLOOKUP(D850,'[2]stock-take'!$M:$Q,4,FALSE)), "OUT OF STOCK", VLOOKUP(D850,'[2]stock-take'!$M:$Q,4,FALSE)))</f>
        <v xml:space="preserve"> </v>
      </c>
      <c r="L850" s="47">
        <f>IF(ISNA(VLOOKUP(D850,'[2]stock-take'!$M:$Q,3,FALSE)), 0, VLOOKUP(D850,'[2]stock-take'!$M:$Q,3,FALSE))</f>
        <v>0</v>
      </c>
      <c r="M850" s="48" t="str">
        <f t="shared" si="40"/>
        <v xml:space="preserve"> </v>
      </c>
      <c r="N850" s="39" t="str">
        <f t="shared" si="41"/>
        <v xml:space="preserve"> </v>
      </c>
    </row>
    <row r="851" spans="1:14">
      <c r="A851" s="37">
        <f t="shared" si="39"/>
        <v>840</v>
      </c>
      <c r="G851" s="48" t="str">
        <f>IF(F851=""," ",IF(ISNA(VLOOKUP(D851,'[2]stock-take'!$A:$E,4,FALSE)), "OUT OF STOCK", VLOOKUP(D851,'[2]stock-take'!$A:$E,4,FALSE)))</f>
        <v xml:space="preserve"> </v>
      </c>
      <c r="H851" s="48">
        <f>IF(ISNA(VLOOKUP(D851,'[2]stock-take'!$A:$E,3,FALSE)), 0, VLOOKUP(D851,'[2]stock-take'!$A:$E,3,FALSE))</f>
        <v>0</v>
      </c>
      <c r="I851" s="48" t="str">
        <f>IF(F851="", " ",IF(ISNA(VLOOKUP(D851,'[2]stock-take'!$G:$K,4,FALSE)), "OUT OF STOCK", VLOOKUP(D851,'[2]stock-take'!$G:$K,4,FALSE)))</f>
        <v xml:space="preserve"> </v>
      </c>
      <c r="J851" s="39">
        <f>IF(ISNA(VLOOKUP(D851,'[2]stock-take'!$G:$K,3,FALSE)), 0, VLOOKUP(D851,'[2]stock-take'!$G:$K,3,FALSE))</f>
        <v>0</v>
      </c>
      <c r="K851" s="49" t="str">
        <f>IF(F851="", " ", IF(ISNA(VLOOKUP(D851,'[2]stock-take'!$M:$Q,4,FALSE)), "OUT OF STOCK", VLOOKUP(D851,'[2]stock-take'!$M:$Q,4,FALSE)))</f>
        <v xml:space="preserve"> </v>
      </c>
      <c r="L851" s="47">
        <f>IF(ISNA(VLOOKUP(D851,'[2]stock-take'!$M:$Q,3,FALSE)), 0, VLOOKUP(D851,'[2]stock-take'!$M:$Q,3,FALSE))</f>
        <v>0</v>
      </c>
      <c r="M851" s="48" t="str">
        <f t="shared" si="40"/>
        <v xml:space="preserve"> </v>
      </c>
      <c r="N851" s="39" t="str">
        <f t="shared" si="41"/>
        <v xml:space="preserve"> </v>
      </c>
    </row>
    <row r="852" spans="1:14">
      <c r="A852" s="37">
        <f t="shared" si="39"/>
        <v>841</v>
      </c>
      <c r="G852" s="48" t="str">
        <f>IF(F852=""," ",IF(ISNA(VLOOKUP(D852,'[2]stock-take'!$A:$E,4,FALSE)), "OUT OF STOCK", VLOOKUP(D852,'[2]stock-take'!$A:$E,4,FALSE)))</f>
        <v xml:space="preserve"> </v>
      </c>
      <c r="H852" s="48">
        <f>IF(ISNA(VLOOKUP(D852,'[2]stock-take'!$A:$E,3,FALSE)), 0, VLOOKUP(D852,'[2]stock-take'!$A:$E,3,FALSE))</f>
        <v>0</v>
      </c>
      <c r="I852" s="48" t="str">
        <f>IF(F852="", " ",IF(ISNA(VLOOKUP(D852,'[2]stock-take'!$G:$K,4,FALSE)), "OUT OF STOCK", VLOOKUP(D852,'[2]stock-take'!$G:$K,4,FALSE)))</f>
        <v xml:space="preserve"> </v>
      </c>
      <c r="J852" s="39">
        <f>IF(ISNA(VLOOKUP(D852,'[2]stock-take'!$G:$K,3,FALSE)), 0, VLOOKUP(D852,'[2]stock-take'!$G:$K,3,FALSE))</f>
        <v>0</v>
      </c>
      <c r="K852" s="49" t="str">
        <f>IF(F852="", " ", IF(ISNA(VLOOKUP(D852,'[2]stock-take'!$M:$Q,4,FALSE)), "OUT OF STOCK", VLOOKUP(D852,'[2]stock-take'!$M:$Q,4,FALSE)))</f>
        <v xml:space="preserve"> </v>
      </c>
      <c r="L852" s="47">
        <f>IF(ISNA(VLOOKUP(D852,'[2]stock-take'!$M:$Q,3,FALSE)), 0, VLOOKUP(D852,'[2]stock-take'!$M:$Q,3,FALSE))</f>
        <v>0</v>
      </c>
      <c r="M852" s="48" t="str">
        <f t="shared" si="40"/>
        <v xml:space="preserve"> </v>
      </c>
      <c r="N852" s="39" t="str">
        <f t="shared" si="41"/>
        <v xml:space="preserve"> </v>
      </c>
    </row>
    <row r="853" spans="1:14">
      <c r="A853" s="37">
        <f t="shared" si="39"/>
        <v>842</v>
      </c>
      <c r="G853" s="48" t="str">
        <f>IF(F853=""," ",IF(ISNA(VLOOKUP(D853,'[2]stock-take'!$A:$E,4,FALSE)), "OUT OF STOCK", VLOOKUP(D853,'[2]stock-take'!$A:$E,4,FALSE)))</f>
        <v xml:space="preserve"> </v>
      </c>
      <c r="H853" s="48">
        <f>IF(ISNA(VLOOKUP(D853,'[2]stock-take'!$A:$E,3,FALSE)), 0, VLOOKUP(D853,'[2]stock-take'!$A:$E,3,FALSE))</f>
        <v>0</v>
      </c>
      <c r="I853" s="48" t="str">
        <f>IF(F853="", " ",IF(ISNA(VLOOKUP(D853,'[2]stock-take'!$G:$K,4,FALSE)), "OUT OF STOCK", VLOOKUP(D853,'[2]stock-take'!$G:$K,4,FALSE)))</f>
        <v xml:space="preserve"> </v>
      </c>
      <c r="J853" s="39">
        <f>IF(ISNA(VLOOKUP(D853,'[2]stock-take'!$G:$K,3,FALSE)), 0, VLOOKUP(D853,'[2]stock-take'!$G:$K,3,FALSE))</f>
        <v>0</v>
      </c>
      <c r="K853" s="49" t="str">
        <f>IF(F853="", " ", IF(ISNA(VLOOKUP(D853,'[2]stock-take'!$M:$Q,4,FALSE)), "OUT OF STOCK", VLOOKUP(D853,'[2]stock-take'!$M:$Q,4,FALSE)))</f>
        <v xml:space="preserve"> </v>
      </c>
      <c r="L853" s="47">
        <f>IF(ISNA(VLOOKUP(D853,'[2]stock-take'!$M:$Q,3,FALSE)), 0, VLOOKUP(D853,'[2]stock-take'!$M:$Q,3,FALSE))</f>
        <v>0</v>
      </c>
      <c r="M853" s="48" t="str">
        <f t="shared" si="40"/>
        <v xml:space="preserve"> </v>
      </c>
      <c r="N853" s="39" t="str">
        <f t="shared" si="41"/>
        <v xml:space="preserve"> </v>
      </c>
    </row>
    <row r="854" spans="1:14">
      <c r="A854" s="37">
        <f t="shared" si="39"/>
        <v>843</v>
      </c>
      <c r="G854" s="48" t="str">
        <f>IF(F854=""," ",IF(ISNA(VLOOKUP(D854,'[2]stock-take'!$A:$E,4,FALSE)), "OUT OF STOCK", VLOOKUP(D854,'[2]stock-take'!$A:$E,4,FALSE)))</f>
        <v xml:space="preserve"> </v>
      </c>
      <c r="H854" s="48">
        <f>IF(ISNA(VLOOKUP(D854,'[2]stock-take'!$A:$E,3,FALSE)), 0, VLOOKUP(D854,'[2]stock-take'!$A:$E,3,FALSE))</f>
        <v>0</v>
      </c>
      <c r="I854" s="48" t="str">
        <f>IF(F854="", " ",IF(ISNA(VLOOKUP(D854,'[2]stock-take'!$G:$K,4,FALSE)), "OUT OF STOCK", VLOOKUP(D854,'[2]stock-take'!$G:$K,4,FALSE)))</f>
        <v xml:space="preserve"> </v>
      </c>
      <c r="J854" s="39">
        <f>IF(ISNA(VLOOKUP(D854,'[2]stock-take'!$G:$K,3,FALSE)), 0, VLOOKUP(D854,'[2]stock-take'!$G:$K,3,FALSE))</f>
        <v>0</v>
      </c>
      <c r="K854" s="49" t="str">
        <f>IF(F854="", " ", IF(ISNA(VLOOKUP(D854,'[2]stock-take'!$M:$Q,4,FALSE)), "OUT OF STOCK", VLOOKUP(D854,'[2]stock-take'!$M:$Q,4,FALSE)))</f>
        <v xml:space="preserve"> </v>
      </c>
      <c r="L854" s="47">
        <f>IF(ISNA(VLOOKUP(D854,'[2]stock-take'!$M:$Q,3,FALSE)), 0, VLOOKUP(D854,'[2]stock-take'!$M:$Q,3,FALSE))</f>
        <v>0</v>
      </c>
      <c r="M854" s="48" t="str">
        <f t="shared" si="40"/>
        <v xml:space="preserve"> </v>
      </c>
      <c r="N854" s="39" t="str">
        <f t="shared" si="41"/>
        <v xml:space="preserve"> </v>
      </c>
    </row>
    <row r="855" spans="1:14">
      <c r="A855" s="37">
        <f t="shared" si="39"/>
        <v>844</v>
      </c>
      <c r="G855" s="48" t="str">
        <f>IF(F855=""," ",IF(ISNA(VLOOKUP(D855,'[2]stock-take'!$A:$E,4,FALSE)), "OUT OF STOCK", VLOOKUP(D855,'[2]stock-take'!$A:$E,4,FALSE)))</f>
        <v xml:space="preserve"> </v>
      </c>
      <c r="H855" s="48">
        <f>IF(ISNA(VLOOKUP(D855,'[2]stock-take'!$A:$E,3,FALSE)), 0, VLOOKUP(D855,'[2]stock-take'!$A:$E,3,FALSE))</f>
        <v>0</v>
      </c>
      <c r="I855" s="48" t="str">
        <f>IF(F855="", " ",IF(ISNA(VLOOKUP(D855,'[2]stock-take'!$G:$K,4,FALSE)), "OUT OF STOCK", VLOOKUP(D855,'[2]stock-take'!$G:$K,4,FALSE)))</f>
        <v xml:space="preserve"> </v>
      </c>
      <c r="J855" s="39">
        <f>IF(ISNA(VLOOKUP(D855,'[2]stock-take'!$G:$K,3,FALSE)), 0, VLOOKUP(D855,'[2]stock-take'!$G:$K,3,FALSE))</f>
        <v>0</v>
      </c>
      <c r="K855" s="49" t="str">
        <f>IF(F855="", " ", IF(ISNA(VLOOKUP(D855,'[2]stock-take'!$M:$Q,4,FALSE)), "OUT OF STOCK", VLOOKUP(D855,'[2]stock-take'!$M:$Q,4,FALSE)))</f>
        <v xml:space="preserve"> </v>
      </c>
      <c r="L855" s="47">
        <f>IF(ISNA(VLOOKUP(D855,'[2]stock-take'!$M:$Q,3,FALSE)), 0, VLOOKUP(D855,'[2]stock-take'!$M:$Q,3,FALSE))</f>
        <v>0</v>
      </c>
      <c r="M855" s="48" t="str">
        <f t="shared" si="40"/>
        <v xml:space="preserve"> </v>
      </c>
      <c r="N855" s="39" t="str">
        <f t="shared" si="41"/>
        <v xml:space="preserve"> </v>
      </c>
    </row>
    <row r="856" spans="1:14">
      <c r="A856" s="37">
        <f t="shared" si="39"/>
        <v>845</v>
      </c>
      <c r="G856" s="48" t="str">
        <f>IF(F856=""," ",IF(ISNA(VLOOKUP(D856,'[2]stock-take'!$A:$E,4,FALSE)), "OUT OF STOCK", VLOOKUP(D856,'[2]stock-take'!$A:$E,4,FALSE)))</f>
        <v xml:space="preserve"> </v>
      </c>
      <c r="H856" s="48">
        <f>IF(ISNA(VLOOKUP(D856,'[2]stock-take'!$A:$E,3,FALSE)), 0, VLOOKUP(D856,'[2]stock-take'!$A:$E,3,FALSE))</f>
        <v>0</v>
      </c>
      <c r="I856" s="48" t="str">
        <f>IF(F856="", " ",IF(ISNA(VLOOKUP(D856,'[2]stock-take'!$G:$K,4,FALSE)), "OUT OF STOCK", VLOOKUP(D856,'[2]stock-take'!$G:$K,4,FALSE)))</f>
        <v xml:space="preserve"> </v>
      </c>
      <c r="J856" s="39">
        <f>IF(ISNA(VLOOKUP(D856,'[2]stock-take'!$G:$K,3,FALSE)), 0, VLOOKUP(D856,'[2]stock-take'!$G:$K,3,FALSE))</f>
        <v>0</v>
      </c>
      <c r="K856" s="49" t="str">
        <f>IF(F856="", " ", IF(ISNA(VLOOKUP(D856,'[2]stock-take'!$M:$Q,4,FALSE)), "OUT OF STOCK", VLOOKUP(D856,'[2]stock-take'!$M:$Q,4,FALSE)))</f>
        <v xml:space="preserve"> </v>
      </c>
      <c r="L856" s="47">
        <f>IF(ISNA(VLOOKUP(D856,'[2]stock-take'!$M:$Q,3,FALSE)), 0, VLOOKUP(D856,'[2]stock-take'!$M:$Q,3,FALSE))</f>
        <v>0</v>
      </c>
      <c r="M856" s="48" t="str">
        <f t="shared" si="40"/>
        <v xml:space="preserve"> </v>
      </c>
      <c r="N856" s="39" t="str">
        <f t="shared" si="41"/>
        <v xml:space="preserve"> </v>
      </c>
    </row>
    <row r="857" spans="1:14">
      <c r="A857" s="37">
        <f t="shared" si="39"/>
        <v>846</v>
      </c>
      <c r="G857" s="48" t="str">
        <f>IF(F857=""," ",IF(ISNA(VLOOKUP(D857,'[2]stock-take'!$A:$E,4,FALSE)), "OUT OF STOCK", VLOOKUP(D857,'[2]stock-take'!$A:$E,4,FALSE)))</f>
        <v xml:space="preserve"> </v>
      </c>
      <c r="H857" s="48">
        <f>IF(ISNA(VLOOKUP(D857,'[2]stock-take'!$A:$E,3,FALSE)), 0, VLOOKUP(D857,'[2]stock-take'!$A:$E,3,FALSE))</f>
        <v>0</v>
      </c>
      <c r="I857" s="48" t="str">
        <f>IF(F857="", " ",IF(ISNA(VLOOKUP(D857,'[2]stock-take'!$G:$K,4,FALSE)), "OUT OF STOCK", VLOOKUP(D857,'[2]stock-take'!$G:$K,4,FALSE)))</f>
        <v xml:space="preserve"> </v>
      </c>
      <c r="J857" s="39">
        <f>IF(ISNA(VLOOKUP(D857,'[2]stock-take'!$G:$K,3,FALSE)), 0, VLOOKUP(D857,'[2]stock-take'!$G:$K,3,FALSE))</f>
        <v>0</v>
      </c>
      <c r="K857" s="49" t="str">
        <f>IF(F857="", " ", IF(ISNA(VLOOKUP(D857,'[2]stock-take'!$M:$Q,4,FALSE)), "OUT OF STOCK", VLOOKUP(D857,'[2]stock-take'!$M:$Q,4,FALSE)))</f>
        <v xml:space="preserve"> </v>
      </c>
      <c r="L857" s="47">
        <f>IF(ISNA(VLOOKUP(D857,'[2]stock-take'!$M:$Q,3,FALSE)), 0, VLOOKUP(D857,'[2]stock-take'!$M:$Q,3,FALSE))</f>
        <v>0</v>
      </c>
      <c r="M857" s="48" t="str">
        <f t="shared" si="40"/>
        <v xml:space="preserve"> </v>
      </c>
      <c r="N857" s="39" t="str">
        <f t="shared" si="41"/>
        <v xml:space="preserve"> </v>
      </c>
    </row>
    <row r="858" spans="1:14">
      <c r="A858" s="37">
        <f t="shared" si="39"/>
        <v>847</v>
      </c>
      <c r="G858" s="48" t="str">
        <f>IF(F858=""," ",IF(ISNA(VLOOKUP(D858,'[2]stock-take'!$A:$E,4,FALSE)), "OUT OF STOCK", VLOOKUP(D858,'[2]stock-take'!$A:$E,4,FALSE)))</f>
        <v xml:space="preserve"> </v>
      </c>
      <c r="H858" s="48">
        <f>IF(ISNA(VLOOKUP(D858,'[2]stock-take'!$A:$E,3,FALSE)), 0, VLOOKUP(D858,'[2]stock-take'!$A:$E,3,FALSE))</f>
        <v>0</v>
      </c>
      <c r="I858" s="48" t="str">
        <f>IF(F858="", " ",IF(ISNA(VLOOKUP(D858,'[2]stock-take'!$G:$K,4,FALSE)), "OUT OF STOCK", VLOOKUP(D858,'[2]stock-take'!$G:$K,4,FALSE)))</f>
        <v xml:space="preserve"> </v>
      </c>
      <c r="J858" s="39">
        <f>IF(ISNA(VLOOKUP(D858,'[2]stock-take'!$G:$K,3,FALSE)), 0, VLOOKUP(D858,'[2]stock-take'!$G:$K,3,FALSE))</f>
        <v>0</v>
      </c>
      <c r="K858" s="49" t="str">
        <f>IF(F858="", " ", IF(ISNA(VLOOKUP(D858,'[2]stock-take'!$M:$Q,4,FALSE)), "OUT OF STOCK", VLOOKUP(D858,'[2]stock-take'!$M:$Q,4,FALSE)))</f>
        <v xml:space="preserve"> </v>
      </c>
      <c r="L858" s="47">
        <f>IF(ISNA(VLOOKUP(D858,'[2]stock-take'!$M:$Q,3,FALSE)), 0, VLOOKUP(D858,'[2]stock-take'!$M:$Q,3,FALSE))</f>
        <v>0</v>
      </c>
      <c r="M858" s="48" t="str">
        <f t="shared" si="40"/>
        <v xml:space="preserve"> </v>
      </c>
      <c r="N858" s="39" t="str">
        <f t="shared" si="41"/>
        <v xml:space="preserve"> </v>
      </c>
    </row>
    <row r="859" spans="1:14">
      <c r="A859" s="37">
        <f t="shared" si="39"/>
        <v>848</v>
      </c>
      <c r="G859" s="48" t="str">
        <f>IF(F859=""," ",IF(ISNA(VLOOKUP(D859,'[2]stock-take'!$A:$E,4,FALSE)), "OUT OF STOCK", VLOOKUP(D859,'[2]stock-take'!$A:$E,4,FALSE)))</f>
        <v xml:space="preserve"> </v>
      </c>
      <c r="H859" s="48">
        <f>IF(ISNA(VLOOKUP(D859,'[2]stock-take'!$A:$E,3,FALSE)), 0, VLOOKUP(D859,'[2]stock-take'!$A:$E,3,FALSE))</f>
        <v>0</v>
      </c>
      <c r="I859" s="48" t="str">
        <f>IF(F859="", " ",IF(ISNA(VLOOKUP(D859,'[2]stock-take'!$G:$K,4,FALSE)), "OUT OF STOCK", VLOOKUP(D859,'[2]stock-take'!$G:$K,4,FALSE)))</f>
        <v xml:space="preserve"> </v>
      </c>
      <c r="J859" s="39">
        <f>IF(ISNA(VLOOKUP(D859,'[2]stock-take'!$G:$K,3,FALSE)), 0, VLOOKUP(D859,'[2]stock-take'!$G:$K,3,FALSE))</f>
        <v>0</v>
      </c>
      <c r="K859" s="49" t="str">
        <f>IF(F859="", " ", IF(ISNA(VLOOKUP(D859,'[2]stock-take'!$M:$Q,4,FALSE)), "OUT OF STOCK", VLOOKUP(D859,'[2]stock-take'!$M:$Q,4,FALSE)))</f>
        <v xml:space="preserve"> </v>
      </c>
      <c r="L859" s="47">
        <f>IF(ISNA(VLOOKUP(D859,'[2]stock-take'!$M:$Q,3,FALSE)), 0, VLOOKUP(D859,'[2]stock-take'!$M:$Q,3,FALSE))</f>
        <v>0</v>
      </c>
      <c r="M859" s="48" t="str">
        <f t="shared" si="40"/>
        <v xml:space="preserve"> </v>
      </c>
      <c r="N859" s="39" t="str">
        <f t="shared" si="41"/>
        <v xml:space="preserve"> </v>
      </c>
    </row>
    <row r="860" spans="1:14">
      <c r="A860" s="37">
        <f t="shared" si="39"/>
        <v>849</v>
      </c>
      <c r="G860" s="48" t="str">
        <f>IF(F860=""," ",IF(ISNA(VLOOKUP(D860,'[2]stock-take'!$A:$E,4,FALSE)), "OUT OF STOCK", VLOOKUP(D860,'[2]stock-take'!$A:$E,4,FALSE)))</f>
        <v xml:space="preserve"> </v>
      </c>
      <c r="H860" s="48">
        <f>IF(ISNA(VLOOKUP(D860,'[2]stock-take'!$A:$E,3,FALSE)), 0, VLOOKUP(D860,'[2]stock-take'!$A:$E,3,FALSE))</f>
        <v>0</v>
      </c>
      <c r="I860" s="48" t="str">
        <f>IF(F860="", " ",IF(ISNA(VLOOKUP(D860,'[2]stock-take'!$G:$K,4,FALSE)), "OUT OF STOCK", VLOOKUP(D860,'[2]stock-take'!$G:$K,4,FALSE)))</f>
        <v xml:space="preserve"> </v>
      </c>
      <c r="J860" s="39">
        <f>IF(ISNA(VLOOKUP(D860,'[2]stock-take'!$G:$K,3,FALSE)), 0, VLOOKUP(D860,'[2]stock-take'!$G:$K,3,FALSE))</f>
        <v>0</v>
      </c>
      <c r="K860" s="49" t="str">
        <f>IF(F860="", " ", IF(ISNA(VLOOKUP(D860,'[2]stock-take'!$M:$Q,4,FALSE)), "OUT OF STOCK", VLOOKUP(D860,'[2]stock-take'!$M:$Q,4,FALSE)))</f>
        <v xml:space="preserve"> </v>
      </c>
      <c r="L860" s="47">
        <f>IF(ISNA(VLOOKUP(D860,'[2]stock-take'!$M:$Q,3,FALSE)), 0, VLOOKUP(D860,'[2]stock-take'!$M:$Q,3,FALSE))</f>
        <v>0</v>
      </c>
      <c r="M860" s="48" t="str">
        <f t="shared" si="40"/>
        <v xml:space="preserve"> </v>
      </c>
      <c r="N860" s="39" t="str">
        <f t="shared" si="41"/>
        <v xml:space="preserve"> </v>
      </c>
    </row>
    <row r="861" spans="1:14">
      <c r="A861" s="37">
        <f t="shared" si="39"/>
        <v>850</v>
      </c>
      <c r="G861" s="48" t="str">
        <f>IF(F861=""," ",IF(ISNA(VLOOKUP(D861,'[2]stock-take'!$A:$E,4,FALSE)), "OUT OF STOCK", VLOOKUP(D861,'[2]stock-take'!$A:$E,4,FALSE)))</f>
        <v xml:space="preserve"> </v>
      </c>
      <c r="H861" s="48">
        <f>IF(ISNA(VLOOKUP(D861,'[2]stock-take'!$A:$E,3,FALSE)), 0, VLOOKUP(D861,'[2]stock-take'!$A:$E,3,FALSE))</f>
        <v>0</v>
      </c>
      <c r="I861" s="48" t="str">
        <f>IF(F861="", " ",IF(ISNA(VLOOKUP(D861,'[2]stock-take'!$G:$K,4,FALSE)), "OUT OF STOCK", VLOOKUP(D861,'[2]stock-take'!$G:$K,4,FALSE)))</f>
        <v xml:space="preserve"> </v>
      </c>
      <c r="J861" s="39">
        <f>IF(ISNA(VLOOKUP(D861,'[2]stock-take'!$G:$K,3,FALSE)), 0, VLOOKUP(D861,'[2]stock-take'!$G:$K,3,FALSE))</f>
        <v>0</v>
      </c>
      <c r="K861" s="49" t="str">
        <f>IF(F861="", " ", IF(ISNA(VLOOKUP(D861,'[2]stock-take'!$M:$Q,4,FALSE)), "OUT OF STOCK", VLOOKUP(D861,'[2]stock-take'!$M:$Q,4,FALSE)))</f>
        <v xml:space="preserve"> </v>
      </c>
      <c r="L861" s="47">
        <f>IF(ISNA(VLOOKUP(D861,'[2]stock-take'!$M:$Q,3,FALSE)), 0, VLOOKUP(D861,'[2]stock-take'!$M:$Q,3,FALSE))</f>
        <v>0</v>
      </c>
      <c r="M861" s="48" t="str">
        <f t="shared" si="40"/>
        <v xml:space="preserve"> </v>
      </c>
      <c r="N861" s="39" t="str">
        <f t="shared" si="41"/>
        <v xml:space="preserve"> </v>
      </c>
    </row>
    <row r="862" spans="1:14">
      <c r="A862" s="37">
        <f t="shared" si="39"/>
        <v>851</v>
      </c>
      <c r="G862" s="48" t="str">
        <f>IF(F862=""," ",IF(ISNA(VLOOKUP(D862,'[2]stock-take'!$A:$E,4,FALSE)), "OUT OF STOCK", VLOOKUP(D862,'[2]stock-take'!$A:$E,4,FALSE)))</f>
        <v xml:space="preserve"> </v>
      </c>
      <c r="H862" s="48">
        <f>IF(ISNA(VLOOKUP(D862,'[2]stock-take'!$A:$E,3,FALSE)), 0, VLOOKUP(D862,'[2]stock-take'!$A:$E,3,FALSE))</f>
        <v>0</v>
      </c>
      <c r="I862" s="48" t="str">
        <f>IF(F862="", " ",IF(ISNA(VLOOKUP(D862,'[2]stock-take'!$G:$K,4,FALSE)), "OUT OF STOCK", VLOOKUP(D862,'[2]stock-take'!$G:$K,4,FALSE)))</f>
        <v xml:space="preserve"> </v>
      </c>
      <c r="J862" s="39">
        <f>IF(ISNA(VLOOKUP(D862,'[2]stock-take'!$G:$K,3,FALSE)), 0, VLOOKUP(D862,'[2]stock-take'!$G:$K,3,FALSE))</f>
        <v>0</v>
      </c>
      <c r="K862" s="49" t="str">
        <f>IF(F862="", " ", IF(ISNA(VLOOKUP(D862,'[2]stock-take'!$M:$Q,4,FALSE)), "OUT OF STOCK", VLOOKUP(D862,'[2]stock-take'!$M:$Q,4,FALSE)))</f>
        <v xml:space="preserve"> </v>
      </c>
      <c r="L862" s="47">
        <f>IF(ISNA(VLOOKUP(D862,'[2]stock-take'!$M:$Q,3,FALSE)), 0, VLOOKUP(D862,'[2]stock-take'!$M:$Q,3,FALSE))</f>
        <v>0</v>
      </c>
      <c r="M862" s="48" t="str">
        <f t="shared" si="40"/>
        <v xml:space="preserve"> </v>
      </c>
      <c r="N862" s="39" t="str">
        <f t="shared" si="41"/>
        <v xml:space="preserve"> </v>
      </c>
    </row>
    <row r="863" spans="1:14">
      <c r="A863" s="37">
        <f t="shared" si="39"/>
        <v>852</v>
      </c>
      <c r="G863" s="48" t="str">
        <f>IF(F863=""," ",IF(ISNA(VLOOKUP(D863,'[2]stock-take'!$A:$E,4,FALSE)), "OUT OF STOCK", VLOOKUP(D863,'[2]stock-take'!$A:$E,4,FALSE)))</f>
        <v xml:space="preserve"> </v>
      </c>
      <c r="H863" s="48">
        <f>IF(ISNA(VLOOKUP(D863,'[2]stock-take'!$A:$E,3,FALSE)), 0, VLOOKUP(D863,'[2]stock-take'!$A:$E,3,FALSE))</f>
        <v>0</v>
      </c>
      <c r="I863" s="48" t="str">
        <f>IF(F863="", " ",IF(ISNA(VLOOKUP(D863,'[2]stock-take'!$G:$K,4,FALSE)), "OUT OF STOCK", VLOOKUP(D863,'[2]stock-take'!$G:$K,4,FALSE)))</f>
        <v xml:space="preserve"> </v>
      </c>
      <c r="J863" s="39">
        <f>IF(ISNA(VLOOKUP(D863,'[2]stock-take'!$G:$K,3,FALSE)), 0, VLOOKUP(D863,'[2]stock-take'!$G:$K,3,FALSE))</f>
        <v>0</v>
      </c>
      <c r="K863" s="49" t="str">
        <f>IF(F863="", " ", IF(ISNA(VLOOKUP(D863,'[2]stock-take'!$M:$Q,4,FALSE)), "OUT OF STOCK", VLOOKUP(D863,'[2]stock-take'!$M:$Q,4,FALSE)))</f>
        <v xml:space="preserve"> </v>
      </c>
      <c r="L863" s="47">
        <f>IF(ISNA(VLOOKUP(D863,'[2]stock-take'!$M:$Q,3,FALSE)), 0, VLOOKUP(D863,'[2]stock-take'!$M:$Q,3,FALSE))</f>
        <v>0</v>
      </c>
      <c r="M863" s="48" t="str">
        <f t="shared" si="40"/>
        <v xml:space="preserve"> </v>
      </c>
      <c r="N863" s="39" t="str">
        <f t="shared" si="41"/>
        <v xml:space="preserve"> </v>
      </c>
    </row>
    <row r="864" spans="1:14">
      <c r="A864" s="37">
        <f t="shared" si="39"/>
        <v>853</v>
      </c>
      <c r="G864" s="48" t="str">
        <f>IF(F864=""," ",IF(ISNA(VLOOKUP(D864,'[2]stock-take'!$A:$E,4,FALSE)), "OUT OF STOCK", VLOOKUP(D864,'[2]stock-take'!$A:$E,4,FALSE)))</f>
        <v xml:space="preserve"> </v>
      </c>
      <c r="H864" s="48">
        <f>IF(ISNA(VLOOKUP(D864,'[2]stock-take'!$A:$E,3,FALSE)), 0, VLOOKUP(D864,'[2]stock-take'!$A:$E,3,FALSE))</f>
        <v>0</v>
      </c>
      <c r="I864" s="48" t="str">
        <f>IF(F864="", " ",IF(ISNA(VLOOKUP(D864,'[2]stock-take'!$G:$K,4,FALSE)), "OUT OF STOCK", VLOOKUP(D864,'[2]stock-take'!$G:$K,4,FALSE)))</f>
        <v xml:space="preserve"> </v>
      </c>
      <c r="J864" s="39">
        <f>IF(ISNA(VLOOKUP(D864,'[2]stock-take'!$G:$K,3,FALSE)), 0, VLOOKUP(D864,'[2]stock-take'!$G:$K,3,FALSE))</f>
        <v>0</v>
      </c>
      <c r="K864" s="49" t="str">
        <f>IF(F864="", " ", IF(ISNA(VLOOKUP(D864,'[2]stock-take'!$M:$Q,4,FALSE)), "OUT OF STOCK", VLOOKUP(D864,'[2]stock-take'!$M:$Q,4,FALSE)))</f>
        <v xml:space="preserve"> </v>
      </c>
      <c r="L864" s="47">
        <f>IF(ISNA(VLOOKUP(D864,'[2]stock-take'!$M:$Q,3,FALSE)), 0, VLOOKUP(D864,'[2]stock-take'!$M:$Q,3,FALSE))</f>
        <v>0</v>
      </c>
      <c r="M864" s="48" t="str">
        <f t="shared" si="40"/>
        <v xml:space="preserve"> </v>
      </c>
      <c r="N864" s="39" t="str">
        <f t="shared" si="41"/>
        <v xml:space="preserve"> </v>
      </c>
    </row>
    <row r="865" spans="1:14">
      <c r="A865" s="37">
        <f t="shared" si="39"/>
        <v>854</v>
      </c>
      <c r="G865" s="48" t="str">
        <f>IF(F865=""," ",IF(ISNA(VLOOKUP(D865,'[2]stock-take'!$A:$E,4,FALSE)), "OUT OF STOCK", VLOOKUP(D865,'[2]stock-take'!$A:$E,4,FALSE)))</f>
        <v xml:space="preserve"> </v>
      </c>
      <c r="H865" s="48">
        <f>IF(ISNA(VLOOKUP(D865,'[2]stock-take'!$A:$E,3,FALSE)), 0, VLOOKUP(D865,'[2]stock-take'!$A:$E,3,FALSE))</f>
        <v>0</v>
      </c>
      <c r="I865" s="48" t="str">
        <f>IF(F865="", " ",IF(ISNA(VLOOKUP(D865,'[2]stock-take'!$G:$K,4,FALSE)), "OUT OF STOCK", VLOOKUP(D865,'[2]stock-take'!$G:$K,4,FALSE)))</f>
        <v xml:space="preserve"> </v>
      </c>
      <c r="J865" s="39">
        <f>IF(ISNA(VLOOKUP(D865,'[2]stock-take'!$G:$K,3,FALSE)), 0, VLOOKUP(D865,'[2]stock-take'!$G:$K,3,FALSE))</f>
        <v>0</v>
      </c>
      <c r="K865" s="49" t="str">
        <f>IF(F865="", " ", IF(ISNA(VLOOKUP(D865,'[2]stock-take'!$M:$Q,4,FALSE)), "OUT OF STOCK", VLOOKUP(D865,'[2]stock-take'!$M:$Q,4,FALSE)))</f>
        <v xml:space="preserve"> </v>
      </c>
      <c r="L865" s="47">
        <f>IF(ISNA(VLOOKUP(D865,'[2]stock-take'!$M:$Q,3,FALSE)), 0, VLOOKUP(D865,'[2]stock-take'!$M:$Q,3,FALSE))</f>
        <v>0</v>
      </c>
      <c r="M865" s="48" t="str">
        <f t="shared" si="40"/>
        <v xml:space="preserve"> </v>
      </c>
      <c r="N865" s="39" t="str">
        <f t="shared" si="41"/>
        <v xml:space="preserve"> </v>
      </c>
    </row>
    <row r="866" spans="1:14">
      <c r="A866" s="37">
        <f t="shared" si="39"/>
        <v>855</v>
      </c>
      <c r="G866" s="48" t="str">
        <f>IF(F866=""," ",IF(ISNA(VLOOKUP(D866,'[2]stock-take'!$A:$E,4,FALSE)), "OUT OF STOCK", VLOOKUP(D866,'[2]stock-take'!$A:$E,4,FALSE)))</f>
        <v xml:space="preserve"> </v>
      </c>
      <c r="H866" s="48">
        <f>IF(ISNA(VLOOKUP(D866,'[2]stock-take'!$A:$E,3,FALSE)), 0, VLOOKUP(D866,'[2]stock-take'!$A:$E,3,FALSE))</f>
        <v>0</v>
      </c>
      <c r="I866" s="48" t="str">
        <f>IF(F866="", " ",IF(ISNA(VLOOKUP(D866,'[2]stock-take'!$G:$K,4,FALSE)), "OUT OF STOCK", VLOOKUP(D866,'[2]stock-take'!$G:$K,4,FALSE)))</f>
        <v xml:space="preserve"> </v>
      </c>
      <c r="J866" s="39">
        <f>IF(ISNA(VLOOKUP(D866,'[2]stock-take'!$G:$K,3,FALSE)), 0, VLOOKUP(D866,'[2]stock-take'!$G:$K,3,FALSE))</f>
        <v>0</v>
      </c>
      <c r="K866" s="49" t="str">
        <f>IF(F866="", " ", IF(ISNA(VLOOKUP(D866,'[2]stock-take'!$M:$Q,4,FALSE)), "OUT OF STOCK", VLOOKUP(D866,'[2]stock-take'!$M:$Q,4,FALSE)))</f>
        <v xml:space="preserve"> </v>
      </c>
      <c r="L866" s="47">
        <f>IF(ISNA(VLOOKUP(D866,'[2]stock-take'!$M:$Q,3,FALSE)), 0, VLOOKUP(D866,'[2]stock-take'!$M:$Q,3,FALSE))</f>
        <v>0</v>
      </c>
      <c r="M866" s="48" t="str">
        <f t="shared" si="40"/>
        <v xml:space="preserve"> </v>
      </c>
      <c r="N866" s="39" t="str">
        <f t="shared" si="41"/>
        <v xml:space="preserve"> </v>
      </c>
    </row>
    <row r="867" spans="1:14">
      <c r="A867" s="37">
        <f t="shared" si="39"/>
        <v>856</v>
      </c>
      <c r="G867" s="48" t="str">
        <f>IF(F867=""," ",IF(ISNA(VLOOKUP(D867,'[2]stock-take'!$A:$E,4,FALSE)), "OUT OF STOCK", VLOOKUP(D867,'[2]stock-take'!$A:$E,4,FALSE)))</f>
        <v xml:space="preserve"> </v>
      </c>
      <c r="H867" s="48">
        <f>IF(ISNA(VLOOKUP(D867,'[2]stock-take'!$A:$E,3,FALSE)), 0, VLOOKUP(D867,'[2]stock-take'!$A:$E,3,FALSE))</f>
        <v>0</v>
      </c>
      <c r="I867" s="48" t="str">
        <f>IF(F867="", " ",IF(ISNA(VLOOKUP(D867,'[2]stock-take'!$G:$K,4,FALSE)), "OUT OF STOCK", VLOOKUP(D867,'[2]stock-take'!$G:$K,4,FALSE)))</f>
        <v xml:space="preserve"> </v>
      </c>
      <c r="J867" s="39">
        <f>IF(ISNA(VLOOKUP(D867,'[2]stock-take'!$G:$K,3,FALSE)), 0, VLOOKUP(D867,'[2]stock-take'!$G:$K,3,FALSE))</f>
        <v>0</v>
      </c>
      <c r="K867" s="49" t="str">
        <f>IF(F867="", " ", IF(ISNA(VLOOKUP(D867,'[2]stock-take'!$M:$Q,4,FALSE)), "OUT OF STOCK", VLOOKUP(D867,'[2]stock-take'!$M:$Q,4,FALSE)))</f>
        <v xml:space="preserve"> </v>
      </c>
      <c r="L867" s="47">
        <f>IF(ISNA(VLOOKUP(D867,'[2]stock-take'!$M:$Q,3,FALSE)), 0, VLOOKUP(D867,'[2]stock-take'!$M:$Q,3,FALSE))</f>
        <v>0</v>
      </c>
      <c r="M867" s="48" t="str">
        <f t="shared" si="40"/>
        <v xml:space="preserve"> </v>
      </c>
      <c r="N867" s="39" t="str">
        <f t="shared" si="41"/>
        <v xml:space="preserve"> </v>
      </c>
    </row>
    <row r="868" spans="1:14">
      <c r="A868" s="37">
        <f t="shared" si="39"/>
        <v>857</v>
      </c>
      <c r="G868" s="48" t="str">
        <f>IF(F868=""," ",IF(ISNA(VLOOKUP(D868,'[2]stock-take'!$A:$E,4,FALSE)), "OUT OF STOCK", VLOOKUP(D868,'[2]stock-take'!$A:$E,4,FALSE)))</f>
        <v xml:space="preserve"> </v>
      </c>
      <c r="H868" s="48">
        <f>IF(ISNA(VLOOKUP(D868,'[2]stock-take'!$A:$E,3,FALSE)), 0, VLOOKUP(D868,'[2]stock-take'!$A:$E,3,FALSE))</f>
        <v>0</v>
      </c>
      <c r="I868" s="48" t="str">
        <f>IF(F868="", " ",IF(ISNA(VLOOKUP(D868,'[2]stock-take'!$G:$K,4,FALSE)), "OUT OF STOCK", VLOOKUP(D868,'[2]stock-take'!$G:$K,4,FALSE)))</f>
        <v xml:space="preserve"> </v>
      </c>
      <c r="J868" s="39">
        <f>IF(ISNA(VLOOKUP(D868,'[2]stock-take'!$G:$K,3,FALSE)), 0, VLOOKUP(D868,'[2]stock-take'!$G:$K,3,FALSE))</f>
        <v>0</v>
      </c>
      <c r="K868" s="49" t="str">
        <f>IF(F868="", " ", IF(ISNA(VLOOKUP(D868,'[2]stock-take'!$M:$Q,4,FALSE)), "OUT OF STOCK", VLOOKUP(D868,'[2]stock-take'!$M:$Q,4,FALSE)))</f>
        <v xml:space="preserve"> </v>
      </c>
      <c r="L868" s="47">
        <f>IF(ISNA(VLOOKUP(D868,'[2]stock-take'!$M:$Q,3,FALSE)), 0, VLOOKUP(D868,'[2]stock-take'!$M:$Q,3,FALSE))</f>
        <v>0</v>
      </c>
      <c r="M868" s="48" t="str">
        <f t="shared" si="40"/>
        <v xml:space="preserve"> </v>
      </c>
      <c r="N868" s="39" t="str">
        <f t="shared" si="41"/>
        <v xml:space="preserve"> </v>
      </c>
    </row>
    <row r="869" spans="1:14">
      <c r="A869" s="37">
        <f t="shared" si="39"/>
        <v>858</v>
      </c>
      <c r="G869" s="48" t="str">
        <f>IF(F869=""," ",IF(ISNA(VLOOKUP(D869,'[2]stock-take'!$A:$E,4,FALSE)), "OUT OF STOCK", VLOOKUP(D869,'[2]stock-take'!$A:$E,4,FALSE)))</f>
        <v xml:space="preserve"> </v>
      </c>
      <c r="H869" s="48">
        <f>IF(ISNA(VLOOKUP(D869,'[2]stock-take'!$A:$E,3,FALSE)), 0, VLOOKUP(D869,'[2]stock-take'!$A:$E,3,FALSE))</f>
        <v>0</v>
      </c>
      <c r="I869" s="48" t="str">
        <f>IF(F869="", " ",IF(ISNA(VLOOKUP(D869,'[2]stock-take'!$G:$K,4,FALSE)), "OUT OF STOCK", VLOOKUP(D869,'[2]stock-take'!$G:$K,4,FALSE)))</f>
        <v xml:space="preserve"> </v>
      </c>
      <c r="J869" s="39">
        <f>IF(ISNA(VLOOKUP(D869,'[2]stock-take'!$G:$K,3,FALSE)), 0, VLOOKUP(D869,'[2]stock-take'!$G:$K,3,FALSE))</f>
        <v>0</v>
      </c>
      <c r="K869" s="49" t="str">
        <f>IF(F869="", " ", IF(ISNA(VLOOKUP(D869,'[2]stock-take'!$M:$Q,4,FALSE)), "OUT OF STOCK", VLOOKUP(D869,'[2]stock-take'!$M:$Q,4,FALSE)))</f>
        <v xml:space="preserve"> </v>
      </c>
      <c r="L869" s="47">
        <f>IF(ISNA(VLOOKUP(D869,'[2]stock-take'!$M:$Q,3,FALSE)), 0, VLOOKUP(D869,'[2]stock-take'!$M:$Q,3,FALSE))</f>
        <v>0</v>
      </c>
      <c r="M869" s="48" t="str">
        <f t="shared" si="40"/>
        <v xml:space="preserve"> </v>
      </c>
      <c r="N869" s="39" t="str">
        <f t="shared" si="41"/>
        <v xml:space="preserve"> </v>
      </c>
    </row>
    <row r="870" spans="1:14">
      <c r="A870" s="37">
        <f t="shared" si="39"/>
        <v>859</v>
      </c>
      <c r="G870" s="48" t="str">
        <f>IF(F870=""," ",IF(ISNA(VLOOKUP(D870,'[2]stock-take'!$A:$E,4,FALSE)), "OUT OF STOCK", VLOOKUP(D870,'[2]stock-take'!$A:$E,4,FALSE)))</f>
        <v xml:space="preserve"> </v>
      </c>
      <c r="H870" s="48">
        <f>IF(ISNA(VLOOKUP(D870,'[2]stock-take'!$A:$E,3,FALSE)), 0, VLOOKUP(D870,'[2]stock-take'!$A:$E,3,FALSE))</f>
        <v>0</v>
      </c>
      <c r="I870" s="48" t="str">
        <f>IF(F870="", " ",IF(ISNA(VLOOKUP(D870,'[2]stock-take'!$G:$K,4,FALSE)), "OUT OF STOCK", VLOOKUP(D870,'[2]stock-take'!$G:$K,4,FALSE)))</f>
        <v xml:space="preserve"> </v>
      </c>
      <c r="J870" s="39">
        <f>IF(ISNA(VLOOKUP(D870,'[2]stock-take'!$G:$K,3,FALSE)), 0, VLOOKUP(D870,'[2]stock-take'!$G:$K,3,FALSE))</f>
        <v>0</v>
      </c>
      <c r="K870" s="49" t="str">
        <f>IF(F870="", " ", IF(ISNA(VLOOKUP(D870,'[2]stock-take'!$M:$Q,4,FALSE)), "OUT OF STOCK", VLOOKUP(D870,'[2]stock-take'!$M:$Q,4,FALSE)))</f>
        <v xml:space="preserve"> </v>
      </c>
      <c r="L870" s="47">
        <f>IF(ISNA(VLOOKUP(D870,'[2]stock-take'!$M:$Q,3,FALSE)), 0, VLOOKUP(D870,'[2]stock-take'!$M:$Q,3,FALSE))</f>
        <v>0</v>
      </c>
      <c r="M870" s="48" t="str">
        <f t="shared" si="40"/>
        <v xml:space="preserve"> </v>
      </c>
      <c r="N870" s="39" t="str">
        <f t="shared" si="41"/>
        <v xml:space="preserve"> </v>
      </c>
    </row>
    <row r="871" spans="1:14">
      <c r="A871" s="37">
        <f t="shared" si="39"/>
        <v>860</v>
      </c>
      <c r="G871" s="48" t="str">
        <f>IF(F871=""," ",IF(ISNA(VLOOKUP(D871,'[2]stock-take'!$A:$E,4,FALSE)), "OUT OF STOCK", VLOOKUP(D871,'[2]stock-take'!$A:$E,4,FALSE)))</f>
        <v xml:space="preserve"> </v>
      </c>
      <c r="H871" s="48">
        <f>IF(ISNA(VLOOKUP(D871,'[2]stock-take'!$A:$E,3,FALSE)), 0, VLOOKUP(D871,'[2]stock-take'!$A:$E,3,FALSE))</f>
        <v>0</v>
      </c>
      <c r="I871" s="48" t="str">
        <f>IF(F871="", " ",IF(ISNA(VLOOKUP(D871,'[2]stock-take'!$G:$K,4,FALSE)), "OUT OF STOCK", VLOOKUP(D871,'[2]stock-take'!$G:$K,4,FALSE)))</f>
        <v xml:space="preserve"> </v>
      </c>
      <c r="J871" s="39">
        <f>IF(ISNA(VLOOKUP(D871,'[2]stock-take'!$G:$K,3,FALSE)), 0, VLOOKUP(D871,'[2]stock-take'!$G:$K,3,FALSE))</f>
        <v>0</v>
      </c>
      <c r="K871" s="49" t="str">
        <f>IF(F871="", " ", IF(ISNA(VLOOKUP(D871,'[2]stock-take'!$M:$Q,4,FALSE)), "OUT OF STOCK", VLOOKUP(D871,'[2]stock-take'!$M:$Q,4,FALSE)))</f>
        <v xml:space="preserve"> </v>
      </c>
      <c r="L871" s="47">
        <f>IF(ISNA(VLOOKUP(D871,'[2]stock-take'!$M:$Q,3,FALSE)), 0, VLOOKUP(D871,'[2]stock-take'!$M:$Q,3,FALSE))</f>
        <v>0</v>
      </c>
      <c r="M871" s="48" t="str">
        <f t="shared" si="40"/>
        <v xml:space="preserve"> </v>
      </c>
      <c r="N871" s="39" t="str">
        <f t="shared" si="41"/>
        <v xml:space="preserve"> </v>
      </c>
    </row>
    <row r="872" spans="1:14">
      <c r="A872" s="37">
        <f t="shared" si="39"/>
        <v>861</v>
      </c>
      <c r="G872" s="48" t="str">
        <f>IF(F872=""," ",IF(ISNA(VLOOKUP(D872,'[2]stock-take'!$A:$E,4,FALSE)), "OUT OF STOCK", VLOOKUP(D872,'[2]stock-take'!$A:$E,4,FALSE)))</f>
        <v xml:space="preserve"> </v>
      </c>
      <c r="H872" s="48">
        <f>IF(ISNA(VLOOKUP(D872,'[2]stock-take'!$A:$E,3,FALSE)), 0, VLOOKUP(D872,'[2]stock-take'!$A:$E,3,FALSE))</f>
        <v>0</v>
      </c>
      <c r="I872" s="48" t="str">
        <f>IF(F872="", " ",IF(ISNA(VLOOKUP(D872,'[2]stock-take'!$G:$K,4,FALSE)), "OUT OF STOCK", VLOOKUP(D872,'[2]stock-take'!$G:$K,4,FALSE)))</f>
        <v xml:space="preserve"> </v>
      </c>
      <c r="J872" s="39">
        <f>IF(ISNA(VLOOKUP(D872,'[2]stock-take'!$G:$K,3,FALSE)), 0, VLOOKUP(D872,'[2]stock-take'!$G:$K,3,FALSE))</f>
        <v>0</v>
      </c>
      <c r="K872" s="49" t="str">
        <f>IF(F872="", " ", IF(ISNA(VLOOKUP(D872,'[2]stock-take'!$M:$Q,4,FALSE)), "OUT OF STOCK", VLOOKUP(D872,'[2]stock-take'!$M:$Q,4,FALSE)))</f>
        <v xml:space="preserve"> </v>
      </c>
      <c r="L872" s="47">
        <f>IF(ISNA(VLOOKUP(D872,'[2]stock-take'!$M:$Q,3,FALSE)), 0, VLOOKUP(D872,'[2]stock-take'!$M:$Q,3,FALSE))</f>
        <v>0</v>
      </c>
      <c r="M872" s="48" t="str">
        <f t="shared" si="40"/>
        <v xml:space="preserve"> </v>
      </c>
      <c r="N872" s="39" t="str">
        <f t="shared" si="41"/>
        <v xml:space="preserve"> </v>
      </c>
    </row>
    <row r="873" spans="1:14">
      <c r="A873" s="37">
        <f t="shared" si="39"/>
        <v>862</v>
      </c>
      <c r="G873" s="48" t="str">
        <f>IF(F873=""," ",IF(ISNA(VLOOKUP(D873,'[2]stock-take'!$A:$E,4,FALSE)), "OUT OF STOCK", VLOOKUP(D873,'[2]stock-take'!$A:$E,4,FALSE)))</f>
        <v xml:space="preserve"> </v>
      </c>
      <c r="H873" s="48">
        <f>IF(ISNA(VLOOKUP(D873,'[2]stock-take'!$A:$E,3,FALSE)), 0, VLOOKUP(D873,'[2]stock-take'!$A:$E,3,FALSE))</f>
        <v>0</v>
      </c>
      <c r="I873" s="48" t="str">
        <f>IF(F873="", " ",IF(ISNA(VLOOKUP(D873,'[2]stock-take'!$G:$K,4,FALSE)), "OUT OF STOCK", VLOOKUP(D873,'[2]stock-take'!$G:$K,4,FALSE)))</f>
        <v xml:space="preserve"> </v>
      </c>
      <c r="J873" s="39">
        <f>IF(ISNA(VLOOKUP(D873,'[2]stock-take'!$G:$K,3,FALSE)), 0, VLOOKUP(D873,'[2]stock-take'!$G:$K,3,FALSE))</f>
        <v>0</v>
      </c>
      <c r="K873" s="49" t="str">
        <f>IF(F873="", " ", IF(ISNA(VLOOKUP(D873,'[2]stock-take'!$M:$Q,4,FALSE)), "OUT OF STOCK", VLOOKUP(D873,'[2]stock-take'!$M:$Q,4,FALSE)))</f>
        <v xml:space="preserve"> </v>
      </c>
      <c r="L873" s="47">
        <f>IF(ISNA(VLOOKUP(D873,'[2]stock-take'!$M:$Q,3,FALSE)), 0, VLOOKUP(D873,'[2]stock-take'!$M:$Q,3,FALSE))</f>
        <v>0</v>
      </c>
      <c r="M873" s="48" t="str">
        <f t="shared" si="40"/>
        <v xml:space="preserve"> </v>
      </c>
      <c r="N873" s="39" t="str">
        <f t="shared" si="41"/>
        <v xml:space="preserve"> </v>
      </c>
    </row>
    <row r="874" spans="1:14">
      <c r="A874" s="37">
        <f t="shared" si="39"/>
        <v>863</v>
      </c>
      <c r="G874" s="48" t="str">
        <f>IF(F874=""," ",IF(ISNA(VLOOKUP(D874,'[2]stock-take'!$A:$E,4,FALSE)), "OUT OF STOCK", VLOOKUP(D874,'[2]stock-take'!$A:$E,4,FALSE)))</f>
        <v xml:space="preserve"> </v>
      </c>
      <c r="H874" s="48">
        <f>IF(ISNA(VLOOKUP(D874,'[2]stock-take'!$A:$E,3,FALSE)), 0, VLOOKUP(D874,'[2]stock-take'!$A:$E,3,FALSE))</f>
        <v>0</v>
      </c>
      <c r="I874" s="48" t="str">
        <f>IF(F874="", " ",IF(ISNA(VLOOKUP(D874,'[2]stock-take'!$G:$K,4,FALSE)), "OUT OF STOCK", VLOOKUP(D874,'[2]stock-take'!$G:$K,4,FALSE)))</f>
        <v xml:space="preserve"> </v>
      </c>
      <c r="J874" s="39">
        <f>IF(ISNA(VLOOKUP(D874,'[2]stock-take'!$G:$K,3,FALSE)), 0, VLOOKUP(D874,'[2]stock-take'!$G:$K,3,FALSE))</f>
        <v>0</v>
      </c>
      <c r="K874" s="49" t="str">
        <f>IF(F874="", " ", IF(ISNA(VLOOKUP(D874,'[2]stock-take'!$M:$Q,4,FALSE)), "OUT OF STOCK", VLOOKUP(D874,'[2]stock-take'!$M:$Q,4,FALSE)))</f>
        <v xml:space="preserve"> </v>
      </c>
      <c r="L874" s="47">
        <f>IF(ISNA(VLOOKUP(D874,'[2]stock-take'!$M:$Q,3,FALSE)), 0, VLOOKUP(D874,'[2]stock-take'!$M:$Q,3,FALSE))</f>
        <v>0</v>
      </c>
      <c r="M874" s="48" t="str">
        <f t="shared" si="40"/>
        <v xml:space="preserve"> </v>
      </c>
      <c r="N874" s="39" t="str">
        <f t="shared" si="41"/>
        <v xml:space="preserve"> </v>
      </c>
    </row>
    <row r="875" spans="1:14">
      <c r="A875" s="37">
        <f t="shared" si="39"/>
        <v>864</v>
      </c>
      <c r="G875" s="48" t="str">
        <f>IF(F875=""," ",IF(ISNA(VLOOKUP(D875,'[2]stock-take'!$A:$E,4,FALSE)), "OUT OF STOCK", VLOOKUP(D875,'[2]stock-take'!$A:$E,4,FALSE)))</f>
        <v xml:space="preserve"> </v>
      </c>
      <c r="H875" s="48">
        <f>IF(ISNA(VLOOKUP(D875,'[2]stock-take'!$A:$E,3,FALSE)), 0, VLOOKUP(D875,'[2]stock-take'!$A:$E,3,FALSE))</f>
        <v>0</v>
      </c>
      <c r="I875" s="48" t="str">
        <f>IF(F875="", " ",IF(ISNA(VLOOKUP(D875,'[2]stock-take'!$G:$K,4,FALSE)), "OUT OF STOCK", VLOOKUP(D875,'[2]stock-take'!$G:$K,4,FALSE)))</f>
        <v xml:space="preserve"> </v>
      </c>
      <c r="J875" s="39">
        <f>IF(ISNA(VLOOKUP(D875,'[2]stock-take'!$G:$K,3,FALSE)), 0, VLOOKUP(D875,'[2]stock-take'!$G:$K,3,FALSE))</f>
        <v>0</v>
      </c>
      <c r="K875" s="49" t="str">
        <f>IF(F875="", " ", IF(ISNA(VLOOKUP(D875,'[2]stock-take'!$M:$Q,4,FALSE)), "OUT OF STOCK", VLOOKUP(D875,'[2]stock-take'!$M:$Q,4,FALSE)))</f>
        <v xml:space="preserve"> </v>
      </c>
      <c r="L875" s="47">
        <f>IF(ISNA(VLOOKUP(D875,'[2]stock-take'!$M:$Q,3,FALSE)), 0, VLOOKUP(D875,'[2]stock-take'!$M:$Q,3,FALSE))</f>
        <v>0</v>
      </c>
      <c r="M875" s="48" t="str">
        <f t="shared" si="40"/>
        <v xml:space="preserve"> </v>
      </c>
      <c r="N875" s="39" t="str">
        <f t="shared" si="41"/>
        <v xml:space="preserve"> </v>
      </c>
    </row>
    <row r="876" spans="1:14">
      <c r="A876" s="37">
        <f t="shared" si="39"/>
        <v>865</v>
      </c>
      <c r="G876" s="48" t="str">
        <f>IF(F876=""," ",IF(ISNA(VLOOKUP(D876,'[2]stock-take'!$A:$E,4,FALSE)), "OUT OF STOCK", VLOOKUP(D876,'[2]stock-take'!$A:$E,4,FALSE)))</f>
        <v xml:space="preserve"> </v>
      </c>
      <c r="H876" s="48">
        <f>IF(ISNA(VLOOKUP(D876,'[2]stock-take'!$A:$E,3,FALSE)), 0, VLOOKUP(D876,'[2]stock-take'!$A:$E,3,FALSE))</f>
        <v>0</v>
      </c>
      <c r="I876" s="48" t="str">
        <f>IF(F876="", " ",IF(ISNA(VLOOKUP(D876,'[2]stock-take'!$G:$K,4,FALSE)), "OUT OF STOCK", VLOOKUP(D876,'[2]stock-take'!$G:$K,4,FALSE)))</f>
        <v xml:space="preserve"> </v>
      </c>
      <c r="J876" s="39">
        <f>IF(ISNA(VLOOKUP(D876,'[2]stock-take'!$G:$K,3,FALSE)), 0, VLOOKUP(D876,'[2]stock-take'!$G:$K,3,FALSE))</f>
        <v>0</v>
      </c>
      <c r="K876" s="49" t="str">
        <f>IF(F876="", " ", IF(ISNA(VLOOKUP(D876,'[2]stock-take'!$M:$Q,4,FALSE)), "OUT OF STOCK", VLOOKUP(D876,'[2]stock-take'!$M:$Q,4,FALSE)))</f>
        <v xml:space="preserve"> </v>
      </c>
      <c r="L876" s="47">
        <f>IF(ISNA(VLOOKUP(D876,'[2]stock-take'!$M:$Q,3,FALSE)), 0, VLOOKUP(D876,'[2]stock-take'!$M:$Q,3,FALSE))</f>
        <v>0</v>
      </c>
      <c r="M876" s="48" t="str">
        <f t="shared" si="40"/>
        <v xml:space="preserve"> </v>
      </c>
      <c r="N876" s="39" t="str">
        <f t="shared" si="41"/>
        <v xml:space="preserve"> </v>
      </c>
    </row>
    <row r="877" spans="1:14">
      <c r="A877" s="37">
        <f t="shared" si="39"/>
        <v>866</v>
      </c>
      <c r="G877" s="48" t="str">
        <f>IF(F877=""," ",IF(ISNA(VLOOKUP(D877,'[2]stock-take'!$A:$E,4,FALSE)), "OUT OF STOCK", VLOOKUP(D877,'[2]stock-take'!$A:$E,4,FALSE)))</f>
        <v xml:space="preserve"> </v>
      </c>
      <c r="H877" s="48">
        <f>IF(ISNA(VLOOKUP(D877,'[2]stock-take'!$A:$E,3,FALSE)), 0, VLOOKUP(D877,'[2]stock-take'!$A:$E,3,FALSE))</f>
        <v>0</v>
      </c>
      <c r="I877" s="48" t="str">
        <f>IF(F877="", " ",IF(ISNA(VLOOKUP(D877,'[2]stock-take'!$G:$K,4,FALSE)), "OUT OF STOCK", VLOOKUP(D877,'[2]stock-take'!$G:$K,4,FALSE)))</f>
        <v xml:space="preserve"> </v>
      </c>
      <c r="J877" s="39">
        <f>IF(ISNA(VLOOKUP(D877,'[2]stock-take'!$G:$K,3,FALSE)), 0, VLOOKUP(D877,'[2]stock-take'!$G:$K,3,FALSE))</f>
        <v>0</v>
      </c>
      <c r="K877" s="49" t="str">
        <f>IF(F877="", " ", IF(ISNA(VLOOKUP(D877,'[2]stock-take'!$M:$Q,4,FALSE)), "OUT OF STOCK", VLOOKUP(D877,'[2]stock-take'!$M:$Q,4,FALSE)))</f>
        <v xml:space="preserve"> </v>
      </c>
      <c r="L877" s="47">
        <f>IF(ISNA(VLOOKUP(D877,'[2]stock-take'!$M:$Q,3,FALSE)), 0, VLOOKUP(D877,'[2]stock-take'!$M:$Q,3,FALSE))</f>
        <v>0</v>
      </c>
      <c r="M877" s="48" t="str">
        <f t="shared" si="40"/>
        <v xml:space="preserve"> </v>
      </c>
      <c r="N877" s="39" t="str">
        <f t="shared" si="41"/>
        <v xml:space="preserve"> </v>
      </c>
    </row>
    <row r="878" spans="1:14">
      <c r="A878" s="37">
        <f t="shared" si="39"/>
        <v>867</v>
      </c>
      <c r="G878" s="48" t="str">
        <f>IF(F878=""," ",IF(ISNA(VLOOKUP(D878,'[2]stock-take'!$A:$E,4,FALSE)), "OUT OF STOCK", VLOOKUP(D878,'[2]stock-take'!$A:$E,4,FALSE)))</f>
        <v xml:space="preserve"> </v>
      </c>
      <c r="H878" s="48">
        <f>IF(ISNA(VLOOKUP(D878,'[2]stock-take'!$A:$E,3,FALSE)), 0, VLOOKUP(D878,'[2]stock-take'!$A:$E,3,FALSE))</f>
        <v>0</v>
      </c>
      <c r="I878" s="48" t="str">
        <f>IF(F878="", " ",IF(ISNA(VLOOKUP(D878,'[2]stock-take'!$G:$K,4,FALSE)), "OUT OF STOCK", VLOOKUP(D878,'[2]stock-take'!$G:$K,4,FALSE)))</f>
        <v xml:space="preserve"> </v>
      </c>
      <c r="J878" s="39">
        <f>IF(ISNA(VLOOKUP(D878,'[2]stock-take'!$G:$K,3,FALSE)), 0, VLOOKUP(D878,'[2]stock-take'!$G:$K,3,FALSE))</f>
        <v>0</v>
      </c>
      <c r="K878" s="49" t="str">
        <f>IF(F878="", " ", IF(ISNA(VLOOKUP(D878,'[2]stock-take'!$M:$Q,4,FALSE)), "OUT OF STOCK", VLOOKUP(D878,'[2]stock-take'!$M:$Q,4,FALSE)))</f>
        <v xml:space="preserve"> </v>
      </c>
      <c r="L878" s="47">
        <f>IF(ISNA(VLOOKUP(D878,'[2]stock-take'!$M:$Q,3,FALSE)), 0, VLOOKUP(D878,'[2]stock-take'!$M:$Q,3,FALSE))</f>
        <v>0</v>
      </c>
      <c r="M878" s="48" t="str">
        <f t="shared" si="40"/>
        <v xml:space="preserve"> </v>
      </c>
      <c r="N878" s="39" t="str">
        <f t="shared" si="41"/>
        <v xml:space="preserve"> </v>
      </c>
    </row>
    <row r="879" spans="1:14">
      <c r="A879" s="37">
        <f t="shared" si="39"/>
        <v>868</v>
      </c>
      <c r="G879" s="48" t="str">
        <f>IF(F879=""," ",IF(ISNA(VLOOKUP(D879,'[2]stock-take'!$A:$E,4,FALSE)), "OUT OF STOCK", VLOOKUP(D879,'[2]stock-take'!$A:$E,4,FALSE)))</f>
        <v xml:space="preserve"> </v>
      </c>
      <c r="H879" s="48">
        <f>IF(ISNA(VLOOKUP(D879,'[2]stock-take'!$A:$E,3,FALSE)), 0, VLOOKUP(D879,'[2]stock-take'!$A:$E,3,FALSE))</f>
        <v>0</v>
      </c>
      <c r="I879" s="48" t="str">
        <f>IF(F879="", " ",IF(ISNA(VLOOKUP(D879,'[2]stock-take'!$G:$K,4,FALSE)), "OUT OF STOCK", VLOOKUP(D879,'[2]stock-take'!$G:$K,4,FALSE)))</f>
        <v xml:space="preserve"> </v>
      </c>
      <c r="J879" s="39">
        <f>IF(ISNA(VLOOKUP(D879,'[2]stock-take'!$G:$K,3,FALSE)), 0, VLOOKUP(D879,'[2]stock-take'!$G:$K,3,FALSE))</f>
        <v>0</v>
      </c>
      <c r="K879" s="49" t="str">
        <f>IF(F879="", " ", IF(ISNA(VLOOKUP(D879,'[2]stock-take'!$M:$Q,4,FALSE)), "OUT OF STOCK", VLOOKUP(D879,'[2]stock-take'!$M:$Q,4,FALSE)))</f>
        <v xml:space="preserve"> </v>
      </c>
      <c r="L879" s="47">
        <f>IF(ISNA(VLOOKUP(D879,'[2]stock-take'!$M:$Q,3,FALSE)), 0, VLOOKUP(D879,'[2]stock-take'!$M:$Q,3,FALSE))</f>
        <v>0</v>
      </c>
      <c r="M879" s="48" t="str">
        <f t="shared" si="40"/>
        <v xml:space="preserve"> </v>
      </c>
      <c r="N879" s="39" t="str">
        <f t="shared" si="41"/>
        <v xml:space="preserve"> </v>
      </c>
    </row>
    <row r="880" spans="1:14">
      <c r="A880" s="37">
        <f t="shared" si="39"/>
        <v>869</v>
      </c>
      <c r="G880" s="48" t="str">
        <f>IF(F880=""," ",IF(ISNA(VLOOKUP(D880,'[2]stock-take'!$A:$E,4,FALSE)), "OUT OF STOCK", VLOOKUP(D880,'[2]stock-take'!$A:$E,4,FALSE)))</f>
        <v xml:space="preserve"> </v>
      </c>
      <c r="H880" s="48">
        <f>IF(ISNA(VLOOKUP(D880,'[2]stock-take'!$A:$E,3,FALSE)), 0, VLOOKUP(D880,'[2]stock-take'!$A:$E,3,FALSE))</f>
        <v>0</v>
      </c>
      <c r="I880" s="48" t="str">
        <f>IF(F880="", " ",IF(ISNA(VLOOKUP(D880,'[2]stock-take'!$G:$K,4,FALSE)), "OUT OF STOCK", VLOOKUP(D880,'[2]stock-take'!$G:$K,4,FALSE)))</f>
        <v xml:space="preserve"> </v>
      </c>
      <c r="J880" s="39">
        <f>IF(ISNA(VLOOKUP(D880,'[2]stock-take'!$G:$K,3,FALSE)), 0, VLOOKUP(D880,'[2]stock-take'!$G:$K,3,FALSE))</f>
        <v>0</v>
      </c>
      <c r="K880" s="49" t="str">
        <f>IF(F880="", " ", IF(ISNA(VLOOKUP(D880,'[2]stock-take'!$M:$Q,4,FALSE)), "OUT OF STOCK", VLOOKUP(D880,'[2]stock-take'!$M:$Q,4,FALSE)))</f>
        <v xml:space="preserve"> </v>
      </c>
      <c r="L880" s="47">
        <f>IF(ISNA(VLOOKUP(D880,'[2]stock-take'!$M:$Q,3,FALSE)), 0, VLOOKUP(D880,'[2]stock-take'!$M:$Q,3,FALSE))</f>
        <v>0</v>
      </c>
      <c r="M880" s="48" t="str">
        <f t="shared" si="40"/>
        <v xml:space="preserve"> </v>
      </c>
      <c r="N880" s="39" t="str">
        <f t="shared" si="41"/>
        <v xml:space="preserve"> </v>
      </c>
    </row>
    <row r="881" spans="1:14">
      <c r="A881" s="37">
        <f t="shared" si="39"/>
        <v>870</v>
      </c>
      <c r="G881" s="48" t="str">
        <f>IF(F881=""," ",IF(ISNA(VLOOKUP(D881,'[2]stock-take'!$A:$E,4,FALSE)), "OUT OF STOCK", VLOOKUP(D881,'[2]stock-take'!$A:$E,4,FALSE)))</f>
        <v xml:space="preserve"> </v>
      </c>
      <c r="H881" s="48">
        <f>IF(ISNA(VLOOKUP(D881,'[2]stock-take'!$A:$E,3,FALSE)), 0, VLOOKUP(D881,'[2]stock-take'!$A:$E,3,FALSE))</f>
        <v>0</v>
      </c>
      <c r="I881" s="48" t="str">
        <f>IF(F881="", " ",IF(ISNA(VLOOKUP(D881,'[2]stock-take'!$G:$K,4,FALSE)), "OUT OF STOCK", VLOOKUP(D881,'[2]stock-take'!$G:$K,4,FALSE)))</f>
        <v xml:space="preserve"> </v>
      </c>
      <c r="J881" s="39">
        <f>IF(ISNA(VLOOKUP(D881,'[2]stock-take'!$G:$K,3,FALSE)), 0, VLOOKUP(D881,'[2]stock-take'!$G:$K,3,FALSE))</f>
        <v>0</v>
      </c>
      <c r="K881" s="49" t="str">
        <f>IF(F881="", " ", IF(ISNA(VLOOKUP(D881,'[2]stock-take'!$M:$Q,4,FALSE)), "OUT OF STOCK", VLOOKUP(D881,'[2]stock-take'!$M:$Q,4,FALSE)))</f>
        <v xml:space="preserve"> </v>
      </c>
      <c r="L881" s="47">
        <f>IF(ISNA(VLOOKUP(D881,'[2]stock-take'!$M:$Q,3,FALSE)), 0, VLOOKUP(D881,'[2]stock-take'!$M:$Q,3,FALSE))</f>
        <v>0</v>
      </c>
      <c r="M881" s="48" t="str">
        <f t="shared" si="40"/>
        <v xml:space="preserve"> </v>
      </c>
      <c r="N881" s="39" t="str">
        <f t="shared" si="41"/>
        <v xml:space="preserve"> </v>
      </c>
    </row>
    <row r="882" spans="1:14">
      <c r="A882" s="37">
        <f t="shared" si="39"/>
        <v>871</v>
      </c>
      <c r="G882" s="48" t="str">
        <f>IF(F882=""," ",IF(ISNA(VLOOKUP(D882,'[2]stock-take'!$A:$E,4,FALSE)), "OUT OF STOCK", VLOOKUP(D882,'[2]stock-take'!$A:$E,4,FALSE)))</f>
        <v xml:space="preserve"> </v>
      </c>
      <c r="H882" s="48">
        <f>IF(ISNA(VLOOKUP(D882,'[2]stock-take'!$A:$E,3,FALSE)), 0, VLOOKUP(D882,'[2]stock-take'!$A:$E,3,FALSE))</f>
        <v>0</v>
      </c>
      <c r="I882" s="48" t="str">
        <f>IF(F882="", " ",IF(ISNA(VLOOKUP(D882,'[2]stock-take'!$G:$K,4,FALSE)), "OUT OF STOCK", VLOOKUP(D882,'[2]stock-take'!$G:$K,4,FALSE)))</f>
        <v xml:space="preserve"> </v>
      </c>
      <c r="J882" s="39">
        <f>IF(ISNA(VLOOKUP(D882,'[2]stock-take'!$G:$K,3,FALSE)), 0, VLOOKUP(D882,'[2]stock-take'!$G:$K,3,FALSE))</f>
        <v>0</v>
      </c>
      <c r="K882" s="49" t="str">
        <f>IF(F882="", " ", IF(ISNA(VLOOKUP(D882,'[2]stock-take'!$M:$Q,4,FALSE)), "OUT OF STOCK", VLOOKUP(D882,'[2]stock-take'!$M:$Q,4,FALSE)))</f>
        <v xml:space="preserve"> </v>
      </c>
      <c r="L882" s="47">
        <f>IF(ISNA(VLOOKUP(D882,'[2]stock-take'!$M:$Q,3,FALSE)), 0, VLOOKUP(D882,'[2]stock-take'!$M:$Q,3,FALSE))</f>
        <v>0</v>
      </c>
      <c r="M882" s="48" t="str">
        <f t="shared" si="40"/>
        <v xml:space="preserve"> </v>
      </c>
      <c r="N882" s="39" t="str">
        <f t="shared" si="41"/>
        <v xml:space="preserve"> </v>
      </c>
    </row>
    <row r="883" spans="1:14">
      <c r="A883" s="37">
        <f t="shared" si="39"/>
        <v>872</v>
      </c>
      <c r="G883" s="48" t="str">
        <f>IF(F883=""," ",IF(ISNA(VLOOKUP(D883,'[2]stock-take'!$A:$E,4,FALSE)), "OUT OF STOCK", VLOOKUP(D883,'[2]stock-take'!$A:$E,4,FALSE)))</f>
        <v xml:space="preserve"> </v>
      </c>
      <c r="H883" s="48">
        <f>IF(ISNA(VLOOKUP(D883,'[2]stock-take'!$A:$E,3,FALSE)), 0, VLOOKUP(D883,'[2]stock-take'!$A:$E,3,FALSE))</f>
        <v>0</v>
      </c>
      <c r="I883" s="48" t="str">
        <f>IF(F883="", " ",IF(ISNA(VLOOKUP(D883,'[2]stock-take'!$G:$K,4,FALSE)), "OUT OF STOCK", VLOOKUP(D883,'[2]stock-take'!$G:$K,4,FALSE)))</f>
        <v xml:space="preserve"> </v>
      </c>
      <c r="J883" s="39">
        <f>IF(ISNA(VLOOKUP(D883,'[2]stock-take'!$G:$K,3,FALSE)), 0, VLOOKUP(D883,'[2]stock-take'!$G:$K,3,FALSE))</f>
        <v>0</v>
      </c>
      <c r="K883" s="49" t="str">
        <f>IF(F883="", " ", IF(ISNA(VLOOKUP(D883,'[2]stock-take'!$M:$Q,4,FALSE)), "OUT OF STOCK", VLOOKUP(D883,'[2]stock-take'!$M:$Q,4,FALSE)))</f>
        <v xml:space="preserve"> </v>
      </c>
      <c r="L883" s="47">
        <f>IF(ISNA(VLOOKUP(D883,'[2]stock-take'!$M:$Q,3,FALSE)), 0, VLOOKUP(D883,'[2]stock-take'!$M:$Q,3,FALSE))</f>
        <v>0</v>
      </c>
      <c r="M883" s="48" t="str">
        <f t="shared" si="40"/>
        <v xml:space="preserve"> </v>
      </c>
      <c r="N883" s="39" t="str">
        <f t="shared" si="41"/>
        <v xml:space="preserve"> </v>
      </c>
    </row>
    <row r="884" spans="1:14">
      <c r="A884" s="37">
        <f t="shared" si="39"/>
        <v>873</v>
      </c>
      <c r="G884" s="48" t="str">
        <f>IF(F884=""," ",IF(ISNA(VLOOKUP(D884,'[2]stock-take'!$A:$E,4,FALSE)), "OUT OF STOCK", VLOOKUP(D884,'[2]stock-take'!$A:$E,4,FALSE)))</f>
        <v xml:space="preserve"> </v>
      </c>
      <c r="H884" s="48">
        <f>IF(ISNA(VLOOKUP(D884,'[2]stock-take'!$A:$E,3,FALSE)), 0, VLOOKUP(D884,'[2]stock-take'!$A:$E,3,FALSE))</f>
        <v>0</v>
      </c>
      <c r="I884" s="48" t="str">
        <f>IF(F884="", " ",IF(ISNA(VLOOKUP(D884,'[2]stock-take'!$G:$K,4,FALSE)), "OUT OF STOCK", VLOOKUP(D884,'[2]stock-take'!$G:$K,4,FALSE)))</f>
        <v xml:space="preserve"> </v>
      </c>
      <c r="J884" s="39">
        <f>IF(ISNA(VLOOKUP(D884,'[2]stock-take'!$G:$K,3,FALSE)), 0, VLOOKUP(D884,'[2]stock-take'!$G:$K,3,FALSE))</f>
        <v>0</v>
      </c>
      <c r="K884" s="49" t="str">
        <f>IF(F884="", " ", IF(ISNA(VLOOKUP(D884,'[2]stock-take'!$M:$Q,4,FALSE)), "OUT OF STOCK", VLOOKUP(D884,'[2]stock-take'!$M:$Q,4,FALSE)))</f>
        <v xml:space="preserve"> </v>
      </c>
      <c r="L884" s="47">
        <f>IF(ISNA(VLOOKUP(D884,'[2]stock-take'!$M:$Q,3,FALSE)), 0, VLOOKUP(D884,'[2]stock-take'!$M:$Q,3,FALSE))</f>
        <v>0</v>
      </c>
      <c r="M884" s="48" t="str">
        <f t="shared" si="40"/>
        <v xml:space="preserve"> </v>
      </c>
      <c r="N884" s="39" t="str">
        <f t="shared" si="41"/>
        <v xml:space="preserve"> </v>
      </c>
    </row>
    <row r="885" spans="1:14">
      <c r="A885" s="37">
        <f t="shared" si="39"/>
        <v>874</v>
      </c>
      <c r="G885" s="48" t="str">
        <f>IF(F885=""," ",IF(ISNA(VLOOKUP(D885,'[2]stock-take'!$A:$E,4,FALSE)), "OUT OF STOCK", VLOOKUP(D885,'[2]stock-take'!$A:$E,4,FALSE)))</f>
        <v xml:space="preserve"> </v>
      </c>
      <c r="H885" s="48">
        <f>IF(ISNA(VLOOKUP(D885,'[2]stock-take'!$A:$E,3,FALSE)), 0, VLOOKUP(D885,'[2]stock-take'!$A:$E,3,FALSE))</f>
        <v>0</v>
      </c>
      <c r="I885" s="48" t="str">
        <f>IF(F885="", " ",IF(ISNA(VLOOKUP(D885,'[2]stock-take'!$G:$K,4,FALSE)), "OUT OF STOCK", VLOOKUP(D885,'[2]stock-take'!$G:$K,4,FALSE)))</f>
        <v xml:space="preserve"> </v>
      </c>
      <c r="J885" s="39">
        <f>IF(ISNA(VLOOKUP(D885,'[2]stock-take'!$G:$K,3,FALSE)), 0, VLOOKUP(D885,'[2]stock-take'!$G:$K,3,FALSE))</f>
        <v>0</v>
      </c>
      <c r="K885" s="49" t="str">
        <f>IF(F885="", " ", IF(ISNA(VLOOKUP(D885,'[2]stock-take'!$M:$Q,4,FALSE)), "OUT OF STOCK", VLOOKUP(D885,'[2]stock-take'!$M:$Q,4,FALSE)))</f>
        <v xml:space="preserve"> </v>
      </c>
      <c r="L885" s="47">
        <f>IF(ISNA(VLOOKUP(D885,'[2]stock-take'!$M:$Q,3,FALSE)), 0, VLOOKUP(D885,'[2]stock-take'!$M:$Q,3,FALSE))</f>
        <v>0</v>
      </c>
      <c r="M885" s="48" t="str">
        <f t="shared" si="40"/>
        <v xml:space="preserve"> </v>
      </c>
      <c r="N885" s="39" t="str">
        <f t="shared" si="41"/>
        <v xml:space="preserve"> </v>
      </c>
    </row>
    <row r="886" spans="1:14">
      <c r="A886" s="37">
        <f t="shared" si="39"/>
        <v>875</v>
      </c>
      <c r="G886" s="48" t="str">
        <f>IF(F886=""," ",IF(ISNA(VLOOKUP(D886,'[2]stock-take'!$A:$E,4,FALSE)), "OUT OF STOCK", VLOOKUP(D886,'[2]stock-take'!$A:$E,4,FALSE)))</f>
        <v xml:space="preserve"> </v>
      </c>
      <c r="H886" s="48">
        <f>IF(ISNA(VLOOKUP(D886,'[2]stock-take'!$A:$E,3,FALSE)), 0, VLOOKUP(D886,'[2]stock-take'!$A:$E,3,FALSE))</f>
        <v>0</v>
      </c>
      <c r="I886" s="48" t="str">
        <f>IF(F886="", " ",IF(ISNA(VLOOKUP(D886,'[2]stock-take'!$G:$K,4,FALSE)), "OUT OF STOCK", VLOOKUP(D886,'[2]stock-take'!$G:$K,4,FALSE)))</f>
        <v xml:space="preserve"> </v>
      </c>
      <c r="J886" s="39">
        <f>IF(ISNA(VLOOKUP(D886,'[2]stock-take'!$G:$K,3,FALSE)), 0, VLOOKUP(D886,'[2]stock-take'!$G:$K,3,FALSE))</f>
        <v>0</v>
      </c>
      <c r="K886" s="49" t="str">
        <f>IF(F886="", " ", IF(ISNA(VLOOKUP(D886,'[2]stock-take'!$M:$Q,4,FALSE)), "OUT OF STOCK", VLOOKUP(D886,'[2]stock-take'!$M:$Q,4,FALSE)))</f>
        <v xml:space="preserve"> </v>
      </c>
      <c r="L886" s="47">
        <f>IF(ISNA(VLOOKUP(D886,'[2]stock-take'!$M:$Q,3,FALSE)), 0, VLOOKUP(D886,'[2]stock-take'!$M:$Q,3,FALSE))</f>
        <v>0</v>
      </c>
      <c r="M886" s="48" t="str">
        <f t="shared" si="40"/>
        <v xml:space="preserve"> </v>
      </c>
      <c r="N886" s="39" t="str">
        <f t="shared" si="41"/>
        <v xml:space="preserve"> </v>
      </c>
    </row>
    <row r="887" spans="1:14">
      <c r="A887" s="37">
        <f t="shared" si="39"/>
        <v>876</v>
      </c>
      <c r="G887" s="48" t="str">
        <f>IF(F887=""," ",IF(ISNA(VLOOKUP(D887,'[2]stock-take'!$A:$E,4,FALSE)), "OUT OF STOCK", VLOOKUP(D887,'[2]stock-take'!$A:$E,4,FALSE)))</f>
        <v xml:space="preserve"> </v>
      </c>
      <c r="H887" s="48">
        <f>IF(ISNA(VLOOKUP(D887,'[2]stock-take'!$A:$E,3,FALSE)), 0, VLOOKUP(D887,'[2]stock-take'!$A:$E,3,FALSE))</f>
        <v>0</v>
      </c>
      <c r="I887" s="48" t="str">
        <f>IF(F887="", " ",IF(ISNA(VLOOKUP(D887,'[2]stock-take'!$G:$K,4,FALSE)), "OUT OF STOCK", VLOOKUP(D887,'[2]stock-take'!$G:$K,4,FALSE)))</f>
        <v xml:space="preserve"> </v>
      </c>
      <c r="J887" s="39">
        <f>IF(ISNA(VLOOKUP(D887,'[2]stock-take'!$G:$K,3,FALSE)), 0, VLOOKUP(D887,'[2]stock-take'!$G:$K,3,FALSE))</f>
        <v>0</v>
      </c>
      <c r="K887" s="49" t="str">
        <f>IF(F887="", " ", IF(ISNA(VLOOKUP(D887,'[2]stock-take'!$M:$Q,4,FALSE)), "OUT OF STOCK", VLOOKUP(D887,'[2]stock-take'!$M:$Q,4,FALSE)))</f>
        <v xml:space="preserve"> </v>
      </c>
      <c r="L887" s="47">
        <f>IF(ISNA(VLOOKUP(D887,'[2]stock-take'!$M:$Q,3,FALSE)), 0, VLOOKUP(D887,'[2]stock-take'!$M:$Q,3,FALSE))</f>
        <v>0</v>
      </c>
      <c r="M887" s="48" t="str">
        <f t="shared" si="40"/>
        <v xml:space="preserve"> </v>
      </c>
      <c r="N887" s="39" t="str">
        <f t="shared" si="41"/>
        <v xml:space="preserve"> </v>
      </c>
    </row>
    <row r="888" spans="1:14">
      <c r="A888" s="37">
        <f t="shared" si="39"/>
        <v>877</v>
      </c>
      <c r="G888" s="48" t="str">
        <f>IF(F888=""," ",IF(ISNA(VLOOKUP(D888,'[2]stock-take'!$A:$E,4,FALSE)), "OUT OF STOCK", VLOOKUP(D888,'[2]stock-take'!$A:$E,4,FALSE)))</f>
        <v xml:space="preserve"> </v>
      </c>
      <c r="H888" s="48">
        <f>IF(ISNA(VLOOKUP(D888,'[2]stock-take'!$A:$E,3,FALSE)), 0, VLOOKUP(D888,'[2]stock-take'!$A:$E,3,FALSE))</f>
        <v>0</v>
      </c>
      <c r="I888" s="48" t="str">
        <f>IF(F888="", " ",IF(ISNA(VLOOKUP(D888,'[2]stock-take'!$G:$K,4,FALSE)), "OUT OF STOCK", VLOOKUP(D888,'[2]stock-take'!$G:$K,4,FALSE)))</f>
        <v xml:space="preserve"> </v>
      </c>
      <c r="J888" s="39">
        <f>IF(ISNA(VLOOKUP(D888,'[2]stock-take'!$G:$K,3,FALSE)), 0, VLOOKUP(D888,'[2]stock-take'!$G:$K,3,FALSE))</f>
        <v>0</v>
      </c>
      <c r="K888" s="49" t="str">
        <f>IF(F888="", " ", IF(ISNA(VLOOKUP(D888,'[2]stock-take'!$M:$Q,4,FALSE)), "OUT OF STOCK", VLOOKUP(D888,'[2]stock-take'!$M:$Q,4,FALSE)))</f>
        <v xml:space="preserve"> </v>
      </c>
      <c r="L888" s="47">
        <f>IF(ISNA(VLOOKUP(D888,'[2]stock-take'!$M:$Q,3,FALSE)), 0, VLOOKUP(D888,'[2]stock-take'!$M:$Q,3,FALSE))</f>
        <v>0</v>
      </c>
      <c r="M888" s="48" t="str">
        <f t="shared" si="40"/>
        <v xml:space="preserve"> </v>
      </c>
      <c r="N888" s="39" t="str">
        <f t="shared" si="41"/>
        <v xml:space="preserve"> </v>
      </c>
    </row>
    <row r="889" spans="1:14">
      <c r="A889" s="37">
        <f t="shared" si="39"/>
        <v>878</v>
      </c>
      <c r="G889" s="48" t="str">
        <f>IF(F889=""," ",IF(ISNA(VLOOKUP(D889,'[2]stock-take'!$A:$E,4,FALSE)), "OUT OF STOCK", VLOOKUP(D889,'[2]stock-take'!$A:$E,4,FALSE)))</f>
        <v xml:space="preserve"> </v>
      </c>
      <c r="H889" s="48">
        <f>IF(ISNA(VLOOKUP(D889,'[2]stock-take'!$A:$E,3,FALSE)), 0, VLOOKUP(D889,'[2]stock-take'!$A:$E,3,FALSE))</f>
        <v>0</v>
      </c>
      <c r="I889" s="48" t="str">
        <f>IF(F889="", " ",IF(ISNA(VLOOKUP(D889,'[2]stock-take'!$G:$K,4,FALSE)), "OUT OF STOCK", VLOOKUP(D889,'[2]stock-take'!$G:$K,4,FALSE)))</f>
        <v xml:space="preserve"> </v>
      </c>
      <c r="J889" s="39">
        <f>IF(ISNA(VLOOKUP(D889,'[2]stock-take'!$G:$K,3,FALSE)), 0, VLOOKUP(D889,'[2]stock-take'!$G:$K,3,FALSE))</f>
        <v>0</v>
      </c>
      <c r="K889" s="49" t="str">
        <f>IF(F889="", " ", IF(ISNA(VLOOKUP(D889,'[2]stock-take'!$M:$Q,4,FALSE)), "OUT OF STOCK", VLOOKUP(D889,'[2]stock-take'!$M:$Q,4,FALSE)))</f>
        <v xml:space="preserve"> </v>
      </c>
      <c r="L889" s="47">
        <f>IF(ISNA(VLOOKUP(D889,'[2]stock-take'!$M:$Q,3,FALSE)), 0, VLOOKUP(D889,'[2]stock-take'!$M:$Q,3,FALSE))</f>
        <v>0</v>
      </c>
      <c r="M889" s="48" t="str">
        <f t="shared" si="40"/>
        <v xml:space="preserve"> </v>
      </c>
      <c r="N889" s="39" t="str">
        <f t="shared" si="41"/>
        <v xml:space="preserve"> </v>
      </c>
    </row>
    <row r="890" spans="1:14">
      <c r="A890" s="37">
        <f t="shared" si="39"/>
        <v>879</v>
      </c>
      <c r="G890" s="48" t="str">
        <f>IF(F890=""," ",IF(ISNA(VLOOKUP(D890,'[2]stock-take'!$A:$E,4,FALSE)), "OUT OF STOCK", VLOOKUP(D890,'[2]stock-take'!$A:$E,4,FALSE)))</f>
        <v xml:space="preserve"> </v>
      </c>
      <c r="H890" s="48">
        <f>IF(ISNA(VLOOKUP(D890,'[2]stock-take'!$A:$E,3,FALSE)), 0, VLOOKUP(D890,'[2]stock-take'!$A:$E,3,FALSE))</f>
        <v>0</v>
      </c>
      <c r="I890" s="48" t="str">
        <f>IF(F890="", " ",IF(ISNA(VLOOKUP(D890,'[2]stock-take'!$G:$K,4,FALSE)), "OUT OF STOCK", VLOOKUP(D890,'[2]stock-take'!$G:$K,4,FALSE)))</f>
        <v xml:space="preserve"> </v>
      </c>
      <c r="J890" s="39">
        <f>IF(ISNA(VLOOKUP(D890,'[2]stock-take'!$G:$K,3,FALSE)), 0, VLOOKUP(D890,'[2]stock-take'!$G:$K,3,FALSE))</f>
        <v>0</v>
      </c>
      <c r="K890" s="49" t="str">
        <f>IF(F890="", " ", IF(ISNA(VLOOKUP(D890,'[2]stock-take'!$M:$Q,4,FALSE)), "OUT OF STOCK", VLOOKUP(D890,'[2]stock-take'!$M:$Q,4,FALSE)))</f>
        <v xml:space="preserve"> </v>
      </c>
      <c r="L890" s="47">
        <f>IF(ISNA(VLOOKUP(D890,'[2]stock-take'!$M:$Q,3,FALSE)), 0, VLOOKUP(D890,'[2]stock-take'!$M:$Q,3,FALSE))</f>
        <v>0</v>
      </c>
      <c r="M890" s="48" t="str">
        <f t="shared" si="40"/>
        <v xml:space="preserve"> </v>
      </c>
      <c r="N890" s="39" t="str">
        <f t="shared" si="41"/>
        <v xml:space="preserve"> </v>
      </c>
    </row>
    <row r="891" spans="1:14">
      <c r="A891" s="37">
        <f t="shared" si="39"/>
        <v>880</v>
      </c>
      <c r="G891" s="48" t="str">
        <f>IF(F891=""," ",IF(ISNA(VLOOKUP(D891,'[2]stock-take'!$A:$E,4,FALSE)), "OUT OF STOCK", VLOOKUP(D891,'[2]stock-take'!$A:$E,4,FALSE)))</f>
        <v xml:space="preserve"> </v>
      </c>
      <c r="H891" s="48">
        <f>IF(ISNA(VLOOKUP(D891,'[2]stock-take'!$A:$E,3,FALSE)), 0, VLOOKUP(D891,'[2]stock-take'!$A:$E,3,FALSE))</f>
        <v>0</v>
      </c>
      <c r="I891" s="48" t="str">
        <f>IF(F891="", " ",IF(ISNA(VLOOKUP(D891,'[2]stock-take'!$G:$K,4,FALSE)), "OUT OF STOCK", VLOOKUP(D891,'[2]stock-take'!$G:$K,4,FALSE)))</f>
        <v xml:space="preserve"> </v>
      </c>
      <c r="J891" s="39">
        <f>IF(ISNA(VLOOKUP(D891,'[2]stock-take'!$G:$K,3,FALSE)), 0, VLOOKUP(D891,'[2]stock-take'!$G:$K,3,FALSE))</f>
        <v>0</v>
      </c>
      <c r="K891" s="49" t="str">
        <f>IF(F891="", " ", IF(ISNA(VLOOKUP(D891,'[2]stock-take'!$M:$Q,4,FALSE)), "OUT OF STOCK", VLOOKUP(D891,'[2]stock-take'!$M:$Q,4,FALSE)))</f>
        <v xml:space="preserve"> </v>
      </c>
      <c r="L891" s="47">
        <f>IF(ISNA(VLOOKUP(D891,'[2]stock-take'!$M:$Q,3,FALSE)), 0, VLOOKUP(D891,'[2]stock-take'!$M:$Q,3,FALSE))</f>
        <v>0</v>
      </c>
      <c r="M891" s="48" t="str">
        <f t="shared" si="40"/>
        <v xml:space="preserve"> </v>
      </c>
      <c r="N891" s="39" t="str">
        <f t="shared" si="41"/>
        <v xml:space="preserve"> </v>
      </c>
    </row>
    <row r="892" spans="1:14">
      <c r="A892" s="37">
        <f t="shared" si="39"/>
        <v>881</v>
      </c>
      <c r="G892" s="48" t="str">
        <f>IF(F892=""," ",IF(ISNA(VLOOKUP(D892,'[2]stock-take'!$A:$E,4,FALSE)), "OUT OF STOCK", VLOOKUP(D892,'[2]stock-take'!$A:$E,4,FALSE)))</f>
        <v xml:space="preserve"> </v>
      </c>
      <c r="H892" s="48">
        <f>IF(ISNA(VLOOKUP(D892,'[2]stock-take'!$A:$E,3,FALSE)), 0, VLOOKUP(D892,'[2]stock-take'!$A:$E,3,FALSE))</f>
        <v>0</v>
      </c>
      <c r="I892" s="48" t="str">
        <f>IF(F892="", " ",IF(ISNA(VLOOKUP(D892,'[2]stock-take'!$G:$K,4,FALSE)), "OUT OF STOCK", VLOOKUP(D892,'[2]stock-take'!$G:$K,4,FALSE)))</f>
        <v xml:space="preserve"> </v>
      </c>
      <c r="J892" s="39">
        <f>IF(ISNA(VLOOKUP(D892,'[2]stock-take'!$G:$K,3,FALSE)), 0, VLOOKUP(D892,'[2]stock-take'!$G:$K,3,FALSE))</f>
        <v>0</v>
      </c>
      <c r="K892" s="49" t="str">
        <f>IF(F892="", " ", IF(ISNA(VLOOKUP(D892,'[2]stock-take'!$M:$Q,4,FALSE)), "OUT OF STOCK", VLOOKUP(D892,'[2]stock-take'!$M:$Q,4,FALSE)))</f>
        <v xml:space="preserve"> </v>
      </c>
      <c r="L892" s="47">
        <f>IF(ISNA(VLOOKUP(D892,'[2]stock-take'!$M:$Q,3,FALSE)), 0, VLOOKUP(D892,'[2]stock-take'!$M:$Q,3,FALSE))</f>
        <v>0</v>
      </c>
      <c r="M892" s="48" t="str">
        <f t="shared" si="40"/>
        <v xml:space="preserve"> </v>
      </c>
      <c r="N892" s="39" t="str">
        <f t="shared" si="41"/>
        <v xml:space="preserve"> </v>
      </c>
    </row>
    <row r="893" spans="1:14">
      <c r="A893" s="37">
        <f t="shared" si="39"/>
        <v>882</v>
      </c>
      <c r="G893" s="48" t="str">
        <f>IF(F893=""," ",IF(ISNA(VLOOKUP(D893,'[2]stock-take'!$A:$E,4,FALSE)), "OUT OF STOCK", VLOOKUP(D893,'[2]stock-take'!$A:$E,4,FALSE)))</f>
        <v xml:space="preserve"> </v>
      </c>
      <c r="H893" s="48">
        <f>IF(ISNA(VLOOKUP(D893,'[2]stock-take'!$A:$E,3,FALSE)), 0, VLOOKUP(D893,'[2]stock-take'!$A:$E,3,FALSE))</f>
        <v>0</v>
      </c>
      <c r="I893" s="48" t="str">
        <f>IF(F893="", " ",IF(ISNA(VLOOKUP(D893,'[2]stock-take'!$G:$K,4,FALSE)), "OUT OF STOCK", VLOOKUP(D893,'[2]stock-take'!$G:$K,4,FALSE)))</f>
        <v xml:space="preserve"> </v>
      </c>
      <c r="J893" s="39">
        <f>IF(ISNA(VLOOKUP(D893,'[2]stock-take'!$G:$K,3,FALSE)), 0, VLOOKUP(D893,'[2]stock-take'!$G:$K,3,FALSE))</f>
        <v>0</v>
      </c>
      <c r="K893" s="49" t="str">
        <f>IF(F893="", " ", IF(ISNA(VLOOKUP(D893,'[2]stock-take'!$M:$Q,4,FALSE)), "OUT OF STOCK", VLOOKUP(D893,'[2]stock-take'!$M:$Q,4,FALSE)))</f>
        <v xml:space="preserve"> </v>
      </c>
      <c r="L893" s="47">
        <f>IF(ISNA(VLOOKUP(D893,'[2]stock-take'!$M:$Q,3,FALSE)), 0, VLOOKUP(D893,'[2]stock-take'!$M:$Q,3,FALSE))</f>
        <v>0</v>
      </c>
      <c r="M893" s="48" t="str">
        <f t="shared" si="40"/>
        <v xml:space="preserve"> </v>
      </c>
      <c r="N893" s="39" t="str">
        <f t="shared" si="41"/>
        <v xml:space="preserve"> </v>
      </c>
    </row>
    <row r="894" spans="1:14">
      <c r="A894" s="37">
        <f t="shared" si="39"/>
        <v>883</v>
      </c>
      <c r="G894" s="48" t="str">
        <f>IF(F894=""," ",IF(ISNA(VLOOKUP(D894,'[2]stock-take'!$A:$E,4,FALSE)), "OUT OF STOCK", VLOOKUP(D894,'[2]stock-take'!$A:$E,4,FALSE)))</f>
        <v xml:space="preserve"> </v>
      </c>
      <c r="H894" s="48">
        <f>IF(ISNA(VLOOKUP(D894,'[2]stock-take'!$A:$E,3,FALSE)), 0, VLOOKUP(D894,'[2]stock-take'!$A:$E,3,FALSE))</f>
        <v>0</v>
      </c>
      <c r="I894" s="48" t="str">
        <f>IF(F894="", " ",IF(ISNA(VLOOKUP(D894,'[2]stock-take'!$G:$K,4,FALSE)), "OUT OF STOCK", VLOOKUP(D894,'[2]stock-take'!$G:$K,4,FALSE)))</f>
        <v xml:space="preserve"> </v>
      </c>
      <c r="J894" s="39">
        <f>IF(ISNA(VLOOKUP(D894,'[2]stock-take'!$G:$K,3,FALSE)), 0, VLOOKUP(D894,'[2]stock-take'!$G:$K,3,FALSE))</f>
        <v>0</v>
      </c>
      <c r="K894" s="49" t="str">
        <f>IF(F894="", " ", IF(ISNA(VLOOKUP(D894,'[2]stock-take'!$M:$Q,4,FALSE)), "OUT OF STOCK", VLOOKUP(D894,'[2]stock-take'!$M:$Q,4,FALSE)))</f>
        <v xml:space="preserve"> </v>
      </c>
      <c r="L894" s="47">
        <f>IF(ISNA(VLOOKUP(D894,'[2]stock-take'!$M:$Q,3,FALSE)), 0, VLOOKUP(D894,'[2]stock-take'!$M:$Q,3,FALSE))</f>
        <v>0</v>
      </c>
      <c r="M894" s="48" t="str">
        <f t="shared" si="40"/>
        <v xml:space="preserve"> </v>
      </c>
      <c r="N894" s="39" t="str">
        <f t="shared" si="41"/>
        <v xml:space="preserve"> </v>
      </c>
    </row>
    <row r="895" spans="1:14">
      <c r="A895" s="37">
        <f t="shared" si="39"/>
        <v>884</v>
      </c>
      <c r="G895" s="48" t="str">
        <f>IF(F895=""," ",IF(ISNA(VLOOKUP(D895,'[2]stock-take'!$A:$E,4,FALSE)), "OUT OF STOCK", VLOOKUP(D895,'[2]stock-take'!$A:$E,4,FALSE)))</f>
        <v xml:space="preserve"> </v>
      </c>
      <c r="H895" s="48">
        <f>IF(ISNA(VLOOKUP(D895,'[2]stock-take'!$A:$E,3,FALSE)), 0, VLOOKUP(D895,'[2]stock-take'!$A:$E,3,FALSE))</f>
        <v>0</v>
      </c>
      <c r="I895" s="48" t="str">
        <f>IF(F895="", " ",IF(ISNA(VLOOKUP(D895,'[2]stock-take'!$G:$K,4,FALSE)), "OUT OF STOCK", VLOOKUP(D895,'[2]stock-take'!$G:$K,4,FALSE)))</f>
        <v xml:space="preserve"> </v>
      </c>
      <c r="J895" s="39">
        <f>IF(ISNA(VLOOKUP(D895,'[2]stock-take'!$G:$K,3,FALSE)), 0, VLOOKUP(D895,'[2]stock-take'!$G:$K,3,FALSE))</f>
        <v>0</v>
      </c>
      <c r="K895" s="49" t="str">
        <f>IF(F895="", " ", IF(ISNA(VLOOKUP(D895,'[2]stock-take'!$M:$Q,4,FALSE)), "OUT OF STOCK", VLOOKUP(D895,'[2]stock-take'!$M:$Q,4,FALSE)))</f>
        <v xml:space="preserve"> </v>
      </c>
      <c r="L895" s="47">
        <f>IF(ISNA(VLOOKUP(D895,'[2]stock-take'!$M:$Q,3,FALSE)), 0, VLOOKUP(D895,'[2]stock-take'!$M:$Q,3,FALSE))</f>
        <v>0</v>
      </c>
      <c r="M895" s="48" t="str">
        <f t="shared" si="40"/>
        <v xml:space="preserve"> </v>
      </c>
      <c r="N895" s="39" t="str">
        <f t="shared" si="41"/>
        <v xml:space="preserve"> </v>
      </c>
    </row>
    <row r="896" spans="1:14">
      <c r="A896" s="37">
        <f t="shared" si="39"/>
        <v>885</v>
      </c>
      <c r="G896" s="48" t="str">
        <f>IF(F896=""," ",IF(ISNA(VLOOKUP(D896,'[2]stock-take'!$A:$E,4,FALSE)), "OUT OF STOCK", VLOOKUP(D896,'[2]stock-take'!$A:$E,4,FALSE)))</f>
        <v xml:space="preserve"> </v>
      </c>
      <c r="H896" s="48">
        <f>IF(ISNA(VLOOKUP(D896,'[2]stock-take'!$A:$E,3,FALSE)), 0, VLOOKUP(D896,'[2]stock-take'!$A:$E,3,FALSE))</f>
        <v>0</v>
      </c>
      <c r="I896" s="48" t="str">
        <f>IF(F896="", " ",IF(ISNA(VLOOKUP(D896,'[2]stock-take'!$G:$K,4,FALSE)), "OUT OF STOCK", VLOOKUP(D896,'[2]stock-take'!$G:$K,4,FALSE)))</f>
        <v xml:space="preserve"> </v>
      </c>
      <c r="J896" s="39">
        <f>IF(ISNA(VLOOKUP(D896,'[2]stock-take'!$G:$K,3,FALSE)), 0, VLOOKUP(D896,'[2]stock-take'!$G:$K,3,FALSE))</f>
        <v>0</v>
      </c>
      <c r="K896" s="49" t="str">
        <f>IF(F896="", " ", IF(ISNA(VLOOKUP(D896,'[2]stock-take'!$M:$Q,4,FALSE)), "OUT OF STOCK", VLOOKUP(D896,'[2]stock-take'!$M:$Q,4,FALSE)))</f>
        <v xml:space="preserve"> </v>
      </c>
      <c r="L896" s="47">
        <f>IF(ISNA(VLOOKUP(D896,'[2]stock-take'!$M:$Q,3,FALSE)), 0, VLOOKUP(D896,'[2]stock-take'!$M:$Q,3,FALSE))</f>
        <v>0</v>
      </c>
      <c r="M896" s="48" t="str">
        <f t="shared" si="40"/>
        <v xml:space="preserve"> </v>
      </c>
      <c r="N896" s="39" t="str">
        <f t="shared" si="41"/>
        <v xml:space="preserve"> </v>
      </c>
    </row>
    <row r="897" spans="1:14">
      <c r="A897" s="37">
        <f t="shared" si="39"/>
        <v>886</v>
      </c>
      <c r="G897" s="48" t="str">
        <f>IF(F897=""," ",IF(ISNA(VLOOKUP(D897,'[2]stock-take'!$A:$E,4,FALSE)), "OUT OF STOCK", VLOOKUP(D897,'[2]stock-take'!$A:$E,4,FALSE)))</f>
        <v xml:space="preserve"> </v>
      </c>
      <c r="H897" s="48">
        <f>IF(ISNA(VLOOKUP(D897,'[2]stock-take'!$A:$E,3,FALSE)), 0, VLOOKUP(D897,'[2]stock-take'!$A:$E,3,FALSE))</f>
        <v>0</v>
      </c>
      <c r="I897" s="48" t="str">
        <f>IF(F897="", " ",IF(ISNA(VLOOKUP(D897,'[2]stock-take'!$G:$K,4,FALSE)), "OUT OF STOCK", VLOOKUP(D897,'[2]stock-take'!$G:$K,4,FALSE)))</f>
        <v xml:space="preserve"> </v>
      </c>
      <c r="J897" s="39">
        <f>IF(ISNA(VLOOKUP(D897,'[2]stock-take'!$G:$K,3,FALSE)), 0, VLOOKUP(D897,'[2]stock-take'!$G:$K,3,FALSE))</f>
        <v>0</v>
      </c>
      <c r="K897" s="49" t="str">
        <f>IF(F897="", " ", IF(ISNA(VLOOKUP(D897,'[2]stock-take'!$M:$Q,4,FALSE)), "OUT OF STOCK", VLOOKUP(D897,'[2]stock-take'!$M:$Q,4,FALSE)))</f>
        <v xml:space="preserve"> </v>
      </c>
      <c r="L897" s="47">
        <f>IF(ISNA(VLOOKUP(D897,'[2]stock-take'!$M:$Q,3,FALSE)), 0, VLOOKUP(D897,'[2]stock-take'!$M:$Q,3,FALSE))</f>
        <v>0</v>
      </c>
      <c r="M897" s="48" t="str">
        <f t="shared" si="40"/>
        <v xml:space="preserve"> </v>
      </c>
      <c r="N897" s="39" t="str">
        <f t="shared" si="41"/>
        <v xml:space="preserve"> </v>
      </c>
    </row>
    <row r="898" spans="1:14">
      <c r="A898" s="37">
        <f t="shared" si="39"/>
        <v>887</v>
      </c>
      <c r="G898" s="48" t="str">
        <f>IF(F898=""," ",IF(ISNA(VLOOKUP(D898,'[2]stock-take'!$A:$E,4,FALSE)), "OUT OF STOCK", VLOOKUP(D898,'[2]stock-take'!$A:$E,4,FALSE)))</f>
        <v xml:space="preserve"> </v>
      </c>
      <c r="H898" s="48">
        <f>IF(ISNA(VLOOKUP(D898,'[2]stock-take'!$A:$E,3,FALSE)), 0, VLOOKUP(D898,'[2]stock-take'!$A:$E,3,FALSE))</f>
        <v>0</v>
      </c>
      <c r="I898" s="48" t="str">
        <f>IF(F898="", " ",IF(ISNA(VLOOKUP(D898,'[2]stock-take'!$G:$K,4,FALSE)), "OUT OF STOCK", VLOOKUP(D898,'[2]stock-take'!$G:$K,4,FALSE)))</f>
        <v xml:space="preserve"> </v>
      </c>
      <c r="J898" s="39">
        <f>IF(ISNA(VLOOKUP(D898,'[2]stock-take'!$G:$K,3,FALSE)), 0, VLOOKUP(D898,'[2]stock-take'!$G:$K,3,FALSE))</f>
        <v>0</v>
      </c>
      <c r="K898" s="49" t="str">
        <f>IF(F898="", " ", IF(ISNA(VLOOKUP(D898,'[2]stock-take'!$M:$Q,4,FALSE)), "OUT OF STOCK", VLOOKUP(D898,'[2]stock-take'!$M:$Q,4,FALSE)))</f>
        <v xml:space="preserve"> </v>
      </c>
      <c r="L898" s="47">
        <f>IF(ISNA(VLOOKUP(D898,'[2]stock-take'!$M:$Q,3,FALSE)), 0, VLOOKUP(D898,'[2]stock-take'!$M:$Q,3,FALSE))</f>
        <v>0</v>
      </c>
      <c r="M898" s="48" t="str">
        <f t="shared" si="40"/>
        <v xml:space="preserve"> </v>
      </c>
      <c r="N898" s="39" t="str">
        <f t="shared" si="41"/>
        <v xml:space="preserve"> </v>
      </c>
    </row>
    <row r="899" spans="1:14">
      <c r="A899" s="37">
        <f t="shared" si="39"/>
        <v>888</v>
      </c>
      <c r="G899" s="48" t="str">
        <f>IF(F899=""," ",IF(ISNA(VLOOKUP(D899,'[2]stock-take'!$A:$E,4,FALSE)), "OUT OF STOCK", VLOOKUP(D899,'[2]stock-take'!$A:$E,4,FALSE)))</f>
        <v xml:space="preserve"> </v>
      </c>
      <c r="H899" s="48">
        <f>IF(ISNA(VLOOKUP(D899,'[2]stock-take'!$A:$E,3,FALSE)), 0, VLOOKUP(D899,'[2]stock-take'!$A:$E,3,FALSE))</f>
        <v>0</v>
      </c>
      <c r="I899" s="48" t="str">
        <f>IF(F899="", " ",IF(ISNA(VLOOKUP(D899,'[2]stock-take'!$G:$K,4,FALSE)), "OUT OF STOCK", VLOOKUP(D899,'[2]stock-take'!$G:$K,4,FALSE)))</f>
        <v xml:space="preserve"> </v>
      </c>
      <c r="J899" s="39">
        <f>IF(ISNA(VLOOKUP(D899,'[2]stock-take'!$G:$K,3,FALSE)), 0, VLOOKUP(D899,'[2]stock-take'!$G:$K,3,FALSE))</f>
        <v>0</v>
      </c>
      <c r="K899" s="49" t="str">
        <f>IF(F899="", " ", IF(ISNA(VLOOKUP(D899,'[2]stock-take'!$M:$Q,4,FALSE)), "OUT OF STOCK", VLOOKUP(D899,'[2]stock-take'!$M:$Q,4,FALSE)))</f>
        <v xml:space="preserve"> </v>
      </c>
      <c r="L899" s="47">
        <f>IF(ISNA(VLOOKUP(D899,'[2]stock-take'!$M:$Q,3,FALSE)), 0, VLOOKUP(D899,'[2]stock-take'!$M:$Q,3,FALSE))</f>
        <v>0</v>
      </c>
      <c r="M899" s="48" t="str">
        <f t="shared" si="40"/>
        <v xml:space="preserve"> </v>
      </c>
      <c r="N899" s="39" t="str">
        <f t="shared" si="41"/>
        <v xml:space="preserve"> </v>
      </c>
    </row>
    <row r="900" spans="1:14">
      <c r="A900" s="37">
        <f t="shared" si="39"/>
        <v>889</v>
      </c>
      <c r="G900" s="48" t="str">
        <f>IF(F900=""," ",IF(ISNA(VLOOKUP(D900,'[2]stock-take'!$A:$E,4,FALSE)), "OUT OF STOCK", VLOOKUP(D900,'[2]stock-take'!$A:$E,4,FALSE)))</f>
        <v xml:space="preserve"> </v>
      </c>
      <c r="H900" s="48">
        <f>IF(ISNA(VLOOKUP(D900,'[2]stock-take'!$A:$E,3,FALSE)), 0, VLOOKUP(D900,'[2]stock-take'!$A:$E,3,FALSE))</f>
        <v>0</v>
      </c>
      <c r="I900" s="48" t="str">
        <f>IF(F900="", " ",IF(ISNA(VLOOKUP(D900,'[2]stock-take'!$G:$K,4,FALSE)), "OUT OF STOCK", VLOOKUP(D900,'[2]stock-take'!$G:$K,4,FALSE)))</f>
        <v xml:space="preserve"> </v>
      </c>
      <c r="J900" s="39">
        <f>IF(ISNA(VLOOKUP(D900,'[2]stock-take'!$G:$K,3,FALSE)), 0, VLOOKUP(D900,'[2]stock-take'!$G:$K,3,FALSE))</f>
        <v>0</v>
      </c>
      <c r="K900" s="49" t="str">
        <f>IF(F900="", " ", IF(ISNA(VLOOKUP(D900,'[2]stock-take'!$M:$Q,4,FALSE)), "OUT OF STOCK", VLOOKUP(D900,'[2]stock-take'!$M:$Q,4,FALSE)))</f>
        <v xml:space="preserve"> </v>
      </c>
      <c r="L900" s="47">
        <f>IF(ISNA(VLOOKUP(D900,'[2]stock-take'!$M:$Q,3,FALSE)), 0, VLOOKUP(D900,'[2]stock-take'!$M:$Q,3,FALSE))</f>
        <v>0</v>
      </c>
      <c r="M900" s="48" t="str">
        <f t="shared" si="40"/>
        <v xml:space="preserve"> </v>
      </c>
      <c r="N900" s="39" t="str">
        <f t="shared" si="41"/>
        <v xml:space="preserve"> </v>
      </c>
    </row>
    <row r="901" spans="1:14">
      <c r="A901" s="37">
        <f t="shared" si="39"/>
        <v>890</v>
      </c>
      <c r="G901" s="48" t="str">
        <f>IF(F901=""," ",IF(ISNA(VLOOKUP(D901,'[2]stock-take'!$A:$E,4,FALSE)), "OUT OF STOCK", VLOOKUP(D901,'[2]stock-take'!$A:$E,4,FALSE)))</f>
        <v xml:space="preserve"> </v>
      </c>
      <c r="H901" s="48">
        <f>IF(ISNA(VLOOKUP(D901,'[2]stock-take'!$A:$E,3,FALSE)), 0, VLOOKUP(D901,'[2]stock-take'!$A:$E,3,FALSE))</f>
        <v>0</v>
      </c>
      <c r="I901" s="48" t="str">
        <f>IF(F901="", " ",IF(ISNA(VLOOKUP(D901,'[2]stock-take'!$G:$K,4,FALSE)), "OUT OF STOCK", VLOOKUP(D901,'[2]stock-take'!$G:$K,4,FALSE)))</f>
        <v xml:space="preserve"> </v>
      </c>
      <c r="J901" s="39">
        <f>IF(ISNA(VLOOKUP(D901,'[2]stock-take'!$G:$K,3,FALSE)), 0, VLOOKUP(D901,'[2]stock-take'!$G:$K,3,FALSE))</f>
        <v>0</v>
      </c>
      <c r="K901" s="49" t="str">
        <f>IF(F901="", " ", IF(ISNA(VLOOKUP(D901,'[2]stock-take'!$M:$Q,4,FALSE)), "OUT OF STOCK", VLOOKUP(D901,'[2]stock-take'!$M:$Q,4,FALSE)))</f>
        <v xml:space="preserve"> </v>
      </c>
      <c r="L901" s="47">
        <f>IF(ISNA(VLOOKUP(D901,'[2]stock-take'!$M:$Q,3,FALSE)), 0, VLOOKUP(D901,'[2]stock-take'!$M:$Q,3,FALSE))</f>
        <v>0</v>
      </c>
      <c r="M901" s="48" t="str">
        <f t="shared" si="40"/>
        <v xml:space="preserve"> </v>
      </c>
      <c r="N901" s="39" t="str">
        <f t="shared" si="41"/>
        <v xml:space="preserve"> </v>
      </c>
    </row>
    <row r="902" spans="1:14">
      <c r="A902" s="37">
        <f t="shared" si="39"/>
        <v>891</v>
      </c>
      <c r="G902" s="48" t="str">
        <f>IF(F902=""," ",IF(ISNA(VLOOKUP(D902,'[2]stock-take'!$A:$E,4,FALSE)), "OUT OF STOCK", VLOOKUP(D902,'[2]stock-take'!$A:$E,4,FALSE)))</f>
        <v xml:space="preserve"> </v>
      </c>
      <c r="H902" s="48">
        <f>IF(ISNA(VLOOKUP(D902,'[2]stock-take'!$A:$E,3,FALSE)), 0, VLOOKUP(D902,'[2]stock-take'!$A:$E,3,FALSE))</f>
        <v>0</v>
      </c>
      <c r="I902" s="48" t="str">
        <f>IF(F902="", " ",IF(ISNA(VLOOKUP(D902,'[2]stock-take'!$G:$K,4,FALSE)), "OUT OF STOCK", VLOOKUP(D902,'[2]stock-take'!$G:$K,4,FALSE)))</f>
        <v xml:space="preserve"> </v>
      </c>
      <c r="J902" s="39">
        <f>IF(ISNA(VLOOKUP(D902,'[2]stock-take'!$G:$K,3,FALSE)), 0, VLOOKUP(D902,'[2]stock-take'!$G:$K,3,FALSE))</f>
        <v>0</v>
      </c>
      <c r="K902" s="49" t="str">
        <f>IF(F902="", " ", IF(ISNA(VLOOKUP(D902,'[2]stock-take'!$M:$Q,4,FALSE)), "OUT OF STOCK", VLOOKUP(D902,'[2]stock-take'!$M:$Q,4,FALSE)))</f>
        <v xml:space="preserve"> </v>
      </c>
      <c r="L902" s="47">
        <f>IF(ISNA(VLOOKUP(D902,'[2]stock-take'!$M:$Q,3,FALSE)), 0, VLOOKUP(D902,'[2]stock-take'!$M:$Q,3,FALSE))</f>
        <v>0</v>
      </c>
      <c r="M902" s="48" t="str">
        <f t="shared" si="40"/>
        <v xml:space="preserve"> </v>
      </c>
      <c r="N902" s="39" t="str">
        <f t="shared" si="41"/>
        <v xml:space="preserve"> </v>
      </c>
    </row>
    <row r="903" spans="1:14">
      <c r="A903" s="37">
        <f t="shared" si="39"/>
        <v>892</v>
      </c>
      <c r="G903" s="48" t="str">
        <f>IF(F903=""," ",IF(ISNA(VLOOKUP(D903,'[2]stock-take'!$A:$E,4,FALSE)), "OUT OF STOCK", VLOOKUP(D903,'[2]stock-take'!$A:$E,4,FALSE)))</f>
        <v xml:space="preserve"> </v>
      </c>
      <c r="H903" s="48">
        <f>IF(ISNA(VLOOKUP(D903,'[2]stock-take'!$A:$E,3,FALSE)), 0, VLOOKUP(D903,'[2]stock-take'!$A:$E,3,FALSE))</f>
        <v>0</v>
      </c>
      <c r="I903" s="48" t="str">
        <f>IF(F903="", " ",IF(ISNA(VLOOKUP(D903,'[2]stock-take'!$G:$K,4,FALSE)), "OUT OF STOCK", VLOOKUP(D903,'[2]stock-take'!$G:$K,4,FALSE)))</f>
        <v xml:space="preserve"> </v>
      </c>
      <c r="J903" s="39">
        <f>IF(ISNA(VLOOKUP(D903,'[2]stock-take'!$G:$K,3,FALSE)), 0, VLOOKUP(D903,'[2]stock-take'!$G:$K,3,FALSE))</f>
        <v>0</v>
      </c>
      <c r="K903" s="49" t="str">
        <f>IF(F903="", " ", IF(ISNA(VLOOKUP(D903,'[2]stock-take'!$M:$Q,4,FALSE)), "OUT OF STOCK", VLOOKUP(D903,'[2]stock-take'!$M:$Q,4,FALSE)))</f>
        <v xml:space="preserve"> </v>
      </c>
      <c r="L903" s="47">
        <f>IF(ISNA(VLOOKUP(D903,'[2]stock-take'!$M:$Q,3,FALSE)), 0, VLOOKUP(D903,'[2]stock-take'!$M:$Q,3,FALSE))</f>
        <v>0</v>
      </c>
      <c r="M903" s="48" t="str">
        <f t="shared" si="40"/>
        <v xml:space="preserve"> </v>
      </c>
      <c r="N903" s="39" t="str">
        <f t="shared" si="41"/>
        <v xml:space="preserve"> </v>
      </c>
    </row>
    <row r="904" spans="1:14">
      <c r="A904" s="37">
        <f t="shared" si="39"/>
        <v>893</v>
      </c>
      <c r="G904" s="48" t="str">
        <f>IF(F904=""," ",IF(ISNA(VLOOKUP(D904,'[2]stock-take'!$A:$E,4,FALSE)), "OUT OF STOCK", VLOOKUP(D904,'[2]stock-take'!$A:$E,4,FALSE)))</f>
        <v xml:space="preserve"> </v>
      </c>
      <c r="H904" s="48">
        <f>IF(ISNA(VLOOKUP(D904,'[2]stock-take'!$A:$E,3,FALSE)), 0, VLOOKUP(D904,'[2]stock-take'!$A:$E,3,FALSE))</f>
        <v>0</v>
      </c>
      <c r="I904" s="48" t="str">
        <f>IF(F904="", " ",IF(ISNA(VLOOKUP(D904,'[2]stock-take'!$G:$K,4,FALSE)), "OUT OF STOCK", VLOOKUP(D904,'[2]stock-take'!$G:$K,4,FALSE)))</f>
        <v xml:space="preserve"> </v>
      </c>
      <c r="J904" s="39">
        <f>IF(ISNA(VLOOKUP(D904,'[2]stock-take'!$G:$K,3,FALSE)), 0, VLOOKUP(D904,'[2]stock-take'!$G:$K,3,FALSE))</f>
        <v>0</v>
      </c>
      <c r="K904" s="49" t="str">
        <f>IF(F904="", " ", IF(ISNA(VLOOKUP(D904,'[2]stock-take'!$M:$Q,4,FALSE)), "OUT OF STOCK", VLOOKUP(D904,'[2]stock-take'!$M:$Q,4,FALSE)))</f>
        <v xml:space="preserve"> </v>
      </c>
      <c r="L904" s="47">
        <f>IF(ISNA(VLOOKUP(D904,'[2]stock-take'!$M:$Q,3,FALSE)), 0, VLOOKUP(D904,'[2]stock-take'!$M:$Q,3,FALSE))</f>
        <v>0</v>
      </c>
      <c r="M904" s="48" t="str">
        <f t="shared" si="40"/>
        <v xml:space="preserve"> </v>
      </c>
      <c r="N904" s="39" t="str">
        <f t="shared" si="41"/>
        <v xml:space="preserve"> </v>
      </c>
    </row>
    <row r="905" spans="1:14">
      <c r="A905" s="37">
        <f t="shared" si="39"/>
        <v>894</v>
      </c>
      <c r="G905" s="48" t="str">
        <f>IF(F905=""," ",IF(ISNA(VLOOKUP(D905,'[2]stock-take'!$A:$E,4,FALSE)), "OUT OF STOCK", VLOOKUP(D905,'[2]stock-take'!$A:$E,4,FALSE)))</f>
        <v xml:space="preserve"> </v>
      </c>
      <c r="H905" s="48">
        <f>IF(ISNA(VLOOKUP(D905,'[2]stock-take'!$A:$E,3,FALSE)), 0, VLOOKUP(D905,'[2]stock-take'!$A:$E,3,FALSE))</f>
        <v>0</v>
      </c>
      <c r="I905" s="48" t="str">
        <f>IF(F905="", " ",IF(ISNA(VLOOKUP(D905,'[2]stock-take'!$G:$K,4,FALSE)), "OUT OF STOCK", VLOOKUP(D905,'[2]stock-take'!$G:$K,4,FALSE)))</f>
        <v xml:space="preserve"> </v>
      </c>
      <c r="J905" s="39">
        <f>IF(ISNA(VLOOKUP(D905,'[2]stock-take'!$G:$K,3,FALSE)), 0, VLOOKUP(D905,'[2]stock-take'!$G:$K,3,FALSE))</f>
        <v>0</v>
      </c>
      <c r="K905" s="49" t="str">
        <f>IF(F905="", " ", IF(ISNA(VLOOKUP(D905,'[2]stock-take'!$M:$Q,4,FALSE)), "OUT OF STOCK", VLOOKUP(D905,'[2]stock-take'!$M:$Q,4,FALSE)))</f>
        <v xml:space="preserve"> </v>
      </c>
      <c r="L905" s="47">
        <f>IF(ISNA(VLOOKUP(D905,'[2]stock-take'!$M:$Q,3,FALSE)), 0, VLOOKUP(D905,'[2]stock-take'!$M:$Q,3,FALSE))</f>
        <v>0</v>
      </c>
      <c r="M905" s="48" t="str">
        <f t="shared" si="40"/>
        <v xml:space="preserve"> </v>
      </c>
      <c r="N905" s="39" t="str">
        <f t="shared" si="41"/>
        <v xml:space="preserve"> </v>
      </c>
    </row>
    <row r="906" spans="1:14">
      <c r="A906" s="37">
        <f t="shared" si="39"/>
        <v>895</v>
      </c>
      <c r="G906" s="48" t="str">
        <f>IF(F906=""," ",IF(ISNA(VLOOKUP(D906,'[2]stock-take'!$A:$E,4,FALSE)), "OUT OF STOCK", VLOOKUP(D906,'[2]stock-take'!$A:$E,4,FALSE)))</f>
        <v xml:space="preserve"> </v>
      </c>
      <c r="H906" s="48">
        <f>IF(ISNA(VLOOKUP(D906,'[2]stock-take'!$A:$E,3,FALSE)), 0, VLOOKUP(D906,'[2]stock-take'!$A:$E,3,FALSE))</f>
        <v>0</v>
      </c>
      <c r="I906" s="48" t="str">
        <f>IF(F906="", " ",IF(ISNA(VLOOKUP(D906,'[2]stock-take'!$G:$K,4,FALSE)), "OUT OF STOCK", VLOOKUP(D906,'[2]stock-take'!$G:$K,4,FALSE)))</f>
        <v xml:space="preserve"> </v>
      </c>
      <c r="J906" s="39">
        <f>IF(ISNA(VLOOKUP(D906,'[2]stock-take'!$G:$K,3,FALSE)), 0, VLOOKUP(D906,'[2]stock-take'!$G:$K,3,FALSE))</f>
        <v>0</v>
      </c>
      <c r="K906" s="49" t="str">
        <f>IF(F906="", " ", IF(ISNA(VLOOKUP(D906,'[2]stock-take'!$M:$Q,4,FALSE)), "OUT OF STOCK", VLOOKUP(D906,'[2]stock-take'!$M:$Q,4,FALSE)))</f>
        <v xml:space="preserve"> </v>
      </c>
      <c r="L906" s="47">
        <f>IF(ISNA(VLOOKUP(D906,'[2]stock-take'!$M:$Q,3,FALSE)), 0, VLOOKUP(D906,'[2]stock-take'!$M:$Q,3,FALSE))</f>
        <v>0</v>
      </c>
      <c r="M906" s="48" t="str">
        <f t="shared" si="40"/>
        <v xml:space="preserve"> </v>
      </c>
      <c r="N906" s="39" t="str">
        <f t="shared" si="41"/>
        <v xml:space="preserve"> </v>
      </c>
    </row>
    <row r="907" spans="1:14">
      <c r="A907" s="37">
        <f t="shared" si="39"/>
        <v>896</v>
      </c>
      <c r="G907" s="48" t="str">
        <f>IF(F907=""," ",IF(ISNA(VLOOKUP(D907,'[2]stock-take'!$A:$E,4,FALSE)), "OUT OF STOCK", VLOOKUP(D907,'[2]stock-take'!$A:$E,4,FALSE)))</f>
        <v xml:space="preserve"> </v>
      </c>
      <c r="H907" s="48">
        <f>IF(ISNA(VLOOKUP(D907,'[2]stock-take'!$A:$E,3,FALSE)), 0, VLOOKUP(D907,'[2]stock-take'!$A:$E,3,FALSE))</f>
        <v>0</v>
      </c>
      <c r="I907" s="48" t="str">
        <f>IF(F907="", " ",IF(ISNA(VLOOKUP(D907,'[2]stock-take'!$G:$K,4,FALSE)), "OUT OF STOCK", VLOOKUP(D907,'[2]stock-take'!$G:$K,4,FALSE)))</f>
        <v xml:space="preserve"> </v>
      </c>
      <c r="J907" s="39">
        <f>IF(ISNA(VLOOKUP(D907,'[2]stock-take'!$G:$K,3,FALSE)), 0, VLOOKUP(D907,'[2]stock-take'!$G:$K,3,FALSE))</f>
        <v>0</v>
      </c>
      <c r="K907" s="49" t="str">
        <f>IF(F907="", " ", IF(ISNA(VLOOKUP(D907,'[2]stock-take'!$M:$Q,4,FALSE)), "OUT OF STOCK", VLOOKUP(D907,'[2]stock-take'!$M:$Q,4,FALSE)))</f>
        <v xml:space="preserve"> </v>
      </c>
      <c r="L907" s="47">
        <f>IF(ISNA(VLOOKUP(D907,'[2]stock-take'!$M:$Q,3,FALSE)), 0, VLOOKUP(D907,'[2]stock-take'!$M:$Q,3,FALSE))</f>
        <v>0</v>
      </c>
      <c r="M907" s="48" t="str">
        <f t="shared" si="40"/>
        <v xml:space="preserve"> </v>
      </c>
      <c r="N907" s="39" t="str">
        <f t="shared" si="41"/>
        <v xml:space="preserve"> </v>
      </c>
    </row>
    <row r="908" spans="1:14">
      <c r="A908" s="37">
        <f t="shared" ref="A908:A971" si="42">ROW(A908)-11</f>
        <v>897</v>
      </c>
      <c r="G908" s="48" t="str">
        <f>IF(F908=""," ",IF(ISNA(VLOOKUP(D908,'[2]stock-take'!$A:$E,4,FALSE)), "OUT OF STOCK", VLOOKUP(D908,'[2]stock-take'!$A:$E,4,FALSE)))</f>
        <v xml:space="preserve"> </v>
      </c>
      <c r="H908" s="48">
        <f>IF(ISNA(VLOOKUP(D908,'[2]stock-take'!$A:$E,3,FALSE)), 0, VLOOKUP(D908,'[2]stock-take'!$A:$E,3,FALSE))</f>
        <v>0</v>
      </c>
      <c r="I908" s="48" t="str">
        <f>IF(F908="", " ",IF(ISNA(VLOOKUP(D908,'[2]stock-take'!$G:$K,4,FALSE)), "OUT OF STOCK", VLOOKUP(D908,'[2]stock-take'!$G:$K,4,FALSE)))</f>
        <v xml:space="preserve"> </v>
      </c>
      <c r="J908" s="39">
        <f>IF(ISNA(VLOOKUP(D908,'[2]stock-take'!$G:$K,3,FALSE)), 0, VLOOKUP(D908,'[2]stock-take'!$G:$K,3,FALSE))</f>
        <v>0</v>
      </c>
      <c r="K908" s="49" t="str">
        <f>IF(F908="", " ", IF(ISNA(VLOOKUP(D908,'[2]stock-take'!$M:$Q,4,FALSE)), "OUT OF STOCK", VLOOKUP(D908,'[2]stock-take'!$M:$Q,4,FALSE)))</f>
        <v xml:space="preserve"> </v>
      </c>
      <c r="L908" s="47">
        <f>IF(ISNA(VLOOKUP(D908,'[2]stock-take'!$M:$Q,3,FALSE)), 0, VLOOKUP(D908,'[2]stock-take'!$M:$Q,3,FALSE))</f>
        <v>0</v>
      </c>
      <c r="M908" s="48" t="str">
        <f t="shared" si="40"/>
        <v xml:space="preserve"> </v>
      </c>
      <c r="N908" s="39" t="str">
        <f t="shared" si="41"/>
        <v xml:space="preserve"> </v>
      </c>
    </row>
    <row r="909" spans="1:14">
      <c r="A909" s="37">
        <f t="shared" si="42"/>
        <v>898</v>
      </c>
      <c r="G909" s="48" t="str">
        <f>IF(F909=""," ",IF(ISNA(VLOOKUP(D909,'[2]stock-take'!$A:$E,4,FALSE)), "OUT OF STOCK", VLOOKUP(D909,'[2]stock-take'!$A:$E,4,FALSE)))</f>
        <v xml:space="preserve"> </v>
      </c>
      <c r="H909" s="48">
        <f>IF(ISNA(VLOOKUP(D909,'[2]stock-take'!$A:$E,3,FALSE)), 0, VLOOKUP(D909,'[2]stock-take'!$A:$E,3,FALSE))</f>
        <v>0</v>
      </c>
      <c r="I909" s="48" t="str">
        <f>IF(F909="", " ",IF(ISNA(VLOOKUP(D909,'[2]stock-take'!$G:$K,4,FALSE)), "OUT OF STOCK", VLOOKUP(D909,'[2]stock-take'!$G:$K,4,FALSE)))</f>
        <v xml:space="preserve"> </v>
      </c>
      <c r="J909" s="39">
        <f>IF(ISNA(VLOOKUP(D909,'[2]stock-take'!$G:$K,3,FALSE)), 0, VLOOKUP(D909,'[2]stock-take'!$G:$K,3,FALSE))</f>
        <v>0</v>
      </c>
      <c r="K909" s="49" t="str">
        <f>IF(F909="", " ", IF(ISNA(VLOOKUP(D909,'[2]stock-take'!$M:$Q,4,FALSE)), "OUT OF STOCK", VLOOKUP(D909,'[2]stock-take'!$M:$Q,4,FALSE)))</f>
        <v xml:space="preserve"> </v>
      </c>
      <c r="L909" s="47">
        <f>IF(ISNA(VLOOKUP(D909,'[2]stock-take'!$M:$Q,3,FALSE)), 0, VLOOKUP(D909,'[2]stock-take'!$M:$Q,3,FALSE))</f>
        <v>0</v>
      </c>
      <c r="M909" s="48" t="str">
        <f t="shared" ref="M909:M972" si="43">IF(F909=""," ",IF(H909&gt;=F909,"Y",IF(J909&gt;=F909,"Y",IF(L909&gt;=F909,"Y",IF(SUM(H909,J909,L909)&gt;=F909,"Y","N")))))</f>
        <v xml:space="preserve"> </v>
      </c>
      <c r="N909" s="39" t="str">
        <f t="shared" ref="N909:N972" si="44">IF(F909=""," ",IF(H909&gt;=F909,"ILOOM",IF(J909&gt;=F909,"NO.6",IF(L909&gt;=F909,"RMD",IF(SUM(H909,J909,L909)&gt;=F909,"MULTI","LACK")))))</f>
        <v xml:space="preserve"> </v>
      </c>
    </row>
    <row r="910" spans="1:14">
      <c r="A910" s="37">
        <f t="shared" si="42"/>
        <v>899</v>
      </c>
      <c r="G910" s="48" t="str">
        <f>IF(F910=""," ",IF(ISNA(VLOOKUP(D910,'[2]stock-take'!$A:$E,4,FALSE)), "OUT OF STOCK", VLOOKUP(D910,'[2]stock-take'!$A:$E,4,FALSE)))</f>
        <v xml:space="preserve"> </v>
      </c>
      <c r="H910" s="48">
        <f>IF(ISNA(VLOOKUP(D910,'[2]stock-take'!$A:$E,3,FALSE)), 0, VLOOKUP(D910,'[2]stock-take'!$A:$E,3,FALSE))</f>
        <v>0</v>
      </c>
      <c r="I910" s="48" t="str">
        <f>IF(F910="", " ",IF(ISNA(VLOOKUP(D910,'[2]stock-take'!$G:$K,4,FALSE)), "OUT OF STOCK", VLOOKUP(D910,'[2]stock-take'!$G:$K,4,FALSE)))</f>
        <v xml:space="preserve"> </v>
      </c>
      <c r="J910" s="39">
        <f>IF(ISNA(VLOOKUP(D910,'[2]stock-take'!$G:$K,3,FALSE)), 0, VLOOKUP(D910,'[2]stock-take'!$G:$K,3,FALSE))</f>
        <v>0</v>
      </c>
      <c r="K910" s="49" t="str">
        <f>IF(F910="", " ", IF(ISNA(VLOOKUP(D910,'[2]stock-take'!$M:$Q,4,FALSE)), "OUT OF STOCK", VLOOKUP(D910,'[2]stock-take'!$M:$Q,4,FALSE)))</f>
        <v xml:space="preserve"> </v>
      </c>
      <c r="L910" s="47">
        <f>IF(ISNA(VLOOKUP(D910,'[2]stock-take'!$M:$Q,3,FALSE)), 0, VLOOKUP(D910,'[2]stock-take'!$M:$Q,3,FALSE))</f>
        <v>0</v>
      </c>
      <c r="M910" s="48" t="str">
        <f t="shared" si="43"/>
        <v xml:space="preserve"> </v>
      </c>
      <c r="N910" s="39" t="str">
        <f t="shared" si="44"/>
        <v xml:space="preserve"> </v>
      </c>
    </row>
    <row r="911" spans="1:14">
      <c r="A911" s="37">
        <f t="shared" si="42"/>
        <v>900</v>
      </c>
      <c r="G911" s="48" t="str">
        <f>IF(F911=""," ",IF(ISNA(VLOOKUP(D911,'[2]stock-take'!$A:$E,4,FALSE)), "OUT OF STOCK", VLOOKUP(D911,'[2]stock-take'!$A:$E,4,FALSE)))</f>
        <v xml:space="preserve"> </v>
      </c>
      <c r="H911" s="48">
        <f>IF(ISNA(VLOOKUP(D911,'[2]stock-take'!$A:$E,3,FALSE)), 0, VLOOKUP(D911,'[2]stock-take'!$A:$E,3,FALSE))</f>
        <v>0</v>
      </c>
      <c r="I911" s="48" t="str">
        <f>IF(F911="", " ",IF(ISNA(VLOOKUP(D911,'[2]stock-take'!$G:$K,4,FALSE)), "OUT OF STOCK", VLOOKUP(D911,'[2]stock-take'!$G:$K,4,FALSE)))</f>
        <v xml:space="preserve"> </v>
      </c>
      <c r="J911" s="39">
        <f>IF(ISNA(VLOOKUP(D911,'[2]stock-take'!$G:$K,3,FALSE)), 0, VLOOKUP(D911,'[2]stock-take'!$G:$K,3,FALSE))</f>
        <v>0</v>
      </c>
      <c r="K911" s="49" t="str">
        <f>IF(F911="", " ", IF(ISNA(VLOOKUP(D911,'[2]stock-take'!$M:$Q,4,FALSE)), "OUT OF STOCK", VLOOKUP(D911,'[2]stock-take'!$M:$Q,4,FALSE)))</f>
        <v xml:space="preserve"> </v>
      </c>
      <c r="L911" s="47">
        <f>IF(ISNA(VLOOKUP(D911,'[2]stock-take'!$M:$Q,3,FALSE)), 0, VLOOKUP(D911,'[2]stock-take'!$M:$Q,3,FALSE))</f>
        <v>0</v>
      </c>
      <c r="M911" s="48" t="str">
        <f t="shared" si="43"/>
        <v xml:space="preserve"> </v>
      </c>
      <c r="N911" s="39" t="str">
        <f t="shared" si="44"/>
        <v xml:space="preserve"> </v>
      </c>
    </row>
    <row r="912" spans="1:14">
      <c r="A912" s="37">
        <f t="shared" si="42"/>
        <v>901</v>
      </c>
      <c r="G912" s="48" t="str">
        <f>IF(F912=""," ",IF(ISNA(VLOOKUP(D912,'[2]stock-take'!$A:$E,4,FALSE)), "OUT OF STOCK", VLOOKUP(D912,'[2]stock-take'!$A:$E,4,FALSE)))</f>
        <v xml:space="preserve"> </v>
      </c>
      <c r="H912" s="48">
        <f>IF(ISNA(VLOOKUP(D912,'[2]stock-take'!$A:$E,3,FALSE)), 0, VLOOKUP(D912,'[2]stock-take'!$A:$E,3,FALSE))</f>
        <v>0</v>
      </c>
      <c r="I912" s="48" t="str">
        <f>IF(F912="", " ",IF(ISNA(VLOOKUP(D912,'[2]stock-take'!$G:$K,4,FALSE)), "OUT OF STOCK", VLOOKUP(D912,'[2]stock-take'!$G:$K,4,FALSE)))</f>
        <v xml:space="preserve"> </v>
      </c>
      <c r="J912" s="39">
        <f>IF(ISNA(VLOOKUP(D912,'[2]stock-take'!$G:$K,3,FALSE)), 0, VLOOKUP(D912,'[2]stock-take'!$G:$K,3,FALSE))</f>
        <v>0</v>
      </c>
      <c r="K912" s="49" t="str">
        <f>IF(F912="", " ", IF(ISNA(VLOOKUP(D912,'[2]stock-take'!$M:$Q,4,FALSE)), "OUT OF STOCK", VLOOKUP(D912,'[2]stock-take'!$M:$Q,4,FALSE)))</f>
        <v xml:space="preserve"> </v>
      </c>
      <c r="L912" s="47">
        <f>IF(ISNA(VLOOKUP(D912,'[2]stock-take'!$M:$Q,3,FALSE)), 0, VLOOKUP(D912,'[2]stock-take'!$M:$Q,3,FALSE))</f>
        <v>0</v>
      </c>
      <c r="M912" s="48" t="str">
        <f t="shared" si="43"/>
        <v xml:space="preserve"> </v>
      </c>
      <c r="N912" s="39" t="str">
        <f t="shared" si="44"/>
        <v xml:space="preserve"> </v>
      </c>
    </row>
    <row r="913" spans="1:14">
      <c r="A913" s="37">
        <f t="shared" si="42"/>
        <v>902</v>
      </c>
      <c r="G913" s="48" t="str">
        <f>IF(F913=""," ",IF(ISNA(VLOOKUP(D913,'[2]stock-take'!$A:$E,4,FALSE)), "OUT OF STOCK", VLOOKUP(D913,'[2]stock-take'!$A:$E,4,FALSE)))</f>
        <v xml:space="preserve"> </v>
      </c>
      <c r="H913" s="48">
        <f>IF(ISNA(VLOOKUP(D913,'[2]stock-take'!$A:$E,3,FALSE)), 0, VLOOKUP(D913,'[2]stock-take'!$A:$E,3,FALSE))</f>
        <v>0</v>
      </c>
      <c r="I913" s="48" t="str">
        <f>IF(F913="", " ",IF(ISNA(VLOOKUP(D913,'[2]stock-take'!$G:$K,4,FALSE)), "OUT OF STOCK", VLOOKUP(D913,'[2]stock-take'!$G:$K,4,FALSE)))</f>
        <v xml:space="preserve"> </v>
      </c>
      <c r="J913" s="39">
        <f>IF(ISNA(VLOOKUP(D913,'[2]stock-take'!$G:$K,3,FALSE)), 0, VLOOKUP(D913,'[2]stock-take'!$G:$K,3,FALSE))</f>
        <v>0</v>
      </c>
      <c r="K913" s="49" t="str">
        <f>IF(F913="", " ", IF(ISNA(VLOOKUP(D913,'[2]stock-take'!$M:$Q,4,FALSE)), "OUT OF STOCK", VLOOKUP(D913,'[2]stock-take'!$M:$Q,4,FALSE)))</f>
        <v xml:space="preserve"> </v>
      </c>
      <c r="L913" s="47">
        <f>IF(ISNA(VLOOKUP(D913,'[2]stock-take'!$M:$Q,3,FALSE)), 0, VLOOKUP(D913,'[2]stock-take'!$M:$Q,3,FALSE))</f>
        <v>0</v>
      </c>
      <c r="M913" s="48" t="str">
        <f t="shared" si="43"/>
        <v xml:space="preserve"> </v>
      </c>
      <c r="N913" s="39" t="str">
        <f t="shared" si="44"/>
        <v xml:space="preserve"> </v>
      </c>
    </row>
    <row r="914" spans="1:14">
      <c r="A914" s="37">
        <f t="shared" si="42"/>
        <v>903</v>
      </c>
      <c r="G914" s="48" t="str">
        <f>IF(F914=""," ",IF(ISNA(VLOOKUP(D914,'[2]stock-take'!$A:$E,4,FALSE)), "OUT OF STOCK", VLOOKUP(D914,'[2]stock-take'!$A:$E,4,FALSE)))</f>
        <v xml:space="preserve"> </v>
      </c>
      <c r="H914" s="48">
        <f>IF(ISNA(VLOOKUP(D914,'[2]stock-take'!$A:$E,3,FALSE)), 0, VLOOKUP(D914,'[2]stock-take'!$A:$E,3,FALSE))</f>
        <v>0</v>
      </c>
      <c r="I914" s="48" t="str">
        <f>IF(F914="", " ",IF(ISNA(VLOOKUP(D914,'[2]stock-take'!$G:$K,4,FALSE)), "OUT OF STOCK", VLOOKUP(D914,'[2]stock-take'!$G:$K,4,FALSE)))</f>
        <v xml:space="preserve"> </v>
      </c>
      <c r="J914" s="39">
        <f>IF(ISNA(VLOOKUP(D914,'[2]stock-take'!$G:$K,3,FALSE)), 0, VLOOKUP(D914,'[2]stock-take'!$G:$K,3,FALSE))</f>
        <v>0</v>
      </c>
      <c r="K914" s="49" t="str">
        <f>IF(F914="", " ", IF(ISNA(VLOOKUP(D914,'[2]stock-take'!$M:$Q,4,FALSE)), "OUT OF STOCK", VLOOKUP(D914,'[2]stock-take'!$M:$Q,4,FALSE)))</f>
        <v xml:space="preserve"> </v>
      </c>
      <c r="L914" s="47">
        <f>IF(ISNA(VLOOKUP(D914,'[2]stock-take'!$M:$Q,3,FALSE)), 0, VLOOKUP(D914,'[2]stock-take'!$M:$Q,3,FALSE))</f>
        <v>0</v>
      </c>
      <c r="M914" s="48" t="str">
        <f t="shared" si="43"/>
        <v xml:space="preserve"> </v>
      </c>
      <c r="N914" s="39" t="str">
        <f t="shared" si="44"/>
        <v xml:space="preserve"> </v>
      </c>
    </row>
    <row r="915" spans="1:14">
      <c r="A915" s="37">
        <f t="shared" si="42"/>
        <v>904</v>
      </c>
      <c r="G915" s="48" t="str">
        <f>IF(F915=""," ",IF(ISNA(VLOOKUP(D915,'[2]stock-take'!$A:$E,4,FALSE)), "OUT OF STOCK", VLOOKUP(D915,'[2]stock-take'!$A:$E,4,FALSE)))</f>
        <v xml:space="preserve"> </v>
      </c>
      <c r="H915" s="48">
        <f>IF(ISNA(VLOOKUP(D915,'[2]stock-take'!$A:$E,3,FALSE)), 0, VLOOKUP(D915,'[2]stock-take'!$A:$E,3,FALSE))</f>
        <v>0</v>
      </c>
      <c r="I915" s="48" t="str">
        <f>IF(F915="", " ",IF(ISNA(VLOOKUP(D915,'[2]stock-take'!$G:$K,4,FALSE)), "OUT OF STOCK", VLOOKUP(D915,'[2]stock-take'!$G:$K,4,FALSE)))</f>
        <v xml:space="preserve"> </v>
      </c>
      <c r="J915" s="39">
        <f>IF(ISNA(VLOOKUP(D915,'[2]stock-take'!$G:$K,3,FALSE)), 0, VLOOKUP(D915,'[2]stock-take'!$G:$K,3,FALSE))</f>
        <v>0</v>
      </c>
      <c r="K915" s="49" t="str">
        <f>IF(F915="", " ", IF(ISNA(VLOOKUP(D915,'[2]stock-take'!$M:$Q,4,FALSE)), "OUT OF STOCK", VLOOKUP(D915,'[2]stock-take'!$M:$Q,4,FALSE)))</f>
        <v xml:space="preserve"> </v>
      </c>
      <c r="L915" s="47">
        <f>IF(ISNA(VLOOKUP(D915,'[2]stock-take'!$M:$Q,3,FALSE)), 0, VLOOKUP(D915,'[2]stock-take'!$M:$Q,3,FALSE))</f>
        <v>0</v>
      </c>
      <c r="M915" s="48" t="str">
        <f t="shared" si="43"/>
        <v xml:space="preserve"> </v>
      </c>
      <c r="N915" s="39" t="str">
        <f t="shared" si="44"/>
        <v xml:space="preserve"> </v>
      </c>
    </row>
    <row r="916" spans="1:14">
      <c r="A916" s="37">
        <f t="shared" si="42"/>
        <v>905</v>
      </c>
      <c r="G916" s="48" t="str">
        <f>IF(F916=""," ",IF(ISNA(VLOOKUP(D916,'[2]stock-take'!$A:$E,4,FALSE)), "OUT OF STOCK", VLOOKUP(D916,'[2]stock-take'!$A:$E,4,FALSE)))</f>
        <v xml:space="preserve"> </v>
      </c>
      <c r="H916" s="48">
        <f>IF(ISNA(VLOOKUP(D916,'[2]stock-take'!$A:$E,3,FALSE)), 0, VLOOKUP(D916,'[2]stock-take'!$A:$E,3,FALSE))</f>
        <v>0</v>
      </c>
      <c r="I916" s="48" t="str">
        <f>IF(F916="", " ",IF(ISNA(VLOOKUP(D916,'[2]stock-take'!$G:$K,4,FALSE)), "OUT OF STOCK", VLOOKUP(D916,'[2]stock-take'!$G:$K,4,FALSE)))</f>
        <v xml:space="preserve"> </v>
      </c>
      <c r="J916" s="39">
        <f>IF(ISNA(VLOOKUP(D916,'[2]stock-take'!$G:$K,3,FALSE)), 0, VLOOKUP(D916,'[2]stock-take'!$G:$K,3,FALSE))</f>
        <v>0</v>
      </c>
      <c r="K916" s="49" t="str">
        <f>IF(F916="", " ", IF(ISNA(VLOOKUP(D916,'[2]stock-take'!$M:$Q,4,FALSE)), "OUT OF STOCK", VLOOKUP(D916,'[2]stock-take'!$M:$Q,4,FALSE)))</f>
        <v xml:space="preserve"> </v>
      </c>
      <c r="L916" s="47">
        <f>IF(ISNA(VLOOKUP(D916,'[2]stock-take'!$M:$Q,3,FALSE)), 0, VLOOKUP(D916,'[2]stock-take'!$M:$Q,3,FALSE))</f>
        <v>0</v>
      </c>
      <c r="M916" s="48" t="str">
        <f t="shared" si="43"/>
        <v xml:space="preserve"> </v>
      </c>
      <c r="N916" s="39" t="str">
        <f t="shared" si="44"/>
        <v xml:space="preserve"> </v>
      </c>
    </row>
    <row r="917" spans="1:14">
      <c r="A917" s="37">
        <f t="shared" si="42"/>
        <v>906</v>
      </c>
      <c r="G917" s="48" t="str">
        <f>IF(F917=""," ",IF(ISNA(VLOOKUP(D917,'[2]stock-take'!$A:$E,4,FALSE)), "OUT OF STOCK", VLOOKUP(D917,'[2]stock-take'!$A:$E,4,FALSE)))</f>
        <v xml:space="preserve"> </v>
      </c>
      <c r="H917" s="48">
        <f>IF(ISNA(VLOOKUP(D917,'[2]stock-take'!$A:$E,3,FALSE)), 0, VLOOKUP(D917,'[2]stock-take'!$A:$E,3,FALSE))</f>
        <v>0</v>
      </c>
      <c r="I917" s="48" t="str">
        <f>IF(F917="", " ",IF(ISNA(VLOOKUP(D917,'[2]stock-take'!$G:$K,4,FALSE)), "OUT OF STOCK", VLOOKUP(D917,'[2]stock-take'!$G:$K,4,FALSE)))</f>
        <v xml:space="preserve"> </v>
      </c>
      <c r="J917" s="39">
        <f>IF(ISNA(VLOOKUP(D917,'[2]stock-take'!$G:$K,3,FALSE)), 0, VLOOKUP(D917,'[2]stock-take'!$G:$K,3,FALSE))</f>
        <v>0</v>
      </c>
      <c r="K917" s="49" t="str">
        <f>IF(F917="", " ", IF(ISNA(VLOOKUP(D917,'[2]stock-take'!$M:$Q,4,FALSE)), "OUT OF STOCK", VLOOKUP(D917,'[2]stock-take'!$M:$Q,4,FALSE)))</f>
        <v xml:space="preserve"> </v>
      </c>
      <c r="L917" s="47">
        <f>IF(ISNA(VLOOKUP(D917,'[2]stock-take'!$M:$Q,3,FALSE)), 0, VLOOKUP(D917,'[2]stock-take'!$M:$Q,3,FALSE))</f>
        <v>0</v>
      </c>
      <c r="M917" s="48" t="str">
        <f t="shared" si="43"/>
        <v xml:space="preserve"> </v>
      </c>
      <c r="N917" s="39" t="str">
        <f t="shared" si="44"/>
        <v xml:space="preserve"> </v>
      </c>
    </row>
    <row r="918" spans="1:14">
      <c r="A918" s="37">
        <f t="shared" si="42"/>
        <v>907</v>
      </c>
      <c r="G918" s="48" t="str">
        <f>IF(F918=""," ",IF(ISNA(VLOOKUP(D918,'[2]stock-take'!$A:$E,4,FALSE)), "OUT OF STOCK", VLOOKUP(D918,'[2]stock-take'!$A:$E,4,FALSE)))</f>
        <v xml:space="preserve"> </v>
      </c>
      <c r="H918" s="48">
        <f>IF(ISNA(VLOOKUP(D918,'[2]stock-take'!$A:$E,3,FALSE)), 0, VLOOKUP(D918,'[2]stock-take'!$A:$E,3,FALSE))</f>
        <v>0</v>
      </c>
      <c r="I918" s="48" t="str">
        <f>IF(F918="", " ",IF(ISNA(VLOOKUP(D918,'[2]stock-take'!$G:$K,4,FALSE)), "OUT OF STOCK", VLOOKUP(D918,'[2]stock-take'!$G:$K,4,FALSE)))</f>
        <v xml:space="preserve"> </v>
      </c>
      <c r="J918" s="39">
        <f>IF(ISNA(VLOOKUP(D918,'[2]stock-take'!$G:$K,3,FALSE)), 0, VLOOKUP(D918,'[2]stock-take'!$G:$K,3,FALSE))</f>
        <v>0</v>
      </c>
      <c r="K918" s="49" t="str">
        <f>IF(F918="", " ", IF(ISNA(VLOOKUP(D918,'[2]stock-take'!$M:$Q,4,FALSE)), "OUT OF STOCK", VLOOKUP(D918,'[2]stock-take'!$M:$Q,4,FALSE)))</f>
        <v xml:space="preserve"> </v>
      </c>
      <c r="L918" s="47">
        <f>IF(ISNA(VLOOKUP(D918,'[2]stock-take'!$M:$Q,3,FALSE)), 0, VLOOKUP(D918,'[2]stock-take'!$M:$Q,3,FALSE))</f>
        <v>0</v>
      </c>
      <c r="M918" s="48" t="str">
        <f t="shared" si="43"/>
        <v xml:space="preserve"> </v>
      </c>
      <c r="N918" s="39" t="str">
        <f t="shared" si="44"/>
        <v xml:space="preserve"> </v>
      </c>
    </row>
    <row r="919" spans="1:14">
      <c r="A919" s="37">
        <f t="shared" si="42"/>
        <v>908</v>
      </c>
      <c r="G919" s="48" t="str">
        <f>IF(F919=""," ",IF(ISNA(VLOOKUP(D919,'[2]stock-take'!$A:$E,4,FALSE)), "OUT OF STOCK", VLOOKUP(D919,'[2]stock-take'!$A:$E,4,FALSE)))</f>
        <v xml:space="preserve"> </v>
      </c>
      <c r="H919" s="48">
        <f>IF(ISNA(VLOOKUP(D919,'[2]stock-take'!$A:$E,3,FALSE)), 0, VLOOKUP(D919,'[2]stock-take'!$A:$E,3,FALSE))</f>
        <v>0</v>
      </c>
      <c r="I919" s="48" t="str">
        <f>IF(F919="", " ",IF(ISNA(VLOOKUP(D919,'[2]stock-take'!$G:$K,4,FALSE)), "OUT OF STOCK", VLOOKUP(D919,'[2]stock-take'!$G:$K,4,FALSE)))</f>
        <v xml:space="preserve"> </v>
      </c>
      <c r="J919" s="39">
        <f>IF(ISNA(VLOOKUP(D919,'[2]stock-take'!$G:$K,3,FALSE)), 0, VLOOKUP(D919,'[2]stock-take'!$G:$K,3,FALSE))</f>
        <v>0</v>
      </c>
      <c r="K919" s="49" t="str">
        <f>IF(F919="", " ", IF(ISNA(VLOOKUP(D919,'[2]stock-take'!$M:$Q,4,FALSE)), "OUT OF STOCK", VLOOKUP(D919,'[2]stock-take'!$M:$Q,4,FALSE)))</f>
        <v xml:space="preserve"> </v>
      </c>
      <c r="L919" s="47">
        <f>IF(ISNA(VLOOKUP(D919,'[2]stock-take'!$M:$Q,3,FALSE)), 0, VLOOKUP(D919,'[2]stock-take'!$M:$Q,3,FALSE))</f>
        <v>0</v>
      </c>
      <c r="M919" s="48" t="str">
        <f t="shared" si="43"/>
        <v xml:space="preserve"> </v>
      </c>
      <c r="N919" s="39" t="str">
        <f t="shared" si="44"/>
        <v xml:space="preserve"> </v>
      </c>
    </row>
    <row r="920" spans="1:14">
      <c r="A920" s="37">
        <f t="shared" si="42"/>
        <v>909</v>
      </c>
      <c r="G920" s="48" t="str">
        <f>IF(F920=""," ",IF(ISNA(VLOOKUP(D920,'[2]stock-take'!$A:$E,4,FALSE)), "OUT OF STOCK", VLOOKUP(D920,'[2]stock-take'!$A:$E,4,FALSE)))</f>
        <v xml:space="preserve"> </v>
      </c>
      <c r="H920" s="48">
        <f>IF(ISNA(VLOOKUP(D920,'[2]stock-take'!$A:$E,3,FALSE)), 0, VLOOKUP(D920,'[2]stock-take'!$A:$E,3,FALSE))</f>
        <v>0</v>
      </c>
      <c r="I920" s="48" t="str">
        <f>IF(F920="", " ",IF(ISNA(VLOOKUP(D920,'[2]stock-take'!$G:$K,4,FALSE)), "OUT OF STOCK", VLOOKUP(D920,'[2]stock-take'!$G:$K,4,FALSE)))</f>
        <v xml:space="preserve"> </v>
      </c>
      <c r="J920" s="39">
        <f>IF(ISNA(VLOOKUP(D920,'[2]stock-take'!$G:$K,3,FALSE)), 0, VLOOKUP(D920,'[2]stock-take'!$G:$K,3,FALSE))</f>
        <v>0</v>
      </c>
      <c r="K920" s="49" t="str">
        <f>IF(F920="", " ", IF(ISNA(VLOOKUP(D920,'[2]stock-take'!$M:$Q,4,FALSE)), "OUT OF STOCK", VLOOKUP(D920,'[2]stock-take'!$M:$Q,4,FALSE)))</f>
        <v xml:space="preserve"> </v>
      </c>
      <c r="L920" s="47">
        <f>IF(ISNA(VLOOKUP(D920,'[2]stock-take'!$M:$Q,3,FALSE)), 0, VLOOKUP(D920,'[2]stock-take'!$M:$Q,3,FALSE))</f>
        <v>0</v>
      </c>
      <c r="M920" s="48" t="str">
        <f t="shared" si="43"/>
        <v xml:space="preserve"> </v>
      </c>
      <c r="N920" s="39" t="str">
        <f t="shared" si="44"/>
        <v xml:space="preserve"> </v>
      </c>
    </row>
    <row r="921" spans="1:14">
      <c r="A921" s="37">
        <f t="shared" si="42"/>
        <v>910</v>
      </c>
      <c r="G921" s="48" t="str">
        <f>IF(F921=""," ",IF(ISNA(VLOOKUP(D921,'[2]stock-take'!$A:$E,4,FALSE)), "OUT OF STOCK", VLOOKUP(D921,'[2]stock-take'!$A:$E,4,FALSE)))</f>
        <v xml:space="preserve"> </v>
      </c>
      <c r="H921" s="48">
        <f>IF(ISNA(VLOOKUP(D921,'[2]stock-take'!$A:$E,3,FALSE)), 0, VLOOKUP(D921,'[2]stock-take'!$A:$E,3,FALSE))</f>
        <v>0</v>
      </c>
      <c r="I921" s="48" t="str">
        <f>IF(F921="", " ",IF(ISNA(VLOOKUP(D921,'[2]stock-take'!$G:$K,4,FALSE)), "OUT OF STOCK", VLOOKUP(D921,'[2]stock-take'!$G:$K,4,FALSE)))</f>
        <v xml:space="preserve"> </v>
      </c>
      <c r="J921" s="39">
        <f>IF(ISNA(VLOOKUP(D921,'[2]stock-take'!$G:$K,3,FALSE)), 0, VLOOKUP(D921,'[2]stock-take'!$G:$K,3,FALSE))</f>
        <v>0</v>
      </c>
      <c r="K921" s="49" t="str">
        <f>IF(F921="", " ", IF(ISNA(VLOOKUP(D921,'[2]stock-take'!$M:$Q,4,FALSE)), "OUT OF STOCK", VLOOKUP(D921,'[2]stock-take'!$M:$Q,4,FALSE)))</f>
        <v xml:space="preserve"> </v>
      </c>
      <c r="L921" s="47">
        <f>IF(ISNA(VLOOKUP(D921,'[2]stock-take'!$M:$Q,3,FALSE)), 0, VLOOKUP(D921,'[2]stock-take'!$M:$Q,3,FALSE))</f>
        <v>0</v>
      </c>
      <c r="M921" s="48" t="str">
        <f t="shared" si="43"/>
        <v xml:space="preserve"> </v>
      </c>
      <c r="N921" s="39" t="str">
        <f t="shared" si="44"/>
        <v xml:space="preserve"> </v>
      </c>
    </row>
    <row r="922" spans="1:14">
      <c r="A922" s="37">
        <f t="shared" si="42"/>
        <v>911</v>
      </c>
      <c r="G922" s="48" t="str">
        <f>IF(F922=""," ",IF(ISNA(VLOOKUP(D922,'[2]stock-take'!$A:$E,4,FALSE)), "OUT OF STOCK", VLOOKUP(D922,'[2]stock-take'!$A:$E,4,FALSE)))</f>
        <v xml:space="preserve"> </v>
      </c>
      <c r="H922" s="48">
        <f>IF(ISNA(VLOOKUP(D922,'[2]stock-take'!$A:$E,3,FALSE)), 0, VLOOKUP(D922,'[2]stock-take'!$A:$E,3,FALSE))</f>
        <v>0</v>
      </c>
      <c r="I922" s="48" t="str">
        <f>IF(F922="", " ",IF(ISNA(VLOOKUP(D922,'[2]stock-take'!$G:$K,4,FALSE)), "OUT OF STOCK", VLOOKUP(D922,'[2]stock-take'!$G:$K,4,FALSE)))</f>
        <v xml:space="preserve"> </v>
      </c>
      <c r="J922" s="39">
        <f>IF(ISNA(VLOOKUP(D922,'[2]stock-take'!$G:$K,3,FALSE)), 0, VLOOKUP(D922,'[2]stock-take'!$G:$K,3,FALSE))</f>
        <v>0</v>
      </c>
      <c r="K922" s="49" t="str">
        <f>IF(F922="", " ", IF(ISNA(VLOOKUP(D922,'[2]stock-take'!$M:$Q,4,FALSE)), "OUT OF STOCK", VLOOKUP(D922,'[2]stock-take'!$M:$Q,4,FALSE)))</f>
        <v xml:space="preserve"> </v>
      </c>
      <c r="L922" s="47">
        <f>IF(ISNA(VLOOKUP(D922,'[2]stock-take'!$M:$Q,3,FALSE)), 0, VLOOKUP(D922,'[2]stock-take'!$M:$Q,3,FALSE))</f>
        <v>0</v>
      </c>
      <c r="M922" s="48" t="str">
        <f t="shared" si="43"/>
        <v xml:space="preserve"> </v>
      </c>
      <c r="N922" s="39" t="str">
        <f t="shared" si="44"/>
        <v xml:space="preserve"> </v>
      </c>
    </row>
    <row r="923" spans="1:14">
      <c r="A923" s="37">
        <f t="shared" si="42"/>
        <v>912</v>
      </c>
      <c r="G923" s="48" t="str">
        <f>IF(F923=""," ",IF(ISNA(VLOOKUP(D923,'[2]stock-take'!$A:$E,4,FALSE)), "OUT OF STOCK", VLOOKUP(D923,'[2]stock-take'!$A:$E,4,FALSE)))</f>
        <v xml:space="preserve"> </v>
      </c>
      <c r="H923" s="48">
        <f>IF(ISNA(VLOOKUP(D923,'[2]stock-take'!$A:$E,3,FALSE)), 0, VLOOKUP(D923,'[2]stock-take'!$A:$E,3,FALSE))</f>
        <v>0</v>
      </c>
      <c r="I923" s="48" t="str">
        <f>IF(F923="", " ",IF(ISNA(VLOOKUP(D923,'[2]stock-take'!$G:$K,4,FALSE)), "OUT OF STOCK", VLOOKUP(D923,'[2]stock-take'!$G:$K,4,FALSE)))</f>
        <v xml:space="preserve"> </v>
      </c>
      <c r="J923" s="39">
        <f>IF(ISNA(VLOOKUP(D923,'[2]stock-take'!$G:$K,3,FALSE)), 0, VLOOKUP(D923,'[2]stock-take'!$G:$K,3,FALSE))</f>
        <v>0</v>
      </c>
      <c r="K923" s="49" t="str">
        <f>IF(F923="", " ", IF(ISNA(VLOOKUP(D923,'[2]stock-take'!$M:$Q,4,FALSE)), "OUT OF STOCK", VLOOKUP(D923,'[2]stock-take'!$M:$Q,4,FALSE)))</f>
        <v xml:space="preserve"> </v>
      </c>
      <c r="L923" s="47">
        <f>IF(ISNA(VLOOKUP(D923,'[2]stock-take'!$M:$Q,3,FALSE)), 0, VLOOKUP(D923,'[2]stock-take'!$M:$Q,3,FALSE))</f>
        <v>0</v>
      </c>
      <c r="M923" s="48" t="str">
        <f t="shared" si="43"/>
        <v xml:space="preserve"> </v>
      </c>
      <c r="N923" s="39" t="str">
        <f t="shared" si="44"/>
        <v xml:space="preserve"> </v>
      </c>
    </row>
    <row r="924" spans="1:14">
      <c r="A924" s="37">
        <f t="shared" si="42"/>
        <v>913</v>
      </c>
      <c r="G924" s="48" t="str">
        <f>IF(F924=""," ",IF(ISNA(VLOOKUP(D924,'[2]stock-take'!$A:$E,4,FALSE)), "OUT OF STOCK", VLOOKUP(D924,'[2]stock-take'!$A:$E,4,FALSE)))</f>
        <v xml:space="preserve"> </v>
      </c>
      <c r="H924" s="48">
        <f>IF(ISNA(VLOOKUP(D924,'[2]stock-take'!$A:$E,3,FALSE)), 0, VLOOKUP(D924,'[2]stock-take'!$A:$E,3,FALSE))</f>
        <v>0</v>
      </c>
      <c r="I924" s="48" t="str">
        <f>IF(F924="", " ",IF(ISNA(VLOOKUP(D924,'[2]stock-take'!$G:$K,4,FALSE)), "OUT OF STOCK", VLOOKUP(D924,'[2]stock-take'!$G:$K,4,FALSE)))</f>
        <v xml:space="preserve"> </v>
      </c>
      <c r="J924" s="39">
        <f>IF(ISNA(VLOOKUP(D924,'[2]stock-take'!$G:$K,3,FALSE)), 0, VLOOKUP(D924,'[2]stock-take'!$G:$K,3,FALSE))</f>
        <v>0</v>
      </c>
      <c r="K924" s="49" t="str">
        <f>IF(F924="", " ", IF(ISNA(VLOOKUP(D924,'[2]stock-take'!$M:$Q,4,FALSE)), "OUT OF STOCK", VLOOKUP(D924,'[2]stock-take'!$M:$Q,4,FALSE)))</f>
        <v xml:space="preserve"> </v>
      </c>
      <c r="L924" s="47">
        <f>IF(ISNA(VLOOKUP(D924,'[2]stock-take'!$M:$Q,3,FALSE)), 0, VLOOKUP(D924,'[2]stock-take'!$M:$Q,3,FALSE))</f>
        <v>0</v>
      </c>
      <c r="M924" s="48" t="str">
        <f t="shared" si="43"/>
        <v xml:space="preserve"> </v>
      </c>
      <c r="N924" s="39" t="str">
        <f t="shared" si="44"/>
        <v xml:space="preserve"> </v>
      </c>
    </row>
    <row r="925" spans="1:14">
      <c r="A925" s="37">
        <f t="shared" si="42"/>
        <v>914</v>
      </c>
      <c r="G925" s="48" t="str">
        <f>IF(F925=""," ",IF(ISNA(VLOOKUP(D925,'[2]stock-take'!$A:$E,4,FALSE)), "OUT OF STOCK", VLOOKUP(D925,'[2]stock-take'!$A:$E,4,FALSE)))</f>
        <v xml:space="preserve"> </v>
      </c>
      <c r="H925" s="48">
        <f>IF(ISNA(VLOOKUP(D925,'[2]stock-take'!$A:$E,3,FALSE)), 0, VLOOKUP(D925,'[2]stock-take'!$A:$E,3,FALSE))</f>
        <v>0</v>
      </c>
      <c r="I925" s="48" t="str">
        <f>IF(F925="", " ",IF(ISNA(VLOOKUP(D925,'[2]stock-take'!$G:$K,4,FALSE)), "OUT OF STOCK", VLOOKUP(D925,'[2]stock-take'!$G:$K,4,FALSE)))</f>
        <v xml:space="preserve"> </v>
      </c>
      <c r="J925" s="39">
        <f>IF(ISNA(VLOOKUP(D925,'[2]stock-take'!$G:$K,3,FALSE)), 0, VLOOKUP(D925,'[2]stock-take'!$G:$K,3,FALSE))</f>
        <v>0</v>
      </c>
      <c r="K925" s="49" t="str">
        <f>IF(F925="", " ", IF(ISNA(VLOOKUP(D925,'[2]stock-take'!$M:$Q,4,FALSE)), "OUT OF STOCK", VLOOKUP(D925,'[2]stock-take'!$M:$Q,4,FALSE)))</f>
        <v xml:space="preserve"> </v>
      </c>
      <c r="L925" s="47">
        <f>IF(ISNA(VLOOKUP(D925,'[2]stock-take'!$M:$Q,3,FALSE)), 0, VLOOKUP(D925,'[2]stock-take'!$M:$Q,3,FALSE))</f>
        <v>0</v>
      </c>
      <c r="M925" s="48" t="str">
        <f t="shared" si="43"/>
        <v xml:space="preserve"> </v>
      </c>
      <c r="N925" s="39" t="str">
        <f t="shared" si="44"/>
        <v xml:space="preserve"> </v>
      </c>
    </row>
    <row r="926" spans="1:14">
      <c r="A926" s="37">
        <f t="shared" si="42"/>
        <v>915</v>
      </c>
      <c r="G926" s="48" t="str">
        <f>IF(F926=""," ",IF(ISNA(VLOOKUP(D926,'[2]stock-take'!$A:$E,4,FALSE)), "OUT OF STOCK", VLOOKUP(D926,'[2]stock-take'!$A:$E,4,FALSE)))</f>
        <v xml:space="preserve"> </v>
      </c>
      <c r="H926" s="48">
        <f>IF(ISNA(VLOOKUP(D926,'[2]stock-take'!$A:$E,3,FALSE)), 0, VLOOKUP(D926,'[2]stock-take'!$A:$E,3,FALSE))</f>
        <v>0</v>
      </c>
      <c r="I926" s="48" t="str">
        <f>IF(F926="", " ",IF(ISNA(VLOOKUP(D926,'[2]stock-take'!$G:$K,4,FALSE)), "OUT OF STOCK", VLOOKUP(D926,'[2]stock-take'!$G:$K,4,FALSE)))</f>
        <v xml:space="preserve"> </v>
      </c>
      <c r="J926" s="39">
        <f>IF(ISNA(VLOOKUP(D926,'[2]stock-take'!$G:$K,3,FALSE)), 0, VLOOKUP(D926,'[2]stock-take'!$G:$K,3,FALSE))</f>
        <v>0</v>
      </c>
      <c r="K926" s="49" t="str">
        <f>IF(F926="", " ", IF(ISNA(VLOOKUP(D926,'[2]stock-take'!$M:$Q,4,FALSE)), "OUT OF STOCK", VLOOKUP(D926,'[2]stock-take'!$M:$Q,4,FALSE)))</f>
        <v xml:space="preserve"> </v>
      </c>
      <c r="L926" s="47">
        <f>IF(ISNA(VLOOKUP(D926,'[2]stock-take'!$M:$Q,3,FALSE)), 0, VLOOKUP(D926,'[2]stock-take'!$M:$Q,3,FALSE))</f>
        <v>0</v>
      </c>
      <c r="M926" s="48" t="str">
        <f t="shared" si="43"/>
        <v xml:space="preserve"> </v>
      </c>
      <c r="N926" s="39" t="str">
        <f t="shared" si="44"/>
        <v xml:space="preserve"> </v>
      </c>
    </row>
    <row r="927" spans="1:14">
      <c r="A927" s="37">
        <f t="shared" si="42"/>
        <v>916</v>
      </c>
      <c r="G927" s="48" t="str">
        <f>IF(F927=""," ",IF(ISNA(VLOOKUP(D927,'[2]stock-take'!$A:$E,4,FALSE)), "OUT OF STOCK", VLOOKUP(D927,'[2]stock-take'!$A:$E,4,FALSE)))</f>
        <v xml:space="preserve"> </v>
      </c>
      <c r="H927" s="48">
        <f>IF(ISNA(VLOOKUP(D927,'[2]stock-take'!$A:$E,3,FALSE)), 0, VLOOKUP(D927,'[2]stock-take'!$A:$E,3,FALSE))</f>
        <v>0</v>
      </c>
      <c r="I927" s="48" t="str">
        <f>IF(F927="", " ",IF(ISNA(VLOOKUP(D927,'[2]stock-take'!$G:$K,4,FALSE)), "OUT OF STOCK", VLOOKUP(D927,'[2]stock-take'!$G:$K,4,FALSE)))</f>
        <v xml:space="preserve"> </v>
      </c>
      <c r="J927" s="39">
        <f>IF(ISNA(VLOOKUP(D927,'[2]stock-take'!$G:$K,3,FALSE)), 0, VLOOKUP(D927,'[2]stock-take'!$G:$K,3,FALSE))</f>
        <v>0</v>
      </c>
      <c r="K927" s="49" t="str">
        <f>IF(F927="", " ", IF(ISNA(VLOOKUP(D927,'[2]stock-take'!$M:$Q,4,FALSE)), "OUT OF STOCK", VLOOKUP(D927,'[2]stock-take'!$M:$Q,4,FALSE)))</f>
        <v xml:space="preserve"> </v>
      </c>
      <c r="L927" s="47">
        <f>IF(ISNA(VLOOKUP(D927,'[2]stock-take'!$M:$Q,3,FALSE)), 0, VLOOKUP(D927,'[2]stock-take'!$M:$Q,3,FALSE))</f>
        <v>0</v>
      </c>
      <c r="M927" s="48" t="str">
        <f t="shared" si="43"/>
        <v xml:space="preserve"> </v>
      </c>
      <c r="N927" s="39" t="str">
        <f t="shared" si="44"/>
        <v xml:space="preserve"> </v>
      </c>
    </row>
    <row r="928" spans="1:14">
      <c r="A928" s="37">
        <f t="shared" si="42"/>
        <v>917</v>
      </c>
      <c r="G928" s="48" t="str">
        <f>IF(F928=""," ",IF(ISNA(VLOOKUP(D928,'[2]stock-take'!$A:$E,4,FALSE)), "OUT OF STOCK", VLOOKUP(D928,'[2]stock-take'!$A:$E,4,FALSE)))</f>
        <v xml:space="preserve"> </v>
      </c>
      <c r="H928" s="48">
        <f>IF(ISNA(VLOOKUP(D928,'[2]stock-take'!$A:$E,3,FALSE)), 0, VLOOKUP(D928,'[2]stock-take'!$A:$E,3,FALSE))</f>
        <v>0</v>
      </c>
      <c r="I928" s="48" t="str">
        <f>IF(F928="", " ",IF(ISNA(VLOOKUP(D928,'[2]stock-take'!$G:$K,4,FALSE)), "OUT OF STOCK", VLOOKUP(D928,'[2]stock-take'!$G:$K,4,FALSE)))</f>
        <v xml:space="preserve"> </v>
      </c>
      <c r="J928" s="39">
        <f>IF(ISNA(VLOOKUP(D928,'[2]stock-take'!$G:$K,3,FALSE)), 0, VLOOKUP(D928,'[2]stock-take'!$G:$K,3,FALSE))</f>
        <v>0</v>
      </c>
      <c r="K928" s="49" t="str">
        <f>IF(F928="", " ", IF(ISNA(VLOOKUP(D928,'[2]stock-take'!$M:$Q,4,FALSE)), "OUT OF STOCK", VLOOKUP(D928,'[2]stock-take'!$M:$Q,4,FALSE)))</f>
        <v xml:space="preserve"> </v>
      </c>
      <c r="L928" s="47">
        <f>IF(ISNA(VLOOKUP(D928,'[2]stock-take'!$M:$Q,3,FALSE)), 0, VLOOKUP(D928,'[2]stock-take'!$M:$Q,3,FALSE))</f>
        <v>0</v>
      </c>
      <c r="M928" s="48" t="str">
        <f t="shared" si="43"/>
        <v xml:space="preserve"> </v>
      </c>
      <c r="N928" s="39" t="str">
        <f t="shared" si="44"/>
        <v xml:space="preserve"> </v>
      </c>
    </row>
    <row r="929" spans="1:14">
      <c r="A929" s="37">
        <f t="shared" si="42"/>
        <v>918</v>
      </c>
      <c r="G929" s="48" t="str">
        <f>IF(F929=""," ",IF(ISNA(VLOOKUP(D929,'[2]stock-take'!$A:$E,4,FALSE)), "OUT OF STOCK", VLOOKUP(D929,'[2]stock-take'!$A:$E,4,FALSE)))</f>
        <v xml:space="preserve"> </v>
      </c>
      <c r="H929" s="48">
        <f>IF(ISNA(VLOOKUP(D929,'[2]stock-take'!$A:$E,3,FALSE)), 0, VLOOKUP(D929,'[2]stock-take'!$A:$E,3,FALSE))</f>
        <v>0</v>
      </c>
      <c r="I929" s="48" t="str">
        <f>IF(F929="", " ",IF(ISNA(VLOOKUP(D929,'[2]stock-take'!$G:$K,4,FALSE)), "OUT OF STOCK", VLOOKUP(D929,'[2]stock-take'!$G:$K,4,FALSE)))</f>
        <v xml:space="preserve"> </v>
      </c>
      <c r="J929" s="39">
        <f>IF(ISNA(VLOOKUP(D929,'[2]stock-take'!$G:$K,3,FALSE)), 0, VLOOKUP(D929,'[2]stock-take'!$G:$K,3,FALSE))</f>
        <v>0</v>
      </c>
      <c r="K929" s="49" t="str">
        <f>IF(F929="", " ", IF(ISNA(VLOOKUP(D929,'[2]stock-take'!$M:$Q,4,FALSE)), "OUT OF STOCK", VLOOKUP(D929,'[2]stock-take'!$M:$Q,4,FALSE)))</f>
        <v xml:space="preserve"> </v>
      </c>
      <c r="L929" s="47">
        <f>IF(ISNA(VLOOKUP(D929,'[2]stock-take'!$M:$Q,3,FALSE)), 0, VLOOKUP(D929,'[2]stock-take'!$M:$Q,3,FALSE))</f>
        <v>0</v>
      </c>
      <c r="M929" s="48" t="str">
        <f t="shared" si="43"/>
        <v xml:space="preserve"> </v>
      </c>
      <c r="N929" s="39" t="str">
        <f t="shared" si="44"/>
        <v xml:space="preserve"> </v>
      </c>
    </row>
    <row r="930" spans="1:14">
      <c r="A930" s="37">
        <f t="shared" si="42"/>
        <v>919</v>
      </c>
      <c r="G930" s="48" t="str">
        <f>IF(F930=""," ",IF(ISNA(VLOOKUP(D930,'[2]stock-take'!$A:$E,4,FALSE)), "OUT OF STOCK", VLOOKUP(D930,'[2]stock-take'!$A:$E,4,FALSE)))</f>
        <v xml:space="preserve"> </v>
      </c>
      <c r="H930" s="48">
        <f>IF(ISNA(VLOOKUP(D930,'[2]stock-take'!$A:$E,3,FALSE)), 0, VLOOKUP(D930,'[2]stock-take'!$A:$E,3,FALSE))</f>
        <v>0</v>
      </c>
      <c r="I930" s="48" t="str">
        <f>IF(F930="", " ",IF(ISNA(VLOOKUP(D930,'[2]stock-take'!$G:$K,4,FALSE)), "OUT OF STOCK", VLOOKUP(D930,'[2]stock-take'!$G:$K,4,FALSE)))</f>
        <v xml:space="preserve"> </v>
      </c>
      <c r="J930" s="39">
        <f>IF(ISNA(VLOOKUP(D930,'[2]stock-take'!$G:$K,3,FALSE)), 0, VLOOKUP(D930,'[2]stock-take'!$G:$K,3,FALSE))</f>
        <v>0</v>
      </c>
      <c r="K930" s="49" t="str">
        <f>IF(F930="", " ", IF(ISNA(VLOOKUP(D930,'[2]stock-take'!$M:$Q,4,FALSE)), "OUT OF STOCK", VLOOKUP(D930,'[2]stock-take'!$M:$Q,4,FALSE)))</f>
        <v xml:space="preserve"> </v>
      </c>
      <c r="L930" s="47">
        <f>IF(ISNA(VLOOKUP(D930,'[2]stock-take'!$M:$Q,3,FALSE)), 0, VLOOKUP(D930,'[2]stock-take'!$M:$Q,3,FALSE))</f>
        <v>0</v>
      </c>
      <c r="M930" s="48" t="str">
        <f t="shared" si="43"/>
        <v xml:space="preserve"> </v>
      </c>
      <c r="N930" s="39" t="str">
        <f t="shared" si="44"/>
        <v xml:space="preserve"> </v>
      </c>
    </row>
    <row r="931" spans="1:14">
      <c r="A931" s="37">
        <f t="shared" si="42"/>
        <v>920</v>
      </c>
      <c r="G931" s="48" t="str">
        <f>IF(F931=""," ",IF(ISNA(VLOOKUP(D931,'[2]stock-take'!$A:$E,4,FALSE)), "OUT OF STOCK", VLOOKUP(D931,'[2]stock-take'!$A:$E,4,FALSE)))</f>
        <v xml:space="preserve"> </v>
      </c>
      <c r="H931" s="48">
        <f>IF(ISNA(VLOOKUP(D931,'[2]stock-take'!$A:$E,3,FALSE)), 0, VLOOKUP(D931,'[2]stock-take'!$A:$E,3,FALSE))</f>
        <v>0</v>
      </c>
      <c r="I931" s="48" t="str">
        <f>IF(F931="", " ",IF(ISNA(VLOOKUP(D931,'[2]stock-take'!$G:$K,4,FALSE)), "OUT OF STOCK", VLOOKUP(D931,'[2]stock-take'!$G:$K,4,FALSE)))</f>
        <v xml:space="preserve"> </v>
      </c>
      <c r="J931" s="39">
        <f>IF(ISNA(VLOOKUP(D931,'[2]stock-take'!$G:$K,3,FALSE)), 0, VLOOKUP(D931,'[2]stock-take'!$G:$K,3,FALSE))</f>
        <v>0</v>
      </c>
      <c r="K931" s="49" t="str">
        <f>IF(F931="", " ", IF(ISNA(VLOOKUP(D931,'[2]stock-take'!$M:$Q,4,FALSE)), "OUT OF STOCK", VLOOKUP(D931,'[2]stock-take'!$M:$Q,4,FALSE)))</f>
        <v xml:space="preserve"> </v>
      </c>
      <c r="L931" s="47">
        <f>IF(ISNA(VLOOKUP(D931,'[2]stock-take'!$M:$Q,3,FALSE)), 0, VLOOKUP(D931,'[2]stock-take'!$M:$Q,3,FALSE))</f>
        <v>0</v>
      </c>
      <c r="M931" s="48" t="str">
        <f t="shared" si="43"/>
        <v xml:space="preserve"> </v>
      </c>
      <c r="N931" s="39" t="str">
        <f t="shared" si="44"/>
        <v xml:space="preserve"> </v>
      </c>
    </row>
    <row r="932" spans="1:14">
      <c r="A932" s="37">
        <f t="shared" si="42"/>
        <v>921</v>
      </c>
      <c r="G932" s="48" t="str">
        <f>IF(F932=""," ",IF(ISNA(VLOOKUP(D932,'[2]stock-take'!$A:$E,4,FALSE)), "OUT OF STOCK", VLOOKUP(D932,'[2]stock-take'!$A:$E,4,FALSE)))</f>
        <v xml:space="preserve"> </v>
      </c>
      <c r="H932" s="48">
        <f>IF(ISNA(VLOOKUP(D932,'[2]stock-take'!$A:$E,3,FALSE)), 0, VLOOKUP(D932,'[2]stock-take'!$A:$E,3,FALSE))</f>
        <v>0</v>
      </c>
      <c r="I932" s="48" t="str">
        <f>IF(F932="", " ",IF(ISNA(VLOOKUP(D932,'[2]stock-take'!$G:$K,4,FALSE)), "OUT OF STOCK", VLOOKUP(D932,'[2]stock-take'!$G:$K,4,FALSE)))</f>
        <v xml:space="preserve"> </v>
      </c>
      <c r="J932" s="39">
        <f>IF(ISNA(VLOOKUP(D932,'[2]stock-take'!$G:$K,3,FALSE)), 0, VLOOKUP(D932,'[2]stock-take'!$G:$K,3,FALSE))</f>
        <v>0</v>
      </c>
      <c r="K932" s="49" t="str">
        <f>IF(F932="", " ", IF(ISNA(VLOOKUP(D932,'[2]stock-take'!$M:$Q,4,FALSE)), "OUT OF STOCK", VLOOKUP(D932,'[2]stock-take'!$M:$Q,4,FALSE)))</f>
        <v xml:space="preserve"> </v>
      </c>
      <c r="L932" s="47">
        <f>IF(ISNA(VLOOKUP(D932,'[2]stock-take'!$M:$Q,3,FALSE)), 0, VLOOKUP(D932,'[2]stock-take'!$M:$Q,3,FALSE))</f>
        <v>0</v>
      </c>
      <c r="M932" s="48" t="str">
        <f t="shared" si="43"/>
        <v xml:space="preserve"> </v>
      </c>
      <c r="N932" s="39" t="str">
        <f t="shared" si="44"/>
        <v xml:space="preserve"> </v>
      </c>
    </row>
    <row r="933" spans="1:14">
      <c r="A933" s="37">
        <f t="shared" si="42"/>
        <v>922</v>
      </c>
      <c r="G933" s="48" t="str">
        <f>IF(F933=""," ",IF(ISNA(VLOOKUP(D933,'[2]stock-take'!$A:$E,4,FALSE)), "OUT OF STOCK", VLOOKUP(D933,'[2]stock-take'!$A:$E,4,FALSE)))</f>
        <v xml:space="preserve"> </v>
      </c>
      <c r="H933" s="48">
        <f>IF(ISNA(VLOOKUP(D933,'[2]stock-take'!$A:$E,3,FALSE)), 0, VLOOKUP(D933,'[2]stock-take'!$A:$E,3,FALSE))</f>
        <v>0</v>
      </c>
      <c r="I933" s="48" t="str">
        <f>IF(F933="", " ",IF(ISNA(VLOOKUP(D933,'[2]stock-take'!$G:$K,4,FALSE)), "OUT OF STOCK", VLOOKUP(D933,'[2]stock-take'!$G:$K,4,FALSE)))</f>
        <v xml:space="preserve"> </v>
      </c>
      <c r="J933" s="39">
        <f>IF(ISNA(VLOOKUP(D933,'[2]stock-take'!$G:$K,3,FALSE)), 0, VLOOKUP(D933,'[2]stock-take'!$G:$K,3,FALSE))</f>
        <v>0</v>
      </c>
      <c r="K933" s="49" t="str">
        <f>IF(F933="", " ", IF(ISNA(VLOOKUP(D933,'[2]stock-take'!$M:$Q,4,FALSE)), "OUT OF STOCK", VLOOKUP(D933,'[2]stock-take'!$M:$Q,4,FALSE)))</f>
        <v xml:space="preserve"> </v>
      </c>
      <c r="L933" s="47">
        <f>IF(ISNA(VLOOKUP(D933,'[2]stock-take'!$M:$Q,3,FALSE)), 0, VLOOKUP(D933,'[2]stock-take'!$M:$Q,3,FALSE))</f>
        <v>0</v>
      </c>
      <c r="M933" s="48" t="str">
        <f t="shared" si="43"/>
        <v xml:space="preserve"> </v>
      </c>
      <c r="N933" s="39" t="str">
        <f t="shared" si="44"/>
        <v xml:space="preserve"> </v>
      </c>
    </row>
    <row r="934" spans="1:14">
      <c r="A934" s="37">
        <f t="shared" si="42"/>
        <v>923</v>
      </c>
      <c r="G934" s="48" t="str">
        <f>IF(F934=""," ",IF(ISNA(VLOOKUP(D934,'[2]stock-take'!$A:$E,4,FALSE)), "OUT OF STOCK", VLOOKUP(D934,'[2]stock-take'!$A:$E,4,FALSE)))</f>
        <v xml:space="preserve"> </v>
      </c>
      <c r="H934" s="48">
        <f>IF(ISNA(VLOOKUP(D934,'[2]stock-take'!$A:$E,3,FALSE)), 0, VLOOKUP(D934,'[2]stock-take'!$A:$E,3,FALSE))</f>
        <v>0</v>
      </c>
      <c r="I934" s="48" t="str">
        <f>IF(F934="", " ",IF(ISNA(VLOOKUP(D934,'[2]stock-take'!$G:$K,4,FALSE)), "OUT OF STOCK", VLOOKUP(D934,'[2]stock-take'!$G:$K,4,FALSE)))</f>
        <v xml:space="preserve"> </v>
      </c>
      <c r="J934" s="39">
        <f>IF(ISNA(VLOOKUP(D934,'[2]stock-take'!$G:$K,3,FALSE)), 0, VLOOKUP(D934,'[2]stock-take'!$G:$K,3,FALSE))</f>
        <v>0</v>
      </c>
      <c r="K934" s="49" t="str">
        <f>IF(F934="", " ", IF(ISNA(VLOOKUP(D934,'[2]stock-take'!$M:$Q,4,FALSE)), "OUT OF STOCK", VLOOKUP(D934,'[2]stock-take'!$M:$Q,4,FALSE)))</f>
        <v xml:space="preserve"> </v>
      </c>
      <c r="L934" s="47">
        <f>IF(ISNA(VLOOKUP(D934,'[2]stock-take'!$M:$Q,3,FALSE)), 0, VLOOKUP(D934,'[2]stock-take'!$M:$Q,3,FALSE))</f>
        <v>0</v>
      </c>
      <c r="M934" s="48" t="str">
        <f t="shared" si="43"/>
        <v xml:space="preserve"> </v>
      </c>
      <c r="N934" s="39" t="str">
        <f t="shared" si="44"/>
        <v xml:space="preserve"> </v>
      </c>
    </row>
    <row r="935" spans="1:14">
      <c r="A935" s="37">
        <f t="shared" si="42"/>
        <v>924</v>
      </c>
      <c r="G935" s="48" t="str">
        <f>IF(F935=""," ",IF(ISNA(VLOOKUP(D935,'[2]stock-take'!$A:$E,4,FALSE)), "OUT OF STOCK", VLOOKUP(D935,'[2]stock-take'!$A:$E,4,FALSE)))</f>
        <v xml:space="preserve"> </v>
      </c>
      <c r="H935" s="48">
        <f>IF(ISNA(VLOOKUP(D935,'[2]stock-take'!$A:$E,3,FALSE)), 0, VLOOKUP(D935,'[2]stock-take'!$A:$E,3,FALSE))</f>
        <v>0</v>
      </c>
      <c r="I935" s="48" t="str">
        <f>IF(F935="", " ",IF(ISNA(VLOOKUP(D935,'[2]stock-take'!$G:$K,4,FALSE)), "OUT OF STOCK", VLOOKUP(D935,'[2]stock-take'!$G:$K,4,FALSE)))</f>
        <v xml:space="preserve"> </v>
      </c>
      <c r="J935" s="39">
        <f>IF(ISNA(VLOOKUP(D935,'[2]stock-take'!$G:$K,3,FALSE)), 0, VLOOKUP(D935,'[2]stock-take'!$G:$K,3,FALSE))</f>
        <v>0</v>
      </c>
      <c r="K935" s="49" t="str">
        <f>IF(F935="", " ", IF(ISNA(VLOOKUP(D935,'[2]stock-take'!$M:$Q,4,FALSE)), "OUT OF STOCK", VLOOKUP(D935,'[2]stock-take'!$M:$Q,4,FALSE)))</f>
        <v xml:space="preserve"> </v>
      </c>
      <c r="L935" s="47">
        <f>IF(ISNA(VLOOKUP(D935,'[2]stock-take'!$M:$Q,3,FALSE)), 0, VLOOKUP(D935,'[2]stock-take'!$M:$Q,3,FALSE))</f>
        <v>0</v>
      </c>
      <c r="M935" s="48" t="str">
        <f t="shared" si="43"/>
        <v xml:space="preserve"> </v>
      </c>
      <c r="N935" s="39" t="str">
        <f t="shared" si="44"/>
        <v xml:space="preserve"> </v>
      </c>
    </row>
    <row r="936" spans="1:14">
      <c r="A936" s="37">
        <f t="shared" si="42"/>
        <v>925</v>
      </c>
      <c r="G936" s="48" t="str">
        <f>IF(F936=""," ",IF(ISNA(VLOOKUP(D936,'[2]stock-take'!$A:$E,4,FALSE)), "OUT OF STOCK", VLOOKUP(D936,'[2]stock-take'!$A:$E,4,FALSE)))</f>
        <v xml:space="preserve"> </v>
      </c>
      <c r="H936" s="48">
        <f>IF(ISNA(VLOOKUP(D936,'[2]stock-take'!$A:$E,3,FALSE)), 0, VLOOKUP(D936,'[2]stock-take'!$A:$E,3,FALSE))</f>
        <v>0</v>
      </c>
      <c r="I936" s="48" t="str">
        <f>IF(F936="", " ",IF(ISNA(VLOOKUP(D936,'[2]stock-take'!$G:$K,4,FALSE)), "OUT OF STOCK", VLOOKUP(D936,'[2]stock-take'!$G:$K,4,FALSE)))</f>
        <v xml:space="preserve"> </v>
      </c>
      <c r="J936" s="39">
        <f>IF(ISNA(VLOOKUP(D936,'[2]stock-take'!$G:$K,3,FALSE)), 0, VLOOKUP(D936,'[2]stock-take'!$G:$K,3,FALSE))</f>
        <v>0</v>
      </c>
      <c r="K936" s="49" t="str">
        <f>IF(F936="", " ", IF(ISNA(VLOOKUP(D936,'[2]stock-take'!$M:$Q,4,FALSE)), "OUT OF STOCK", VLOOKUP(D936,'[2]stock-take'!$M:$Q,4,FALSE)))</f>
        <v xml:space="preserve"> </v>
      </c>
      <c r="L936" s="47">
        <f>IF(ISNA(VLOOKUP(D936,'[2]stock-take'!$M:$Q,3,FALSE)), 0, VLOOKUP(D936,'[2]stock-take'!$M:$Q,3,FALSE))</f>
        <v>0</v>
      </c>
      <c r="M936" s="48" t="str">
        <f t="shared" si="43"/>
        <v xml:space="preserve"> </v>
      </c>
      <c r="N936" s="39" t="str">
        <f t="shared" si="44"/>
        <v xml:space="preserve"> </v>
      </c>
    </row>
    <row r="937" spans="1:14">
      <c r="A937" s="37">
        <f t="shared" si="42"/>
        <v>926</v>
      </c>
      <c r="G937" s="48" t="str">
        <f>IF(F937=""," ",IF(ISNA(VLOOKUP(D937,'[2]stock-take'!$A:$E,4,FALSE)), "OUT OF STOCK", VLOOKUP(D937,'[2]stock-take'!$A:$E,4,FALSE)))</f>
        <v xml:space="preserve"> </v>
      </c>
      <c r="H937" s="48">
        <f>IF(ISNA(VLOOKUP(D937,'[2]stock-take'!$A:$E,3,FALSE)), 0, VLOOKUP(D937,'[2]stock-take'!$A:$E,3,FALSE))</f>
        <v>0</v>
      </c>
      <c r="I937" s="48" t="str">
        <f>IF(F937="", " ",IF(ISNA(VLOOKUP(D937,'[2]stock-take'!$G:$K,4,FALSE)), "OUT OF STOCK", VLOOKUP(D937,'[2]stock-take'!$G:$K,4,FALSE)))</f>
        <v xml:space="preserve"> </v>
      </c>
      <c r="J937" s="39">
        <f>IF(ISNA(VLOOKUP(D937,'[2]stock-take'!$G:$K,3,FALSE)), 0, VLOOKUP(D937,'[2]stock-take'!$G:$K,3,FALSE))</f>
        <v>0</v>
      </c>
      <c r="K937" s="49" t="str">
        <f>IF(F937="", " ", IF(ISNA(VLOOKUP(D937,'[2]stock-take'!$M:$Q,4,FALSE)), "OUT OF STOCK", VLOOKUP(D937,'[2]stock-take'!$M:$Q,4,FALSE)))</f>
        <v xml:space="preserve"> </v>
      </c>
      <c r="L937" s="47">
        <f>IF(ISNA(VLOOKUP(D937,'[2]stock-take'!$M:$Q,3,FALSE)), 0, VLOOKUP(D937,'[2]stock-take'!$M:$Q,3,FALSE))</f>
        <v>0</v>
      </c>
      <c r="M937" s="48" t="str">
        <f t="shared" si="43"/>
        <v xml:space="preserve"> </v>
      </c>
      <c r="N937" s="39" t="str">
        <f t="shared" si="44"/>
        <v xml:space="preserve"> </v>
      </c>
    </row>
    <row r="938" spans="1:14">
      <c r="A938" s="37">
        <f t="shared" si="42"/>
        <v>927</v>
      </c>
      <c r="G938" s="48" t="str">
        <f>IF(F938=""," ",IF(ISNA(VLOOKUP(D938,'[2]stock-take'!$A:$E,4,FALSE)), "OUT OF STOCK", VLOOKUP(D938,'[2]stock-take'!$A:$E,4,FALSE)))</f>
        <v xml:space="preserve"> </v>
      </c>
      <c r="H938" s="48">
        <f>IF(ISNA(VLOOKUP(D938,'[2]stock-take'!$A:$E,3,FALSE)), 0, VLOOKUP(D938,'[2]stock-take'!$A:$E,3,FALSE))</f>
        <v>0</v>
      </c>
      <c r="I938" s="48" t="str">
        <f>IF(F938="", " ",IF(ISNA(VLOOKUP(D938,'[2]stock-take'!$G:$K,4,FALSE)), "OUT OF STOCK", VLOOKUP(D938,'[2]stock-take'!$G:$K,4,FALSE)))</f>
        <v xml:space="preserve"> </v>
      </c>
      <c r="J938" s="39">
        <f>IF(ISNA(VLOOKUP(D938,'[2]stock-take'!$G:$K,3,FALSE)), 0, VLOOKUP(D938,'[2]stock-take'!$G:$K,3,FALSE))</f>
        <v>0</v>
      </c>
      <c r="K938" s="49" t="str">
        <f>IF(F938="", " ", IF(ISNA(VLOOKUP(D938,'[2]stock-take'!$M:$Q,4,FALSE)), "OUT OF STOCK", VLOOKUP(D938,'[2]stock-take'!$M:$Q,4,FALSE)))</f>
        <v xml:space="preserve"> </v>
      </c>
      <c r="L938" s="47">
        <f>IF(ISNA(VLOOKUP(D938,'[2]stock-take'!$M:$Q,3,FALSE)), 0, VLOOKUP(D938,'[2]stock-take'!$M:$Q,3,FALSE))</f>
        <v>0</v>
      </c>
      <c r="M938" s="48" t="str">
        <f t="shared" si="43"/>
        <v xml:space="preserve"> </v>
      </c>
      <c r="N938" s="39" t="str">
        <f t="shared" si="44"/>
        <v xml:space="preserve"> </v>
      </c>
    </row>
    <row r="939" spans="1:14">
      <c r="A939" s="37">
        <f t="shared" si="42"/>
        <v>928</v>
      </c>
      <c r="G939" s="48" t="str">
        <f>IF(F939=""," ",IF(ISNA(VLOOKUP(D939,'[2]stock-take'!$A:$E,4,FALSE)), "OUT OF STOCK", VLOOKUP(D939,'[2]stock-take'!$A:$E,4,FALSE)))</f>
        <v xml:space="preserve"> </v>
      </c>
      <c r="H939" s="48">
        <f>IF(ISNA(VLOOKUP(D939,'[2]stock-take'!$A:$E,3,FALSE)), 0, VLOOKUP(D939,'[2]stock-take'!$A:$E,3,FALSE))</f>
        <v>0</v>
      </c>
      <c r="I939" s="48" t="str">
        <f>IF(F939="", " ",IF(ISNA(VLOOKUP(D939,'[2]stock-take'!$G:$K,4,FALSE)), "OUT OF STOCK", VLOOKUP(D939,'[2]stock-take'!$G:$K,4,FALSE)))</f>
        <v xml:space="preserve"> </v>
      </c>
      <c r="J939" s="39">
        <f>IF(ISNA(VLOOKUP(D939,'[2]stock-take'!$G:$K,3,FALSE)), 0, VLOOKUP(D939,'[2]stock-take'!$G:$K,3,FALSE))</f>
        <v>0</v>
      </c>
      <c r="K939" s="49" t="str">
        <f>IF(F939="", " ", IF(ISNA(VLOOKUP(D939,'[2]stock-take'!$M:$Q,4,FALSE)), "OUT OF STOCK", VLOOKUP(D939,'[2]stock-take'!$M:$Q,4,FALSE)))</f>
        <v xml:space="preserve"> </v>
      </c>
      <c r="L939" s="47">
        <f>IF(ISNA(VLOOKUP(D939,'[2]stock-take'!$M:$Q,3,FALSE)), 0, VLOOKUP(D939,'[2]stock-take'!$M:$Q,3,FALSE))</f>
        <v>0</v>
      </c>
      <c r="M939" s="48" t="str">
        <f t="shared" si="43"/>
        <v xml:space="preserve"> </v>
      </c>
      <c r="N939" s="39" t="str">
        <f t="shared" si="44"/>
        <v xml:space="preserve"> </v>
      </c>
    </row>
    <row r="940" spans="1:14">
      <c r="A940" s="37">
        <f t="shared" si="42"/>
        <v>929</v>
      </c>
      <c r="G940" s="48" t="str">
        <f>IF(F940=""," ",IF(ISNA(VLOOKUP(D940,'[2]stock-take'!$A:$E,4,FALSE)), "OUT OF STOCK", VLOOKUP(D940,'[2]stock-take'!$A:$E,4,FALSE)))</f>
        <v xml:space="preserve"> </v>
      </c>
      <c r="H940" s="48">
        <f>IF(ISNA(VLOOKUP(D940,'[2]stock-take'!$A:$E,3,FALSE)), 0, VLOOKUP(D940,'[2]stock-take'!$A:$E,3,FALSE))</f>
        <v>0</v>
      </c>
      <c r="I940" s="48" t="str">
        <f>IF(F940="", " ",IF(ISNA(VLOOKUP(D940,'[2]stock-take'!$G:$K,4,FALSE)), "OUT OF STOCK", VLOOKUP(D940,'[2]stock-take'!$G:$K,4,FALSE)))</f>
        <v xml:space="preserve"> </v>
      </c>
      <c r="J940" s="39">
        <f>IF(ISNA(VLOOKUP(D940,'[2]stock-take'!$G:$K,3,FALSE)), 0, VLOOKUP(D940,'[2]stock-take'!$G:$K,3,FALSE))</f>
        <v>0</v>
      </c>
      <c r="K940" s="49" t="str">
        <f>IF(F940="", " ", IF(ISNA(VLOOKUP(D940,'[2]stock-take'!$M:$Q,4,FALSE)), "OUT OF STOCK", VLOOKUP(D940,'[2]stock-take'!$M:$Q,4,FALSE)))</f>
        <v xml:space="preserve"> </v>
      </c>
      <c r="L940" s="47">
        <f>IF(ISNA(VLOOKUP(D940,'[2]stock-take'!$M:$Q,3,FALSE)), 0, VLOOKUP(D940,'[2]stock-take'!$M:$Q,3,FALSE))</f>
        <v>0</v>
      </c>
      <c r="M940" s="48" t="str">
        <f t="shared" si="43"/>
        <v xml:space="preserve"> </v>
      </c>
      <c r="N940" s="39" t="str">
        <f t="shared" si="44"/>
        <v xml:space="preserve"> </v>
      </c>
    </row>
    <row r="941" spans="1:14">
      <c r="A941" s="37">
        <f t="shared" si="42"/>
        <v>930</v>
      </c>
      <c r="G941" s="48" t="str">
        <f>IF(F941=""," ",IF(ISNA(VLOOKUP(D941,'[2]stock-take'!$A:$E,4,FALSE)), "OUT OF STOCK", VLOOKUP(D941,'[2]stock-take'!$A:$E,4,FALSE)))</f>
        <v xml:space="preserve"> </v>
      </c>
      <c r="H941" s="48">
        <f>IF(ISNA(VLOOKUP(D941,'[2]stock-take'!$A:$E,3,FALSE)), 0, VLOOKUP(D941,'[2]stock-take'!$A:$E,3,FALSE))</f>
        <v>0</v>
      </c>
      <c r="I941" s="48" t="str">
        <f>IF(F941="", " ",IF(ISNA(VLOOKUP(D941,'[2]stock-take'!$G:$K,4,FALSE)), "OUT OF STOCK", VLOOKUP(D941,'[2]stock-take'!$G:$K,4,FALSE)))</f>
        <v xml:space="preserve"> </v>
      </c>
      <c r="J941" s="39">
        <f>IF(ISNA(VLOOKUP(D941,'[2]stock-take'!$G:$K,3,FALSE)), 0, VLOOKUP(D941,'[2]stock-take'!$G:$K,3,FALSE))</f>
        <v>0</v>
      </c>
      <c r="K941" s="49" t="str">
        <f>IF(F941="", " ", IF(ISNA(VLOOKUP(D941,'[2]stock-take'!$M:$Q,4,FALSE)), "OUT OF STOCK", VLOOKUP(D941,'[2]stock-take'!$M:$Q,4,FALSE)))</f>
        <v xml:space="preserve"> </v>
      </c>
      <c r="L941" s="47">
        <f>IF(ISNA(VLOOKUP(D941,'[2]stock-take'!$M:$Q,3,FALSE)), 0, VLOOKUP(D941,'[2]stock-take'!$M:$Q,3,FALSE))</f>
        <v>0</v>
      </c>
      <c r="M941" s="48" t="str">
        <f t="shared" si="43"/>
        <v xml:space="preserve"> </v>
      </c>
      <c r="N941" s="39" t="str">
        <f t="shared" si="44"/>
        <v xml:space="preserve"> </v>
      </c>
    </row>
    <row r="942" spans="1:14">
      <c r="A942" s="37">
        <f t="shared" si="42"/>
        <v>931</v>
      </c>
      <c r="G942" s="48" t="str">
        <f>IF(F942=""," ",IF(ISNA(VLOOKUP(D942,'[2]stock-take'!$A:$E,4,FALSE)), "OUT OF STOCK", VLOOKUP(D942,'[2]stock-take'!$A:$E,4,FALSE)))</f>
        <v xml:space="preserve"> </v>
      </c>
      <c r="H942" s="48">
        <f>IF(ISNA(VLOOKUP(D942,'[2]stock-take'!$A:$E,3,FALSE)), 0, VLOOKUP(D942,'[2]stock-take'!$A:$E,3,FALSE))</f>
        <v>0</v>
      </c>
      <c r="I942" s="48" t="str">
        <f>IF(F942="", " ",IF(ISNA(VLOOKUP(D942,'[2]stock-take'!$G:$K,4,FALSE)), "OUT OF STOCK", VLOOKUP(D942,'[2]stock-take'!$G:$K,4,FALSE)))</f>
        <v xml:space="preserve"> </v>
      </c>
      <c r="J942" s="39">
        <f>IF(ISNA(VLOOKUP(D942,'[2]stock-take'!$G:$K,3,FALSE)), 0, VLOOKUP(D942,'[2]stock-take'!$G:$K,3,FALSE))</f>
        <v>0</v>
      </c>
      <c r="K942" s="49" t="str">
        <f>IF(F942="", " ", IF(ISNA(VLOOKUP(D942,'[2]stock-take'!$M:$Q,4,FALSE)), "OUT OF STOCK", VLOOKUP(D942,'[2]stock-take'!$M:$Q,4,FALSE)))</f>
        <v xml:space="preserve"> </v>
      </c>
      <c r="L942" s="47">
        <f>IF(ISNA(VLOOKUP(D942,'[2]stock-take'!$M:$Q,3,FALSE)), 0, VLOOKUP(D942,'[2]stock-take'!$M:$Q,3,FALSE))</f>
        <v>0</v>
      </c>
      <c r="M942" s="48" t="str">
        <f t="shared" si="43"/>
        <v xml:space="preserve"> </v>
      </c>
      <c r="N942" s="39" t="str">
        <f t="shared" si="44"/>
        <v xml:space="preserve"> </v>
      </c>
    </row>
    <row r="943" spans="1:14">
      <c r="A943" s="37">
        <f t="shared" si="42"/>
        <v>932</v>
      </c>
      <c r="G943" s="48" t="str">
        <f>IF(F943=""," ",IF(ISNA(VLOOKUP(D943,'[2]stock-take'!$A:$E,4,FALSE)), "OUT OF STOCK", VLOOKUP(D943,'[2]stock-take'!$A:$E,4,FALSE)))</f>
        <v xml:space="preserve"> </v>
      </c>
      <c r="H943" s="48">
        <f>IF(ISNA(VLOOKUP(D943,'[2]stock-take'!$A:$E,3,FALSE)), 0, VLOOKUP(D943,'[2]stock-take'!$A:$E,3,FALSE))</f>
        <v>0</v>
      </c>
      <c r="I943" s="48" t="str">
        <f>IF(F943="", " ",IF(ISNA(VLOOKUP(D943,'[2]stock-take'!$G:$K,4,FALSE)), "OUT OF STOCK", VLOOKUP(D943,'[2]stock-take'!$G:$K,4,FALSE)))</f>
        <v xml:space="preserve"> </v>
      </c>
      <c r="J943" s="39">
        <f>IF(ISNA(VLOOKUP(D943,'[2]stock-take'!$G:$K,3,FALSE)), 0, VLOOKUP(D943,'[2]stock-take'!$G:$K,3,FALSE))</f>
        <v>0</v>
      </c>
      <c r="K943" s="49" t="str">
        <f>IF(F943="", " ", IF(ISNA(VLOOKUP(D943,'[2]stock-take'!$M:$Q,4,FALSE)), "OUT OF STOCK", VLOOKUP(D943,'[2]stock-take'!$M:$Q,4,FALSE)))</f>
        <v xml:space="preserve"> </v>
      </c>
      <c r="L943" s="47">
        <f>IF(ISNA(VLOOKUP(D943,'[2]stock-take'!$M:$Q,3,FALSE)), 0, VLOOKUP(D943,'[2]stock-take'!$M:$Q,3,FALSE))</f>
        <v>0</v>
      </c>
      <c r="M943" s="48" t="str">
        <f t="shared" si="43"/>
        <v xml:space="preserve"> </v>
      </c>
      <c r="N943" s="39" t="str">
        <f t="shared" si="44"/>
        <v xml:space="preserve"> </v>
      </c>
    </row>
    <row r="944" spans="1:14">
      <c r="A944" s="37">
        <f t="shared" si="42"/>
        <v>933</v>
      </c>
      <c r="G944" s="48" t="str">
        <f>IF(F944=""," ",IF(ISNA(VLOOKUP(D944,'[2]stock-take'!$A:$E,4,FALSE)), "OUT OF STOCK", VLOOKUP(D944,'[2]stock-take'!$A:$E,4,FALSE)))</f>
        <v xml:space="preserve"> </v>
      </c>
      <c r="H944" s="48">
        <f>IF(ISNA(VLOOKUP(D944,'[2]stock-take'!$A:$E,3,FALSE)), 0, VLOOKUP(D944,'[2]stock-take'!$A:$E,3,FALSE))</f>
        <v>0</v>
      </c>
      <c r="I944" s="48" t="str">
        <f>IF(F944="", " ",IF(ISNA(VLOOKUP(D944,'[2]stock-take'!$G:$K,4,FALSE)), "OUT OF STOCK", VLOOKUP(D944,'[2]stock-take'!$G:$K,4,FALSE)))</f>
        <v xml:space="preserve"> </v>
      </c>
      <c r="J944" s="39">
        <f>IF(ISNA(VLOOKUP(D944,'[2]stock-take'!$G:$K,3,FALSE)), 0, VLOOKUP(D944,'[2]stock-take'!$G:$K,3,FALSE))</f>
        <v>0</v>
      </c>
      <c r="K944" s="49" t="str">
        <f>IF(F944="", " ", IF(ISNA(VLOOKUP(D944,'[2]stock-take'!$M:$Q,4,FALSE)), "OUT OF STOCK", VLOOKUP(D944,'[2]stock-take'!$M:$Q,4,FALSE)))</f>
        <v xml:space="preserve"> </v>
      </c>
      <c r="L944" s="47">
        <f>IF(ISNA(VLOOKUP(D944,'[2]stock-take'!$M:$Q,3,FALSE)), 0, VLOOKUP(D944,'[2]stock-take'!$M:$Q,3,FALSE))</f>
        <v>0</v>
      </c>
      <c r="M944" s="48" t="str">
        <f t="shared" si="43"/>
        <v xml:space="preserve"> </v>
      </c>
      <c r="N944" s="39" t="str">
        <f t="shared" si="44"/>
        <v xml:space="preserve"> </v>
      </c>
    </row>
    <row r="945" spans="1:14">
      <c r="A945" s="37">
        <f t="shared" si="42"/>
        <v>934</v>
      </c>
      <c r="G945" s="48" t="str">
        <f>IF(F945=""," ",IF(ISNA(VLOOKUP(D945,'[2]stock-take'!$A:$E,4,FALSE)), "OUT OF STOCK", VLOOKUP(D945,'[2]stock-take'!$A:$E,4,FALSE)))</f>
        <v xml:space="preserve"> </v>
      </c>
      <c r="H945" s="48">
        <f>IF(ISNA(VLOOKUP(D945,'[2]stock-take'!$A:$E,3,FALSE)), 0, VLOOKUP(D945,'[2]stock-take'!$A:$E,3,FALSE))</f>
        <v>0</v>
      </c>
      <c r="I945" s="48" t="str">
        <f>IF(F945="", " ",IF(ISNA(VLOOKUP(D945,'[2]stock-take'!$G:$K,4,FALSE)), "OUT OF STOCK", VLOOKUP(D945,'[2]stock-take'!$G:$K,4,FALSE)))</f>
        <v xml:space="preserve"> </v>
      </c>
      <c r="J945" s="39">
        <f>IF(ISNA(VLOOKUP(D945,'[2]stock-take'!$G:$K,3,FALSE)), 0, VLOOKUP(D945,'[2]stock-take'!$G:$K,3,FALSE))</f>
        <v>0</v>
      </c>
      <c r="K945" s="49" t="str">
        <f>IF(F945="", " ", IF(ISNA(VLOOKUP(D945,'[2]stock-take'!$M:$Q,4,FALSE)), "OUT OF STOCK", VLOOKUP(D945,'[2]stock-take'!$M:$Q,4,FALSE)))</f>
        <v xml:space="preserve"> </v>
      </c>
      <c r="L945" s="47">
        <f>IF(ISNA(VLOOKUP(D945,'[2]stock-take'!$M:$Q,3,FALSE)), 0, VLOOKUP(D945,'[2]stock-take'!$M:$Q,3,FALSE))</f>
        <v>0</v>
      </c>
      <c r="M945" s="48" t="str">
        <f t="shared" si="43"/>
        <v xml:space="preserve"> </v>
      </c>
      <c r="N945" s="39" t="str">
        <f t="shared" si="44"/>
        <v xml:space="preserve"> </v>
      </c>
    </row>
    <row r="946" spans="1:14">
      <c r="A946" s="37">
        <f t="shared" si="42"/>
        <v>935</v>
      </c>
      <c r="G946" s="48" t="str">
        <f>IF(F946=""," ",IF(ISNA(VLOOKUP(D946,'[2]stock-take'!$A:$E,4,FALSE)), "OUT OF STOCK", VLOOKUP(D946,'[2]stock-take'!$A:$E,4,FALSE)))</f>
        <v xml:space="preserve"> </v>
      </c>
      <c r="H946" s="48">
        <f>IF(ISNA(VLOOKUP(D946,'[2]stock-take'!$A:$E,3,FALSE)), 0, VLOOKUP(D946,'[2]stock-take'!$A:$E,3,FALSE))</f>
        <v>0</v>
      </c>
      <c r="I946" s="48" t="str">
        <f>IF(F946="", " ",IF(ISNA(VLOOKUP(D946,'[2]stock-take'!$G:$K,4,FALSE)), "OUT OF STOCK", VLOOKUP(D946,'[2]stock-take'!$G:$K,4,FALSE)))</f>
        <v xml:space="preserve"> </v>
      </c>
      <c r="J946" s="39">
        <f>IF(ISNA(VLOOKUP(D946,'[2]stock-take'!$G:$K,3,FALSE)), 0, VLOOKUP(D946,'[2]stock-take'!$G:$K,3,FALSE))</f>
        <v>0</v>
      </c>
      <c r="K946" s="49" t="str">
        <f>IF(F946="", " ", IF(ISNA(VLOOKUP(D946,'[2]stock-take'!$M:$Q,4,FALSE)), "OUT OF STOCK", VLOOKUP(D946,'[2]stock-take'!$M:$Q,4,FALSE)))</f>
        <v xml:space="preserve"> </v>
      </c>
      <c r="L946" s="47">
        <f>IF(ISNA(VLOOKUP(D946,'[2]stock-take'!$M:$Q,3,FALSE)), 0, VLOOKUP(D946,'[2]stock-take'!$M:$Q,3,FALSE))</f>
        <v>0</v>
      </c>
      <c r="M946" s="48" t="str">
        <f t="shared" si="43"/>
        <v xml:space="preserve"> </v>
      </c>
      <c r="N946" s="39" t="str">
        <f t="shared" si="44"/>
        <v xml:space="preserve"> </v>
      </c>
    </row>
    <row r="947" spans="1:14">
      <c r="A947" s="37">
        <f t="shared" si="42"/>
        <v>936</v>
      </c>
      <c r="G947" s="48" t="str">
        <f>IF(F947=""," ",IF(ISNA(VLOOKUP(D947,'[2]stock-take'!$A:$E,4,FALSE)), "OUT OF STOCK", VLOOKUP(D947,'[2]stock-take'!$A:$E,4,FALSE)))</f>
        <v xml:space="preserve"> </v>
      </c>
      <c r="H947" s="48">
        <f>IF(ISNA(VLOOKUP(D947,'[2]stock-take'!$A:$E,3,FALSE)), 0, VLOOKUP(D947,'[2]stock-take'!$A:$E,3,FALSE))</f>
        <v>0</v>
      </c>
      <c r="I947" s="48" t="str">
        <f>IF(F947="", " ",IF(ISNA(VLOOKUP(D947,'[2]stock-take'!$G:$K,4,FALSE)), "OUT OF STOCK", VLOOKUP(D947,'[2]stock-take'!$G:$K,4,FALSE)))</f>
        <v xml:space="preserve"> </v>
      </c>
      <c r="J947" s="39">
        <f>IF(ISNA(VLOOKUP(D947,'[2]stock-take'!$G:$K,3,FALSE)), 0, VLOOKUP(D947,'[2]stock-take'!$G:$K,3,FALSE))</f>
        <v>0</v>
      </c>
      <c r="K947" s="49" t="str">
        <f>IF(F947="", " ", IF(ISNA(VLOOKUP(D947,'[2]stock-take'!$M:$Q,4,FALSE)), "OUT OF STOCK", VLOOKUP(D947,'[2]stock-take'!$M:$Q,4,FALSE)))</f>
        <v xml:space="preserve"> </v>
      </c>
      <c r="L947" s="47">
        <f>IF(ISNA(VLOOKUP(D947,'[2]stock-take'!$M:$Q,3,FALSE)), 0, VLOOKUP(D947,'[2]stock-take'!$M:$Q,3,FALSE))</f>
        <v>0</v>
      </c>
      <c r="M947" s="48" t="str">
        <f t="shared" si="43"/>
        <v xml:space="preserve"> </v>
      </c>
      <c r="N947" s="39" t="str">
        <f t="shared" si="44"/>
        <v xml:space="preserve"> </v>
      </c>
    </row>
    <row r="948" spans="1:14">
      <c r="A948" s="37">
        <f t="shared" si="42"/>
        <v>937</v>
      </c>
      <c r="G948" s="48" t="str">
        <f>IF(F948=""," ",IF(ISNA(VLOOKUP(D948,'[2]stock-take'!$A:$E,4,FALSE)), "OUT OF STOCK", VLOOKUP(D948,'[2]stock-take'!$A:$E,4,FALSE)))</f>
        <v xml:space="preserve"> </v>
      </c>
      <c r="H948" s="48">
        <f>IF(ISNA(VLOOKUP(D948,'[2]stock-take'!$A:$E,3,FALSE)), 0, VLOOKUP(D948,'[2]stock-take'!$A:$E,3,FALSE))</f>
        <v>0</v>
      </c>
      <c r="I948" s="48" t="str">
        <f>IF(F948="", " ",IF(ISNA(VLOOKUP(D948,'[2]stock-take'!$G:$K,4,FALSE)), "OUT OF STOCK", VLOOKUP(D948,'[2]stock-take'!$G:$K,4,FALSE)))</f>
        <v xml:space="preserve"> </v>
      </c>
      <c r="J948" s="39">
        <f>IF(ISNA(VLOOKUP(D948,'[2]stock-take'!$G:$K,3,FALSE)), 0, VLOOKUP(D948,'[2]stock-take'!$G:$K,3,FALSE))</f>
        <v>0</v>
      </c>
      <c r="K948" s="49" t="str">
        <f>IF(F948="", " ", IF(ISNA(VLOOKUP(D948,'[2]stock-take'!$M:$Q,4,FALSE)), "OUT OF STOCK", VLOOKUP(D948,'[2]stock-take'!$M:$Q,4,FALSE)))</f>
        <v xml:space="preserve"> </v>
      </c>
      <c r="L948" s="47">
        <f>IF(ISNA(VLOOKUP(D948,'[2]stock-take'!$M:$Q,3,FALSE)), 0, VLOOKUP(D948,'[2]stock-take'!$M:$Q,3,FALSE))</f>
        <v>0</v>
      </c>
      <c r="M948" s="48" t="str">
        <f t="shared" si="43"/>
        <v xml:space="preserve"> </v>
      </c>
      <c r="N948" s="39" t="str">
        <f t="shared" si="44"/>
        <v xml:space="preserve"> </v>
      </c>
    </row>
    <row r="949" spans="1:14">
      <c r="A949" s="37">
        <f t="shared" si="42"/>
        <v>938</v>
      </c>
      <c r="G949" s="48" t="str">
        <f>IF(F949=""," ",IF(ISNA(VLOOKUP(D949,'[2]stock-take'!$A:$E,4,FALSE)), "OUT OF STOCK", VLOOKUP(D949,'[2]stock-take'!$A:$E,4,FALSE)))</f>
        <v xml:space="preserve"> </v>
      </c>
      <c r="H949" s="48">
        <f>IF(ISNA(VLOOKUP(D949,'[2]stock-take'!$A:$E,3,FALSE)), 0, VLOOKUP(D949,'[2]stock-take'!$A:$E,3,FALSE))</f>
        <v>0</v>
      </c>
      <c r="I949" s="48" t="str">
        <f>IF(F949="", " ",IF(ISNA(VLOOKUP(D949,'[2]stock-take'!$G:$K,4,FALSE)), "OUT OF STOCK", VLOOKUP(D949,'[2]stock-take'!$G:$K,4,FALSE)))</f>
        <v xml:space="preserve"> </v>
      </c>
      <c r="J949" s="39">
        <f>IF(ISNA(VLOOKUP(D949,'[2]stock-take'!$G:$K,3,FALSE)), 0, VLOOKUP(D949,'[2]stock-take'!$G:$K,3,FALSE))</f>
        <v>0</v>
      </c>
      <c r="K949" s="49" t="str">
        <f>IF(F949="", " ", IF(ISNA(VLOOKUP(D949,'[2]stock-take'!$M:$Q,4,FALSE)), "OUT OF STOCK", VLOOKUP(D949,'[2]stock-take'!$M:$Q,4,FALSE)))</f>
        <v xml:space="preserve"> </v>
      </c>
      <c r="L949" s="47">
        <f>IF(ISNA(VLOOKUP(D949,'[2]stock-take'!$M:$Q,3,FALSE)), 0, VLOOKUP(D949,'[2]stock-take'!$M:$Q,3,FALSE))</f>
        <v>0</v>
      </c>
      <c r="M949" s="48" t="str">
        <f t="shared" si="43"/>
        <v xml:space="preserve"> </v>
      </c>
      <c r="N949" s="39" t="str">
        <f t="shared" si="44"/>
        <v xml:space="preserve"> </v>
      </c>
    </row>
    <row r="950" spans="1:14">
      <c r="A950" s="37">
        <f t="shared" si="42"/>
        <v>939</v>
      </c>
      <c r="G950" s="48" t="str">
        <f>IF(F950=""," ",IF(ISNA(VLOOKUP(D950,'[2]stock-take'!$A:$E,4,FALSE)), "OUT OF STOCK", VLOOKUP(D950,'[2]stock-take'!$A:$E,4,FALSE)))</f>
        <v xml:space="preserve"> </v>
      </c>
      <c r="H950" s="48">
        <f>IF(ISNA(VLOOKUP(D950,'[2]stock-take'!$A:$E,3,FALSE)), 0, VLOOKUP(D950,'[2]stock-take'!$A:$E,3,FALSE))</f>
        <v>0</v>
      </c>
      <c r="I950" s="48" t="str">
        <f>IF(F950="", " ",IF(ISNA(VLOOKUP(D950,'[2]stock-take'!$G:$K,4,FALSE)), "OUT OF STOCK", VLOOKUP(D950,'[2]stock-take'!$G:$K,4,FALSE)))</f>
        <v xml:space="preserve"> </v>
      </c>
      <c r="J950" s="39">
        <f>IF(ISNA(VLOOKUP(D950,'[2]stock-take'!$G:$K,3,FALSE)), 0, VLOOKUP(D950,'[2]stock-take'!$G:$K,3,FALSE))</f>
        <v>0</v>
      </c>
      <c r="K950" s="49" t="str">
        <f>IF(F950="", " ", IF(ISNA(VLOOKUP(D950,'[2]stock-take'!$M:$Q,4,FALSE)), "OUT OF STOCK", VLOOKUP(D950,'[2]stock-take'!$M:$Q,4,FALSE)))</f>
        <v xml:space="preserve"> </v>
      </c>
      <c r="L950" s="47">
        <f>IF(ISNA(VLOOKUP(D950,'[2]stock-take'!$M:$Q,3,FALSE)), 0, VLOOKUP(D950,'[2]stock-take'!$M:$Q,3,FALSE))</f>
        <v>0</v>
      </c>
      <c r="M950" s="48" t="str">
        <f t="shared" si="43"/>
        <v xml:space="preserve"> </v>
      </c>
      <c r="N950" s="39" t="str">
        <f t="shared" si="44"/>
        <v xml:space="preserve"> </v>
      </c>
    </row>
    <row r="951" spans="1:14">
      <c r="A951" s="37">
        <f t="shared" si="42"/>
        <v>940</v>
      </c>
      <c r="G951" s="48" t="str">
        <f>IF(F951=""," ",IF(ISNA(VLOOKUP(D951,'[2]stock-take'!$A:$E,4,FALSE)), "OUT OF STOCK", VLOOKUP(D951,'[2]stock-take'!$A:$E,4,FALSE)))</f>
        <v xml:space="preserve"> </v>
      </c>
      <c r="H951" s="48">
        <f>IF(ISNA(VLOOKUP(D951,'[2]stock-take'!$A:$E,3,FALSE)), 0, VLOOKUP(D951,'[2]stock-take'!$A:$E,3,FALSE))</f>
        <v>0</v>
      </c>
      <c r="I951" s="48" t="str">
        <f>IF(F951="", " ",IF(ISNA(VLOOKUP(D951,'[2]stock-take'!$G:$K,4,FALSE)), "OUT OF STOCK", VLOOKUP(D951,'[2]stock-take'!$G:$K,4,FALSE)))</f>
        <v xml:space="preserve"> </v>
      </c>
      <c r="J951" s="39">
        <f>IF(ISNA(VLOOKUP(D951,'[2]stock-take'!$G:$K,3,FALSE)), 0, VLOOKUP(D951,'[2]stock-take'!$G:$K,3,FALSE))</f>
        <v>0</v>
      </c>
      <c r="K951" s="49" t="str">
        <f>IF(F951="", " ", IF(ISNA(VLOOKUP(D951,'[2]stock-take'!$M:$Q,4,FALSE)), "OUT OF STOCK", VLOOKUP(D951,'[2]stock-take'!$M:$Q,4,FALSE)))</f>
        <v xml:space="preserve"> </v>
      </c>
      <c r="L951" s="47">
        <f>IF(ISNA(VLOOKUP(D951,'[2]stock-take'!$M:$Q,3,FALSE)), 0, VLOOKUP(D951,'[2]stock-take'!$M:$Q,3,FALSE))</f>
        <v>0</v>
      </c>
      <c r="M951" s="48" t="str">
        <f t="shared" si="43"/>
        <v xml:space="preserve"> </v>
      </c>
      <c r="N951" s="39" t="str">
        <f t="shared" si="44"/>
        <v xml:space="preserve"> </v>
      </c>
    </row>
    <row r="952" spans="1:14">
      <c r="A952" s="37">
        <f t="shared" si="42"/>
        <v>941</v>
      </c>
      <c r="G952" s="48" t="str">
        <f>IF(F952=""," ",IF(ISNA(VLOOKUP(D952,'[2]stock-take'!$A:$E,4,FALSE)), "OUT OF STOCK", VLOOKUP(D952,'[2]stock-take'!$A:$E,4,FALSE)))</f>
        <v xml:space="preserve"> </v>
      </c>
      <c r="H952" s="48">
        <f>IF(ISNA(VLOOKUP(D952,'[2]stock-take'!$A:$E,3,FALSE)), 0, VLOOKUP(D952,'[2]stock-take'!$A:$E,3,FALSE))</f>
        <v>0</v>
      </c>
      <c r="I952" s="48" t="str">
        <f>IF(F952="", " ",IF(ISNA(VLOOKUP(D952,'[2]stock-take'!$G:$K,4,FALSE)), "OUT OF STOCK", VLOOKUP(D952,'[2]stock-take'!$G:$K,4,FALSE)))</f>
        <v xml:space="preserve"> </v>
      </c>
      <c r="J952" s="39">
        <f>IF(ISNA(VLOOKUP(D952,'[2]stock-take'!$G:$K,3,FALSE)), 0, VLOOKUP(D952,'[2]stock-take'!$G:$K,3,FALSE))</f>
        <v>0</v>
      </c>
      <c r="K952" s="49" t="str">
        <f>IF(F952="", " ", IF(ISNA(VLOOKUP(D952,'[2]stock-take'!$M:$Q,4,FALSE)), "OUT OF STOCK", VLOOKUP(D952,'[2]stock-take'!$M:$Q,4,FALSE)))</f>
        <v xml:space="preserve"> </v>
      </c>
      <c r="L952" s="47">
        <f>IF(ISNA(VLOOKUP(D952,'[2]stock-take'!$M:$Q,3,FALSE)), 0, VLOOKUP(D952,'[2]stock-take'!$M:$Q,3,FALSE))</f>
        <v>0</v>
      </c>
      <c r="M952" s="48" t="str">
        <f t="shared" si="43"/>
        <v xml:space="preserve"> </v>
      </c>
      <c r="N952" s="39" t="str">
        <f t="shared" si="44"/>
        <v xml:space="preserve"> </v>
      </c>
    </row>
    <row r="953" spans="1:14">
      <c r="A953" s="37">
        <f t="shared" si="42"/>
        <v>942</v>
      </c>
      <c r="G953" s="48" t="str">
        <f>IF(F953=""," ",IF(ISNA(VLOOKUP(D953,'[2]stock-take'!$A:$E,4,FALSE)), "OUT OF STOCK", VLOOKUP(D953,'[2]stock-take'!$A:$E,4,FALSE)))</f>
        <v xml:space="preserve"> </v>
      </c>
      <c r="H953" s="48">
        <f>IF(ISNA(VLOOKUP(D953,'[2]stock-take'!$A:$E,3,FALSE)), 0, VLOOKUP(D953,'[2]stock-take'!$A:$E,3,FALSE))</f>
        <v>0</v>
      </c>
      <c r="I953" s="48" t="str">
        <f>IF(F953="", " ",IF(ISNA(VLOOKUP(D953,'[2]stock-take'!$G:$K,4,FALSE)), "OUT OF STOCK", VLOOKUP(D953,'[2]stock-take'!$G:$K,4,FALSE)))</f>
        <v xml:space="preserve"> </v>
      </c>
      <c r="J953" s="39">
        <f>IF(ISNA(VLOOKUP(D953,'[2]stock-take'!$G:$K,3,FALSE)), 0, VLOOKUP(D953,'[2]stock-take'!$G:$K,3,FALSE))</f>
        <v>0</v>
      </c>
      <c r="K953" s="49" t="str">
        <f>IF(F953="", " ", IF(ISNA(VLOOKUP(D953,'[2]stock-take'!$M:$Q,4,FALSE)), "OUT OF STOCK", VLOOKUP(D953,'[2]stock-take'!$M:$Q,4,FALSE)))</f>
        <v xml:space="preserve"> </v>
      </c>
      <c r="L953" s="47">
        <f>IF(ISNA(VLOOKUP(D953,'[2]stock-take'!$M:$Q,3,FALSE)), 0, VLOOKUP(D953,'[2]stock-take'!$M:$Q,3,FALSE))</f>
        <v>0</v>
      </c>
      <c r="M953" s="48" t="str">
        <f t="shared" si="43"/>
        <v xml:space="preserve"> </v>
      </c>
      <c r="N953" s="39" t="str">
        <f t="shared" si="44"/>
        <v xml:space="preserve"> </v>
      </c>
    </row>
    <row r="954" spans="1:14">
      <c r="A954" s="37">
        <f t="shared" si="42"/>
        <v>943</v>
      </c>
      <c r="G954" s="48" t="str">
        <f>IF(F954=""," ",IF(ISNA(VLOOKUP(D954,'[2]stock-take'!$A:$E,4,FALSE)), "OUT OF STOCK", VLOOKUP(D954,'[2]stock-take'!$A:$E,4,FALSE)))</f>
        <v xml:space="preserve"> </v>
      </c>
      <c r="H954" s="48">
        <f>IF(ISNA(VLOOKUP(D954,'[2]stock-take'!$A:$E,3,FALSE)), 0, VLOOKUP(D954,'[2]stock-take'!$A:$E,3,FALSE))</f>
        <v>0</v>
      </c>
      <c r="I954" s="48" t="str">
        <f>IF(F954="", " ",IF(ISNA(VLOOKUP(D954,'[2]stock-take'!$G:$K,4,FALSE)), "OUT OF STOCK", VLOOKUP(D954,'[2]stock-take'!$G:$K,4,FALSE)))</f>
        <v xml:space="preserve"> </v>
      </c>
      <c r="J954" s="39">
        <f>IF(ISNA(VLOOKUP(D954,'[2]stock-take'!$G:$K,3,FALSE)), 0, VLOOKUP(D954,'[2]stock-take'!$G:$K,3,FALSE))</f>
        <v>0</v>
      </c>
      <c r="K954" s="49" t="str">
        <f>IF(F954="", " ", IF(ISNA(VLOOKUP(D954,'[2]stock-take'!$M:$Q,4,FALSE)), "OUT OF STOCK", VLOOKUP(D954,'[2]stock-take'!$M:$Q,4,FALSE)))</f>
        <v xml:space="preserve"> </v>
      </c>
      <c r="L954" s="47">
        <f>IF(ISNA(VLOOKUP(D954,'[2]stock-take'!$M:$Q,3,FALSE)), 0, VLOOKUP(D954,'[2]stock-take'!$M:$Q,3,FALSE))</f>
        <v>0</v>
      </c>
      <c r="M954" s="48" t="str">
        <f t="shared" si="43"/>
        <v xml:space="preserve"> </v>
      </c>
      <c r="N954" s="39" t="str">
        <f t="shared" si="44"/>
        <v xml:space="preserve"> </v>
      </c>
    </row>
    <row r="955" spans="1:14">
      <c r="A955" s="37">
        <f t="shared" si="42"/>
        <v>944</v>
      </c>
      <c r="G955" s="48" t="str">
        <f>IF(F955=""," ",IF(ISNA(VLOOKUP(D955,'[2]stock-take'!$A:$E,4,FALSE)), "OUT OF STOCK", VLOOKUP(D955,'[2]stock-take'!$A:$E,4,FALSE)))</f>
        <v xml:space="preserve"> </v>
      </c>
      <c r="H955" s="48">
        <f>IF(ISNA(VLOOKUP(D955,'[2]stock-take'!$A:$E,3,FALSE)), 0, VLOOKUP(D955,'[2]stock-take'!$A:$E,3,FALSE))</f>
        <v>0</v>
      </c>
      <c r="I955" s="48" t="str">
        <f>IF(F955="", " ",IF(ISNA(VLOOKUP(D955,'[2]stock-take'!$G:$K,4,FALSE)), "OUT OF STOCK", VLOOKUP(D955,'[2]stock-take'!$G:$K,4,FALSE)))</f>
        <v xml:space="preserve"> </v>
      </c>
      <c r="J955" s="39">
        <f>IF(ISNA(VLOOKUP(D955,'[2]stock-take'!$G:$K,3,FALSE)), 0, VLOOKUP(D955,'[2]stock-take'!$G:$K,3,FALSE))</f>
        <v>0</v>
      </c>
      <c r="K955" s="49" t="str">
        <f>IF(F955="", " ", IF(ISNA(VLOOKUP(D955,'[2]stock-take'!$M:$Q,4,FALSE)), "OUT OF STOCK", VLOOKUP(D955,'[2]stock-take'!$M:$Q,4,FALSE)))</f>
        <v xml:space="preserve"> </v>
      </c>
      <c r="L955" s="47">
        <f>IF(ISNA(VLOOKUP(D955,'[2]stock-take'!$M:$Q,3,FALSE)), 0, VLOOKUP(D955,'[2]stock-take'!$M:$Q,3,FALSE))</f>
        <v>0</v>
      </c>
      <c r="M955" s="48" t="str">
        <f t="shared" si="43"/>
        <v xml:space="preserve"> </v>
      </c>
      <c r="N955" s="39" t="str">
        <f t="shared" si="44"/>
        <v xml:space="preserve"> </v>
      </c>
    </row>
    <row r="956" spans="1:14">
      <c r="A956" s="37">
        <f t="shared" si="42"/>
        <v>945</v>
      </c>
      <c r="G956" s="48" t="str">
        <f>IF(F956=""," ",IF(ISNA(VLOOKUP(D956,'[2]stock-take'!$A:$E,4,FALSE)), "OUT OF STOCK", VLOOKUP(D956,'[2]stock-take'!$A:$E,4,FALSE)))</f>
        <v xml:space="preserve"> </v>
      </c>
      <c r="H956" s="48">
        <f>IF(ISNA(VLOOKUP(D956,'[2]stock-take'!$A:$E,3,FALSE)), 0, VLOOKUP(D956,'[2]stock-take'!$A:$E,3,FALSE))</f>
        <v>0</v>
      </c>
      <c r="I956" s="48" t="str">
        <f>IF(F956="", " ",IF(ISNA(VLOOKUP(D956,'[2]stock-take'!$G:$K,4,FALSE)), "OUT OF STOCK", VLOOKUP(D956,'[2]stock-take'!$G:$K,4,FALSE)))</f>
        <v xml:space="preserve"> </v>
      </c>
      <c r="J956" s="39">
        <f>IF(ISNA(VLOOKUP(D956,'[2]stock-take'!$G:$K,3,FALSE)), 0, VLOOKUP(D956,'[2]stock-take'!$G:$K,3,FALSE))</f>
        <v>0</v>
      </c>
      <c r="K956" s="49" t="str">
        <f>IF(F956="", " ", IF(ISNA(VLOOKUP(D956,'[2]stock-take'!$M:$Q,4,FALSE)), "OUT OF STOCK", VLOOKUP(D956,'[2]stock-take'!$M:$Q,4,FALSE)))</f>
        <v xml:space="preserve"> </v>
      </c>
      <c r="L956" s="47">
        <f>IF(ISNA(VLOOKUP(D956,'[2]stock-take'!$M:$Q,3,FALSE)), 0, VLOOKUP(D956,'[2]stock-take'!$M:$Q,3,FALSE))</f>
        <v>0</v>
      </c>
      <c r="M956" s="48" t="str">
        <f t="shared" si="43"/>
        <v xml:space="preserve"> </v>
      </c>
      <c r="N956" s="39" t="str">
        <f t="shared" si="44"/>
        <v xml:space="preserve"> </v>
      </c>
    </row>
    <row r="957" spans="1:14">
      <c r="A957" s="37">
        <f t="shared" si="42"/>
        <v>946</v>
      </c>
      <c r="G957" s="48" t="str">
        <f>IF(F957=""," ",IF(ISNA(VLOOKUP(D957,'[2]stock-take'!$A:$E,4,FALSE)), "OUT OF STOCK", VLOOKUP(D957,'[2]stock-take'!$A:$E,4,FALSE)))</f>
        <v xml:space="preserve"> </v>
      </c>
      <c r="H957" s="48">
        <f>IF(ISNA(VLOOKUP(D957,'[2]stock-take'!$A:$E,3,FALSE)), 0, VLOOKUP(D957,'[2]stock-take'!$A:$E,3,FALSE))</f>
        <v>0</v>
      </c>
      <c r="I957" s="48" t="str">
        <f>IF(F957="", " ",IF(ISNA(VLOOKUP(D957,'[2]stock-take'!$G:$K,4,FALSE)), "OUT OF STOCK", VLOOKUP(D957,'[2]stock-take'!$G:$K,4,FALSE)))</f>
        <v xml:space="preserve"> </v>
      </c>
      <c r="J957" s="39">
        <f>IF(ISNA(VLOOKUP(D957,'[2]stock-take'!$G:$K,3,FALSE)), 0, VLOOKUP(D957,'[2]stock-take'!$G:$K,3,FALSE))</f>
        <v>0</v>
      </c>
      <c r="K957" s="49" t="str">
        <f>IF(F957="", " ", IF(ISNA(VLOOKUP(D957,'[2]stock-take'!$M:$Q,4,FALSE)), "OUT OF STOCK", VLOOKUP(D957,'[2]stock-take'!$M:$Q,4,FALSE)))</f>
        <v xml:space="preserve"> </v>
      </c>
      <c r="L957" s="47">
        <f>IF(ISNA(VLOOKUP(D957,'[2]stock-take'!$M:$Q,3,FALSE)), 0, VLOOKUP(D957,'[2]stock-take'!$M:$Q,3,FALSE))</f>
        <v>0</v>
      </c>
      <c r="M957" s="48" t="str">
        <f t="shared" si="43"/>
        <v xml:space="preserve"> </v>
      </c>
      <c r="N957" s="39" t="str">
        <f t="shared" si="44"/>
        <v xml:space="preserve"> </v>
      </c>
    </row>
    <row r="958" spans="1:14">
      <c r="A958" s="37">
        <f t="shared" si="42"/>
        <v>947</v>
      </c>
      <c r="G958" s="48" t="str">
        <f>IF(F958=""," ",IF(ISNA(VLOOKUP(D958,'[2]stock-take'!$A:$E,4,FALSE)), "OUT OF STOCK", VLOOKUP(D958,'[2]stock-take'!$A:$E,4,FALSE)))</f>
        <v xml:space="preserve"> </v>
      </c>
      <c r="H958" s="48">
        <f>IF(ISNA(VLOOKUP(D958,'[2]stock-take'!$A:$E,3,FALSE)), 0, VLOOKUP(D958,'[2]stock-take'!$A:$E,3,FALSE))</f>
        <v>0</v>
      </c>
      <c r="I958" s="48" t="str">
        <f>IF(F958="", " ",IF(ISNA(VLOOKUP(D958,'[2]stock-take'!$G:$K,4,FALSE)), "OUT OF STOCK", VLOOKUP(D958,'[2]stock-take'!$G:$K,4,FALSE)))</f>
        <v xml:space="preserve"> </v>
      </c>
      <c r="J958" s="39">
        <f>IF(ISNA(VLOOKUP(D958,'[2]stock-take'!$G:$K,3,FALSE)), 0, VLOOKUP(D958,'[2]stock-take'!$G:$K,3,FALSE))</f>
        <v>0</v>
      </c>
      <c r="K958" s="49" t="str">
        <f>IF(F958="", " ", IF(ISNA(VLOOKUP(D958,'[2]stock-take'!$M:$Q,4,FALSE)), "OUT OF STOCK", VLOOKUP(D958,'[2]stock-take'!$M:$Q,4,FALSE)))</f>
        <v xml:space="preserve"> </v>
      </c>
      <c r="L958" s="47">
        <f>IF(ISNA(VLOOKUP(D958,'[2]stock-take'!$M:$Q,3,FALSE)), 0, VLOOKUP(D958,'[2]stock-take'!$M:$Q,3,FALSE))</f>
        <v>0</v>
      </c>
      <c r="M958" s="48" t="str">
        <f t="shared" si="43"/>
        <v xml:space="preserve"> </v>
      </c>
      <c r="N958" s="39" t="str">
        <f t="shared" si="44"/>
        <v xml:space="preserve"> </v>
      </c>
    </row>
    <row r="959" spans="1:14">
      <c r="A959" s="37">
        <f t="shared" si="42"/>
        <v>948</v>
      </c>
      <c r="G959" s="48" t="str">
        <f>IF(F959=""," ",IF(ISNA(VLOOKUP(D959,'[2]stock-take'!$A:$E,4,FALSE)), "OUT OF STOCK", VLOOKUP(D959,'[2]stock-take'!$A:$E,4,FALSE)))</f>
        <v xml:space="preserve"> </v>
      </c>
      <c r="H959" s="48">
        <f>IF(ISNA(VLOOKUP(D959,'[2]stock-take'!$A:$E,3,FALSE)), 0, VLOOKUP(D959,'[2]stock-take'!$A:$E,3,FALSE))</f>
        <v>0</v>
      </c>
      <c r="I959" s="48" t="str">
        <f>IF(F959="", " ",IF(ISNA(VLOOKUP(D959,'[2]stock-take'!$G:$K,4,FALSE)), "OUT OF STOCK", VLOOKUP(D959,'[2]stock-take'!$G:$K,4,FALSE)))</f>
        <v xml:space="preserve"> </v>
      </c>
      <c r="J959" s="39">
        <f>IF(ISNA(VLOOKUP(D959,'[2]stock-take'!$G:$K,3,FALSE)), 0, VLOOKUP(D959,'[2]stock-take'!$G:$K,3,FALSE))</f>
        <v>0</v>
      </c>
      <c r="K959" s="49" t="str">
        <f>IF(F959="", " ", IF(ISNA(VLOOKUP(D959,'[2]stock-take'!$M:$Q,4,FALSE)), "OUT OF STOCK", VLOOKUP(D959,'[2]stock-take'!$M:$Q,4,FALSE)))</f>
        <v xml:space="preserve"> </v>
      </c>
      <c r="L959" s="47">
        <f>IF(ISNA(VLOOKUP(D959,'[2]stock-take'!$M:$Q,3,FALSE)), 0, VLOOKUP(D959,'[2]stock-take'!$M:$Q,3,FALSE))</f>
        <v>0</v>
      </c>
      <c r="M959" s="48" t="str">
        <f t="shared" si="43"/>
        <v xml:space="preserve"> </v>
      </c>
      <c r="N959" s="39" t="str">
        <f t="shared" si="44"/>
        <v xml:space="preserve"> </v>
      </c>
    </row>
    <row r="960" spans="1:14">
      <c r="A960" s="37">
        <f t="shared" si="42"/>
        <v>949</v>
      </c>
      <c r="G960" s="48" t="str">
        <f>IF(F960=""," ",IF(ISNA(VLOOKUP(D960,'[2]stock-take'!$A:$E,4,FALSE)), "OUT OF STOCK", VLOOKUP(D960,'[2]stock-take'!$A:$E,4,FALSE)))</f>
        <v xml:space="preserve"> </v>
      </c>
      <c r="H960" s="48">
        <f>IF(ISNA(VLOOKUP(D960,'[2]stock-take'!$A:$E,3,FALSE)), 0, VLOOKUP(D960,'[2]stock-take'!$A:$E,3,FALSE))</f>
        <v>0</v>
      </c>
      <c r="I960" s="48" t="str">
        <f>IF(F960="", " ",IF(ISNA(VLOOKUP(D960,'[2]stock-take'!$G:$K,4,FALSE)), "OUT OF STOCK", VLOOKUP(D960,'[2]stock-take'!$G:$K,4,FALSE)))</f>
        <v xml:space="preserve"> </v>
      </c>
      <c r="J960" s="39">
        <f>IF(ISNA(VLOOKUP(D960,'[2]stock-take'!$G:$K,3,FALSE)), 0, VLOOKUP(D960,'[2]stock-take'!$G:$K,3,FALSE))</f>
        <v>0</v>
      </c>
      <c r="K960" s="49" t="str">
        <f>IF(F960="", " ", IF(ISNA(VLOOKUP(D960,'[2]stock-take'!$M:$Q,4,FALSE)), "OUT OF STOCK", VLOOKUP(D960,'[2]stock-take'!$M:$Q,4,FALSE)))</f>
        <v xml:space="preserve"> </v>
      </c>
      <c r="L960" s="47">
        <f>IF(ISNA(VLOOKUP(D960,'[2]stock-take'!$M:$Q,3,FALSE)), 0, VLOOKUP(D960,'[2]stock-take'!$M:$Q,3,FALSE))</f>
        <v>0</v>
      </c>
      <c r="M960" s="48" t="str">
        <f t="shared" si="43"/>
        <v xml:space="preserve"> </v>
      </c>
      <c r="N960" s="39" t="str">
        <f t="shared" si="44"/>
        <v xml:space="preserve"> </v>
      </c>
    </row>
    <row r="961" spans="1:14">
      <c r="A961" s="37">
        <f t="shared" si="42"/>
        <v>950</v>
      </c>
      <c r="G961" s="48" t="str">
        <f>IF(F961=""," ",IF(ISNA(VLOOKUP(D961,'[2]stock-take'!$A:$E,4,FALSE)), "OUT OF STOCK", VLOOKUP(D961,'[2]stock-take'!$A:$E,4,FALSE)))</f>
        <v xml:space="preserve"> </v>
      </c>
      <c r="H961" s="48">
        <f>IF(ISNA(VLOOKUP(D961,'[2]stock-take'!$A:$E,3,FALSE)), 0, VLOOKUP(D961,'[2]stock-take'!$A:$E,3,FALSE))</f>
        <v>0</v>
      </c>
      <c r="I961" s="48" t="str">
        <f>IF(F961="", " ",IF(ISNA(VLOOKUP(D961,'[2]stock-take'!$G:$K,4,FALSE)), "OUT OF STOCK", VLOOKUP(D961,'[2]stock-take'!$G:$K,4,FALSE)))</f>
        <v xml:space="preserve"> </v>
      </c>
      <c r="J961" s="39">
        <f>IF(ISNA(VLOOKUP(D961,'[2]stock-take'!$G:$K,3,FALSE)), 0, VLOOKUP(D961,'[2]stock-take'!$G:$K,3,FALSE))</f>
        <v>0</v>
      </c>
      <c r="K961" s="49" t="str">
        <f>IF(F961="", " ", IF(ISNA(VLOOKUP(D961,'[2]stock-take'!$M:$Q,4,FALSE)), "OUT OF STOCK", VLOOKUP(D961,'[2]stock-take'!$M:$Q,4,FALSE)))</f>
        <v xml:space="preserve"> </v>
      </c>
      <c r="L961" s="47">
        <f>IF(ISNA(VLOOKUP(D961,'[2]stock-take'!$M:$Q,3,FALSE)), 0, VLOOKUP(D961,'[2]stock-take'!$M:$Q,3,FALSE))</f>
        <v>0</v>
      </c>
      <c r="M961" s="48" t="str">
        <f t="shared" si="43"/>
        <v xml:space="preserve"> </v>
      </c>
      <c r="N961" s="39" t="str">
        <f t="shared" si="44"/>
        <v xml:space="preserve"> </v>
      </c>
    </row>
    <row r="962" spans="1:14">
      <c r="A962" s="37">
        <f t="shared" si="42"/>
        <v>951</v>
      </c>
      <c r="G962" s="48" t="str">
        <f>IF(F962=""," ",IF(ISNA(VLOOKUP(D962,'[2]stock-take'!$A:$E,4,FALSE)), "OUT OF STOCK", VLOOKUP(D962,'[2]stock-take'!$A:$E,4,FALSE)))</f>
        <v xml:space="preserve"> </v>
      </c>
      <c r="H962" s="48">
        <f>IF(ISNA(VLOOKUP(D962,'[2]stock-take'!$A:$E,3,FALSE)), 0, VLOOKUP(D962,'[2]stock-take'!$A:$E,3,FALSE))</f>
        <v>0</v>
      </c>
      <c r="I962" s="48" t="str">
        <f>IF(F962="", " ",IF(ISNA(VLOOKUP(D962,'[2]stock-take'!$G:$K,4,FALSE)), "OUT OF STOCK", VLOOKUP(D962,'[2]stock-take'!$G:$K,4,FALSE)))</f>
        <v xml:space="preserve"> </v>
      </c>
      <c r="J962" s="39">
        <f>IF(ISNA(VLOOKUP(D962,'[2]stock-take'!$G:$K,3,FALSE)), 0, VLOOKUP(D962,'[2]stock-take'!$G:$K,3,FALSE))</f>
        <v>0</v>
      </c>
      <c r="K962" s="49" t="str">
        <f>IF(F962="", " ", IF(ISNA(VLOOKUP(D962,'[2]stock-take'!$M:$Q,4,FALSE)), "OUT OF STOCK", VLOOKUP(D962,'[2]stock-take'!$M:$Q,4,FALSE)))</f>
        <v xml:space="preserve"> </v>
      </c>
      <c r="L962" s="47">
        <f>IF(ISNA(VLOOKUP(D962,'[2]stock-take'!$M:$Q,3,FALSE)), 0, VLOOKUP(D962,'[2]stock-take'!$M:$Q,3,FALSE))</f>
        <v>0</v>
      </c>
      <c r="M962" s="48" t="str">
        <f t="shared" si="43"/>
        <v xml:space="preserve"> </v>
      </c>
      <c r="N962" s="39" t="str">
        <f t="shared" si="44"/>
        <v xml:space="preserve"> </v>
      </c>
    </row>
    <row r="963" spans="1:14">
      <c r="A963" s="37">
        <f t="shared" si="42"/>
        <v>952</v>
      </c>
      <c r="G963" s="48" t="str">
        <f>IF(F963=""," ",IF(ISNA(VLOOKUP(D963,'[2]stock-take'!$A:$E,4,FALSE)), "OUT OF STOCK", VLOOKUP(D963,'[2]stock-take'!$A:$E,4,FALSE)))</f>
        <v xml:space="preserve"> </v>
      </c>
      <c r="H963" s="48">
        <f>IF(ISNA(VLOOKUP(D963,'[2]stock-take'!$A:$E,3,FALSE)), 0, VLOOKUP(D963,'[2]stock-take'!$A:$E,3,FALSE))</f>
        <v>0</v>
      </c>
      <c r="I963" s="48" t="str">
        <f>IF(F963="", " ",IF(ISNA(VLOOKUP(D963,'[2]stock-take'!$G:$K,4,FALSE)), "OUT OF STOCK", VLOOKUP(D963,'[2]stock-take'!$G:$K,4,FALSE)))</f>
        <v xml:space="preserve"> </v>
      </c>
      <c r="J963" s="39">
        <f>IF(ISNA(VLOOKUP(D963,'[2]stock-take'!$G:$K,3,FALSE)), 0, VLOOKUP(D963,'[2]stock-take'!$G:$K,3,FALSE))</f>
        <v>0</v>
      </c>
      <c r="K963" s="49" t="str">
        <f>IF(F963="", " ", IF(ISNA(VLOOKUP(D963,'[2]stock-take'!$M:$Q,4,FALSE)), "OUT OF STOCK", VLOOKUP(D963,'[2]stock-take'!$M:$Q,4,FALSE)))</f>
        <v xml:space="preserve"> </v>
      </c>
      <c r="L963" s="47">
        <f>IF(ISNA(VLOOKUP(D963,'[2]stock-take'!$M:$Q,3,FALSE)), 0, VLOOKUP(D963,'[2]stock-take'!$M:$Q,3,FALSE))</f>
        <v>0</v>
      </c>
      <c r="M963" s="48" t="str">
        <f t="shared" si="43"/>
        <v xml:space="preserve"> </v>
      </c>
      <c r="N963" s="39" t="str">
        <f t="shared" si="44"/>
        <v xml:space="preserve"> </v>
      </c>
    </row>
    <row r="964" spans="1:14">
      <c r="A964" s="37">
        <f t="shared" si="42"/>
        <v>953</v>
      </c>
      <c r="G964" s="48" t="str">
        <f>IF(F964=""," ",IF(ISNA(VLOOKUP(D964,'[2]stock-take'!$A:$E,4,FALSE)), "OUT OF STOCK", VLOOKUP(D964,'[2]stock-take'!$A:$E,4,FALSE)))</f>
        <v xml:space="preserve"> </v>
      </c>
      <c r="H964" s="48">
        <f>IF(ISNA(VLOOKUP(D964,'[2]stock-take'!$A:$E,3,FALSE)), 0, VLOOKUP(D964,'[2]stock-take'!$A:$E,3,FALSE))</f>
        <v>0</v>
      </c>
      <c r="I964" s="48" t="str">
        <f>IF(F964="", " ",IF(ISNA(VLOOKUP(D964,'[2]stock-take'!$G:$K,4,FALSE)), "OUT OF STOCK", VLOOKUP(D964,'[2]stock-take'!$G:$K,4,FALSE)))</f>
        <v xml:space="preserve"> </v>
      </c>
      <c r="J964" s="39">
        <f>IF(ISNA(VLOOKUP(D964,'[2]stock-take'!$G:$K,3,FALSE)), 0, VLOOKUP(D964,'[2]stock-take'!$G:$K,3,FALSE))</f>
        <v>0</v>
      </c>
      <c r="K964" s="49" t="str">
        <f>IF(F964="", " ", IF(ISNA(VLOOKUP(D964,'[2]stock-take'!$M:$Q,4,FALSE)), "OUT OF STOCK", VLOOKUP(D964,'[2]stock-take'!$M:$Q,4,FALSE)))</f>
        <v xml:space="preserve"> </v>
      </c>
      <c r="L964" s="47">
        <f>IF(ISNA(VLOOKUP(D964,'[2]stock-take'!$M:$Q,3,FALSE)), 0, VLOOKUP(D964,'[2]stock-take'!$M:$Q,3,FALSE))</f>
        <v>0</v>
      </c>
      <c r="M964" s="48" t="str">
        <f t="shared" si="43"/>
        <v xml:space="preserve"> </v>
      </c>
      <c r="N964" s="39" t="str">
        <f t="shared" si="44"/>
        <v xml:space="preserve"> </v>
      </c>
    </row>
    <row r="965" spans="1:14">
      <c r="A965" s="37">
        <f t="shared" si="42"/>
        <v>954</v>
      </c>
      <c r="G965" s="48" t="str">
        <f>IF(F965=""," ",IF(ISNA(VLOOKUP(D965,'[2]stock-take'!$A:$E,4,FALSE)), "OUT OF STOCK", VLOOKUP(D965,'[2]stock-take'!$A:$E,4,FALSE)))</f>
        <v xml:space="preserve"> </v>
      </c>
      <c r="H965" s="48">
        <f>IF(ISNA(VLOOKUP(D965,'[2]stock-take'!$A:$E,3,FALSE)), 0, VLOOKUP(D965,'[2]stock-take'!$A:$E,3,FALSE))</f>
        <v>0</v>
      </c>
      <c r="I965" s="48" t="str">
        <f>IF(F965="", " ",IF(ISNA(VLOOKUP(D965,'[2]stock-take'!$G:$K,4,FALSE)), "OUT OF STOCK", VLOOKUP(D965,'[2]stock-take'!$G:$K,4,FALSE)))</f>
        <v xml:space="preserve"> </v>
      </c>
      <c r="J965" s="39">
        <f>IF(ISNA(VLOOKUP(D965,'[2]stock-take'!$G:$K,3,FALSE)), 0, VLOOKUP(D965,'[2]stock-take'!$G:$K,3,FALSE))</f>
        <v>0</v>
      </c>
      <c r="K965" s="49" t="str">
        <f>IF(F965="", " ", IF(ISNA(VLOOKUP(D965,'[2]stock-take'!$M:$Q,4,FALSE)), "OUT OF STOCK", VLOOKUP(D965,'[2]stock-take'!$M:$Q,4,FALSE)))</f>
        <v xml:space="preserve"> </v>
      </c>
      <c r="L965" s="47">
        <f>IF(ISNA(VLOOKUP(D965,'[2]stock-take'!$M:$Q,3,FALSE)), 0, VLOOKUP(D965,'[2]stock-take'!$M:$Q,3,FALSE))</f>
        <v>0</v>
      </c>
      <c r="M965" s="48" t="str">
        <f t="shared" si="43"/>
        <v xml:space="preserve"> </v>
      </c>
      <c r="N965" s="39" t="str">
        <f t="shared" si="44"/>
        <v xml:space="preserve"> </v>
      </c>
    </row>
    <row r="966" spans="1:14">
      <c r="A966" s="37">
        <f t="shared" si="42"/>
        <v>955</v>
      </c>
      <c r="G966" s="48" t="str">
        <f>IF(F966=""," ",IF(ISNA(VLOOKUP(D966,'[2]stock-take'!$A:$E,4,FALSE)), "OUT OF STOCK", VLOOKUP(D966,'[2]stock-take'!$A:$E,4,FALSE)))</f>
        <v xml:space="preserve"> </v>
      </c>
      <c r="H966" s="48">
        <f>IF(ISNA(VLOOKUP(D966,'[2]stock-take'!$A:$E,3,FALSE)), 0, VLOOKUP(D966,'[2]stock-take'!$A:$E,3,FALSE))</f>
        <v>0</v>
      </c>
      <c r="I966" s="48" t="str">
        <f>IF(F966="", " ",IF(ISNA(VLOOKUP(D966,'[2]stock-take'!$G:$K,4,FALSE)), "OUT OF STOCK", VLOOKUP(D966,'[2]stock-take'!$G:$K,4,FALSE)))</f>
        <v xml:space="preserve"> </v>
      </c>
      <c r="J966" s="39">
        <f>IF(ISNA(VLOOKUP(D966,'[2]stock-take'!$G:$K,3,FALSE)), 0, VLOOKUP(D966,'[2]stock-take'!$G:$K,3,FALSE))</f>
        <v>0</v>
      </c>
      <c r="K966" s="49" t="str">
        <f>IF(F966="", " ", IF(ISNA(VLOOKUP(D966,'[2]stock-take'!$M:$Q,4,FALSE)), "OUT OF STOCK", VLOOKUP(D966,'[2]stock-take'!$M:$Q,4,FALSE)))</f>
        <v xml:space="preserve"> </v>
      </c>
      <c r="L966" s="47">
        <f>IF(ISNA(VLOOKUP(D966,'[2]stock-take'!$M:$Q,3,FALSE)), 0, VLOOKUP(D966,'[2]stock-take'!$M:$Q,3,FALSE))</f>
        <v>0</v>
      </c>
      <c r="M966" s="48" t="str">
        <f t="shared" si="43"/>
        <v xml:space="preserve"> </v>
      </c>
      <c r="N966" s="39" t="str">
        <f t="shared" si="44"/>
        <v xml:space="preserve"> </v>
      </c>
    </row>
    <row r="967" spans="1:14">
      <c r="A967" s="37">
        <f t="shared" si="42"/>
        <v>956</v>
      </c>
      <c r="G967" s="48" t="str">
        <f>IF(F967=""," ",IF(ISNA(VLOOKUP(D967,'[2]stock-take'!$A:$E,4,FALSE)), "OUT OF STOCK", VLOOKUP(D967,'[2]stock-take'!$A:$E,4,FALSE)))</f>
        <v xml:space="preserve"> </v>
      </c>
      <c r="H967" s="48">
        <f>IF(ISNA(VLOOKUP(D967,'[2]stock-take'!$A:$E,3,FALSE)), 0, VLOOKUP(D967,'[2]stock-take'!$A:$E,3,FALSE))</f>
        <v>0</v>
      </c>
      <c r="I967" s="48" t="str">
        <f>IF(F967="", " ",IF(ISNA(VLOOKUP(D967,'[2]stock-take'!$G:$K,4,FALSE)), "OUT OF STOCK", VLOOKUP(D967,'[2]stock-take'!$G:$K,4,FALSE)))</f>
        <v xml:space="preserve"> </v>
      </c>
      <c r="J967" s="39">
        <f>IF(ISNA(VLOOKUP(D967,'[2]stock-take'!$G:$K,3,FALSE)), 0, VLOOKUP(D967,'[2]stock-take'!$G:$K,3,FALSE))</f>
        <v>0</v>
      </c>
      <c r="K967" s="49" t="str">
        <f>IF(F967="", " ", IF(ISNA(VLOOKUP(D967,'[2]stock-take'!$M:$Q,4,FALSE)), "OUT OF STOCK", VLOOKUP(D967,'[2]stock-take'!$M:$Q,4,FALSE)))</f>
        <v xml:space="preserve"> </v>
      </c>
      <c r="L967" s="47">
        <f>IF(ISNA(VLOOKUP(D967,'[2]stock-take'!$M:$Q,3,FALSE)), 0, VLOOKUP(D967,'[2]stock-take'!$M:$Q,3,FALSE))</f>
        <v>0</v>
      </c>
      <c r="M967" s="48" t="str">
        <f t="shared" si="43"/>
        <v xml:space="preserve"> </v>
      </c>
      <c r="N967" s="39" t="str">
        <f t="shared" si="44"/>
        <v xml:space="preserve"> </v>
      </c>
    </row>
    <row r="968" spans="1:14">
      <c r="A968" s="37">
        <f t="shared" si="42"/>
        <v>957</v>
      </c>
      <c r="G968" s="48" t="str">
        <f>IF(F968=""," ",IF(ISNA(VLOOKUP(D968,'[2]stock-take'!$A:$E,4,FALSE)), "OUT OF STOCK", VLOOKUP(D968,'[2]stock-take'!$A:$E,4,FALSE)))</f>
        <v xml:space="preserve"> </v>
      </c>
      <c r="H968" s="48">
        <f>IF(ISNA(VLOOKUP(D968,'[2]stock-take'!$A:$E,3,FALSE)), 0, VLOOKUP(D968,'[2]stock-take'!$A:$E,3,FALSE))</f>
        <v>0</v>
      </c>
      <c r="I968" s="48" t="str">
        <f>IF(F968="", " ",IF(ISNA(VLOOKUP(D968,'[2]stock-take'!$G:$K,4,FALSE)), "OUT OF STOCK", VLOOKUP(D968,'[2]stock-take'!$G:$K,4,FALSE)))</f>
        <v xml:space="preserve"> </v>
      </c>
      <c r="J968" s="39">
        <f>IF(ISNA(VLOOKUP(D968,'[2]stock-take'!$G:$K,3,FALSE)), 0, VLOOKUP(D968,'[2]stock-take'!$G:$K,3,FALSE))</f>
        <v>0</v>
      </c>
      <c r="K968" s="49" t="str">
        <f>IF(F968="", " ", IF(ISNA(VLOOKUP(D968,'[2]stock-take'!$M:$Q,4,FALSE)), "OUT OF STOCK", VLOOKUP(D968,'[2]stock-take'!$M:$Q,4,FALSE)))</f>
        <v xml:space="preserve"> </v>
      </c>
      <c r="L968" s="47">
        <f>IF(ISNA(VLOOKUP(D968,'[2]stock-take'!$M:$Q,3,FALSE)), 0, VLOOKUP(D968,'[2]stock-take'!$M:$Q,3,FALSE))</f>
        <v>0</v>
      </c>
      <c r="M968" s="48" t="str">
        <f t="shared" si="43"/>
        <v xml:space="preserve"> </v>
      </c>
      <c r="N968" s="39" t="str">
        <f t="shared" si="44"/>
        <v xml:space="preserve"> </v>
      </c>
    </row>
    <row r="969" spans="1:14">
      <c r="A969" s="37">
        <f t="shared" si="42"/>
        <v>958</v>
      </c>
      <c r="G969" s="48" t="str">
        <f>IF(F969=""," ",IF(ISNA(VLOOKUP(D969,'[2]stock-take'!$A:$E,4,FALSE)), "OUT OF STOCK", VLOOKUP(D969,'[2]stock-take'!$A:$E,4,FALSE)))</f>
        <v xml:space="preserve"> </v>
      </c>
      <c r="H969" s="48">
        <f>IF(ISNA(VLOOKUP(D969,'[2]stock-take'!$A:$E,3,FALSE)), 0, VLOOKUP(D969,'[2]stock-take'!$A:$E,3,FALSE))</f>
        <v>0</v>
      </c>
      <c r="I969" s="48" t="str">
        <f>IF(F969="", " ",IF(ISNA(VLOOKUP(D969,'[2]stock-take'!$G:$K,4,FALSE)), "OUT OF STOCK", VLOOKUP(D969,'[2]stock-take'!$G:$K,4,FALSE)))</f>
        <v xml:space="preserve"> </v>
      </c>
      <c r="J969" s="39">
        <f>IF(ISNA(VLOOKUP(D969,'[2]stock-take'!$G:$K,3,FALSE)), 0, VLOOKUP(D969,'[2]stock-take'!$G:$K,3,FALSE))</f>
        <v>0</v>
      </c>
      <c r="K969" s="49" t="str">
        <f>IF(F969="", " ", IF(ISNA(VLOOKUP(D969,'[2]stock-take'!$M:$Q,4,FALSE)), "OUT OF STOCK", VLOOKUP(D969,'[2]stock-take'!$M:$Q,4,FALSE)))</f>
        <v xml:space="preserve"> </v>
      </c>
      <c r="L969" s="47">
        <f>IF(ISNA(VLOOKUP(D969,'[2]stock-take'!$M:$Q,3,FALSE)), 0, VLOOKUP(D969,'[2]stock-take'!$M:$Q,3,FALSE))</f>
        <v>0</v>
      </c>
      <c r="M969" s="48" t="str">
        <f t="shared" si="43"/>
        <v xml:space="preserve"> </v>
      </c>
      <c r="N969" s="39" t="str">
        <f t="shared" si="44"/>
        <v xml:space="preserve"> </v>
      </c>
    </row>
    <row r="970" spans="1:14">
      <c r="A970" s="37">
        <f t="shared" si="42"/>
        <v>959</v>
      </c>
      <c r="G970" s="48" t="str">
        <f>IF(F970=""," ",IF(ISNA(VLOOKUP(D970,'[2]stock-take'!$A:$E,4,FALSE)), "OUT OF STOCK", VLOOKUP(D970,'[2]stock-take'!$A:$E,4,FALSE)))</f>
        <v xml:space="preserve"> </v>
      </c>
      <c r="H970" s="48">
        <f>IF(ISNA(VLOOKUP(D970,'[2]stock-take'!$A:$E,3,FALSE)), 0, VLOOKUP(D970,'[2]stock-take'!$A:$E,3,FALSE))</f>
        <v>0</v>
      </c>
      <c r="I970" s="48" t="str">
        <f>IF(F970="", " ",IF(ISNA(VLOOKUP(D970,'[2]stock-take'!$G:$K,4,FALSE)), "OUT OF STOCK", VLOOKUP(D970,'[2]stock-take'!$G:$K,4,FALSE)))</f>
        <v xml:space="preserve"> </v>
      </c>
      <c r="J970" s="39">
        <f>IF(ISNA(VLOOKUP(D970,'[2]stock-take'!$G:$K,3,FALSE)), 0, VLOOKUP(D970,'[2]stock-take'!$G:$K,3,FALSE))</f>
        <v>0</v>
      </c>
      <c r="K970" s="49" t="str">
        <f>IF(F970="", " ", IF(ISNA(VLOOKUP(D970,'[2]stock-take'!$M:$Q,4,FALSE)), "OUT OF STOCK", VLOOKUP(D970,'[2]stock-take'!$M:$Q,4,FALSE)))</f>
        <v xml:space="preserve"> </v>
      </c>
      <c r="L970" s="47">
        <f>IF(ISNA(VLOOKUP(D970,'[2]stock-take'!$M:$Q,3,FALSE)), 0, VLOOKUP(D970,'[2]stock-take'!$M:$Q,3,FALSE))</f>
        <v>0</v>
      </c>
      <c r="M970" s="48" t="str">
        <f t="shared" si="43"/>
        <v xml:space="preserve"> </v>
      </c>
      <c r="N970" s="39" t="str">
        <f t="shared" si="44"/>
        <v xml:space="preserve"> </v>
      </c>
    </row>
    <row r="971" spans="1:14">
      <c r="A971" s="37">
        <f t="shared" si="42"/>
        <v>960</v>
      </c>
      <c r="G971" s="48" t="str">
        <f>IF(F971=""," ",IF(ISNA(VLOOKUP(D971,'[2]stock-take'!$A:$E,4,FALSE)), "OUT OF STOCK", VLOOKUP(D971,'[2]stock-take'!$A:$E,4,FALSE)))</f>
        <v xml:space="preserve"> </v>
      </c>
      <c r="H971" s="48">
        <f>IF(ISNA(VLOOKUP(D971,'[2]stock-take'!$A:$E,3,FALSE)), 0, VLOOKUP(D971,'[2]stock-take'!$A:$E,3,FALSE))</f>
        <v>0</v>
      </c>
      <c r="I971" s="48" t="str">
        <f>IF(F971="", " ",IF(ISNA(VLOOKUP(D971,'[2]stock-take'!$G:$K,4,FALSE)), "OUT OF STOCK", VLOOKUP(D971,'[2]stock-take'!$G:$K,4,FALSE)))</f>
        <v xml:space="preserve"> </v>
      </c>
      <c r="J971" s="39">
        <f>IF(ISNA(VLOOKUP(D971,'[2]stock-take'!$G:$K,3,FALSE)), 0, VLOOKUP(D971,'[2]stock-take'!$G:$K,3,FALSE))</f>
        <v>0</v>
      </c>
      <c r="K971" s="49" t="str">
        <f>IF(F971="", " ", IF(ISNA(VLOOKUP(D971,'[2]stock-take'!$M:$Q,4,FALSE)), "OUT OF STOCK", VLOOKUP(D971,'[2]stock-take'!$M:$Q,4,FALSE)))</f>
        <v xml:space="preserve"> </v>
      </c>
      <c r="L971" s="47">
        <f>IF(ISNA(VLOOKUP(D971,'[2]stock-take'!$M:$Q,3,FALSE)), 0, VLOOKUP(D971,'[2]stock-take'!$M:$Q,3,FALSE))</f>
        <v>0</v>
      </c>
      <c r="M971" s="48" t="str">
        <f t="shared" si="43"/>
        <v xml:space="preserve"> </v>
      </c>
      <c r="N971" s="39" t="str">
        <f t="shared" si="44"/>
        <v xml:space="preserve"> </v>
      </c>
    </row>
    <row r="972" spans="1:14">
      <c r="A972" s="37">
        <f t="shared" ref="A972:A1035" si="45">ROW(A972)-11</f>
        <v>961</v>
      </c>
      <c r="G972" s="48" t="str">
        <f>IF(F972=""," ",IF(ISNA(VLOOKUP(D972,'[2]stock-take'!$A:$E,4,FALSE)), "OUT OF STOCK", VLOOKUP(D972,'[2]stock-take'!$A:$E,4,FALSE)))</f>
        <v xml:space="preserve"> </v>
      </c>
      <c r="H972" s="48">
        <f>IF(ISNA(VLOOKUP(D972,'[2]stock-take'!$A:$E,3,FALSE)), 0, VLOOKUP(D972,'[2]stock-take'!$A:$E,3,FALSE))</f>
        <v>0</v>
      </c>
      <c r="I972" s="48" t="str">
        <f>IF(F972="", " ",IF(ISNA(VLOOKUP(D972,'[2]stock-take'!$G:$K,4,FALSE)), "OUT OF STOCK", VLOOKUP(D972,'[2]stock-take'!$G:$K,4,FALSE)))</f>
        <v xml:space="preserve"> </v>
      </c>
      <c r="J972" s="39">
        <f>IF(ISNA(VLOOKUP(D972,'[2]stock-take'!$G:$K,3,FALSE)), 0, VLOOKUP(D972,'[2]stock-take'!$G:$K,3,FALSE))</f>
        <v>0</v>
      </c>
      <c r="K972" s="49" t="str">
        <f>IF(F972="", " ", IF(ISNA(VLOOKUP(D972,'[2]stock-take'!$M:$Q,4,FALSE)), "OUT OF STOCK", VLOOKUP(D972,'[2]stock-take'!$M:$Q,4,FALSE)))</f>
        <v xml:space="preserve"> </v>
      </c>
      <c r="L972" s="47">
        <f>IF(ISNA(VLOOKUP(D972,'[2]stock-take'!$M:$Q,3,FALSE)), 0, VLOOKUP(D972,'[2]stock-take'!$M:$Q,3,FALSE))</f>
        <v>0</v>
      </c>
      <c r="M972" s="48" t="str">
        <f t="shared" si="43"/>
        <v xml:space="preserve"> </v>
      </c>
      <c r="N972" s="39" t="str">
        <f t="shared" si="44"/>
        <v xml:space="preserve"> </v>
      </c>
    </row>
    <row r="973" spans="1:14">
      <c r="A973" s="37">
        <f t="shared" si="45"/>
        <v>962</v>
      </c>
      <c r="G973" s="48" t="str">
        <f>IF(F973=""," ",IF(ISNA(VLOOKUP(D973,'[2]stock-take'!$A:$E,4,FALSE)), "OUT OF STOCK", VLOOKUP(D973,'[2]stock-take'!$A:$E,4,FALSE)))</f>
        <v xml:space="preserve"> </v>
      </c>
      <c r="H973" s="48">
        <f>IF(ISNA(VLOOKUP(D973,'[2]stock-take'!$A:$E,3,FALSE)), 0, VLOOKUP(D973,'[2]stock-take'!$A:$E,3,FALSE))</f>
        <v>0</v>
      </c>
      <c r="I973" s="48" t="str">
        <f>IF(F973="", " ",IF(ISNA(VLOOKUP(D973,'[2]stock-take'!$G:$K,4,FALSE)), "OUT OF STOCK", VLOOKUP(D973,'[2]stock-take'!$G:$K,4,FALSE)))</f>
        <v xml:space="preserve"> </v>
      </c>
      <c r="J973" s="39">
        <f>IF(ISNA(VLOOKUP(D973,'[2]stock-take'!$G:$K,3,FALSE)), 0, VLOOKUP(D973,'[2]stock-take'!$G:$K,3,FALSE))</f>
        <v>0</v>
      </c>
      <c r="K973" s="49" t="str">
        <f>IF(F973="", " ", IF(ISNA(VLOOKUP(D973,'[2]stock-take'!$M:$Q,4,FALSE)), "OUT OF STOCK", VLOOKUP(D973,'[2]stock-take'!$M:$Q,4,FALSE)))</f>
        <v xml:space="preserve"> </v>
      </c>
      <c r="L973" s="47">
        <f>IF(ISNA(VLOOKUP(D973,'[2]stock-take'!$M:$Q,3,FALSE)), 0, VLOOKUP(D973,'[2]stock-take'!$M:$Q,3,FALSE))</f>
        <v>0</v>
      </c>
      <c r="M973" s="48" t="str">
        <f t="shared" ref="M973:M1036" si="46">IF(F973=""," ",IF(H973&gt;=F973,"Y",IF(J973&gt;=F973,"Y",IF(L973&gt;=F973,"Y",IF(SUM(H973,J973,L973)&gt;=F973,"Y","N")))))</f>
        <v xml:space="preserve"> </v>
      </c>
      <c r="N973" s="39" t="str">
        <f t="shared" ref="N973:N1036" si="47">IF(F973=""," ",IF(H973&gt;=F973,"ILOOM",IF(J973&gt;=F973,"NO.6",IF(L973&gt;=F973,"RMD",IF(SUM(H973,J973,L973)&gt;=F973,"MULTI","LACK")))))</f>
        <v xml:space="preserve"> </v>
      </c>
    </row>
    <row r="974" spans="1:14">
      <c r="A974" s="37">
        <f t="shared" si="45"/>
        <v>963</v>
      </c>
      <c r="G974" s="48" t="str">
        <f>IF(F974=""," ",IF(ISNA(VLOOKUP(D974,'[2]stock-take'!$A:$E,4,FALSE)), "OUT OF STOCK", VLOOKUP(D974,'[2]stock-take'!$A:$E,4,FALSE)))</f>
        <v xml:space="preserve"> </v>
      </c>
      <c r="H974" s="48">
        <f>IF(ISNA(VLOOKUP(D974,'[2]stock-take'!$A:$E,3,FALSE)), 0, VLOOKUP(D974,'[2]stock-take'!$A:$E,3,FALSE))</f>
        <v>0</v>
      </c>
      <c r="I974" s="48" t="str">
        <f>IF(F974="", " ",IF(ISNA(VLOOKUP(D974,'[2]stock-take'!$G:$K,4,FALSE)), "OUT OF STOCK", VLOOKUP(D974,'[2]stock-take'!$G:$K,4,FALSE)))</f>
        <v xml:space="preserve"> </v>
      </c>
      <c r="J974" s="39">
        <f>IF(ISNA(VLOOKUP(D974,'[2]stock-take'!$G:$K,3,FALSE)), 0, VLOOKUP(D974,'[2]stock-take'!$G:$K,3,FALSE))</f>
        <v>0</v>
      </c>
      <c r="K974" s="49" t="str">
        <f>IF(F974="", " ", IF(ISNA(VLOOKUP(D974,'[2]stock-take'!$M:$Q,4,FALSE)), "OUT OF STOCK", VLOOKUP(D974,'[2]stock-take'!$M:$Q,4,FALSE)))</f>
        <v xml:space="preserve"> </v>
      </c>
      <c r="L974" s="47">
        <f>IF(ISNA(VLOOKUP(D974,'[2]stock-take'!$M:$Q,3,FALSE)), 0, VLOOKUP(D974,'[2]stock-take'!$M:$Q,3,FALSE))</f>
        <v>0</v>
      </c>
      <c r="M974" s="48" t="str">
        <f t="shared" si="46"/>
        <v xml:space="preserve"> </v>
      </c>
      <c r="N974" s="39" t="str">
        <f t="shared" si="47"/>
        <v xml:space="preserve"> </v>
      </c>
    </row>
    <row r="975" spans="1:14">
      <c r="A975" s="37">
        <f t="shared" si="45"/>
        <v>964</v>
      </c>
      <c r="G975" s="48" t="str">
        <f>IF(F975=""," ",IF(ISNA(VLOOKUP(D975,'[2]stock-take'!$A:$E,4,FALSE)), "OUT OF STOCK", VLOOKUP(D975,'[2]stock-take'!$A:$E,4,FALSE)))</f>
        <v xml:space="preserve"> </v>
      </c>
      <c r="H975" s="48">
        <f>IF(ISNA(VLOOKUP(D975,'[2]stock-take'!$A:$E,3,FALSE)), 0, VLOOKUP(D975,'[2]stock-take'!$A:$E,3,FALSE))</f>
        <v>0</v>
      </c>
      <c r="I975" s="48" t="str">
        <f>IF(F975="", " ",IF(ISNA(VLOOKUP(D975,'[2]stock-take'!$G:$K,4,FALSE)), "OUT OF STOCK", VLOOKUP(D975,'[2]stock-take'!$G:$K,4,FALSE)))</f>
        <v xml:space="preserve"> </v>
      </c>
      <c r="J975" s="39">
        <f>IF(ISNA(VLOOKUP(D975,'[2]stock-take'!$G:$K,3,FALSE)), 0, VLOOKUP(D975,'[2]stock-take'!$G:$K,3,FALSE))</f>
        <v>0</v>
      </c>
      <c r="K975" s="49" t="str">
        <f>IF(F975="", " ", IF(ISNA(VLOOKUP(D975,'[2]stock-take'!$M:$Q,4,FALSE)), "OUT OF STOCK", VLOOKUP(D975,'[2]stock-take'!$M:$Q,4,FALSE)))</f>
        <v xml:space="preserve"> </v>
      </c>
      <c r="L975" s="47">
        <f>IF(ISNA(VLOOKUP(D975,'[2]stock-take'!$M:$Q,3,FALSE)), 0, VLOOKUP(D975,'[2]stock-take'!$M:$Q,3,FALSE))</f>
        <v>0</v>
      </c>
      <c r="M975" s="48" t="str">
        <f t="shared" si="46"/>
        <v xml:space="preserve"> </v>
      </c>
      <c r="N975" s="39" t="str">
        <f t="shared" si="47"/>
        <v xml:space="preserve"> </v>
      </c>
    </row>
    <row r="976" spans="1:14">
      <c r="A976" s="37">
        <f t="shared" si="45"/>
        <v>965</v>
      </c>
      <c r="G976" s="48" t="str">
        <f>IF(F976=""," ",IF(ISNA(VLOOKUP(D976,'[2]stock-take'!$A:$E,4,FALSE)), "OUT OF STOCK", VLOOKUP(D976,'[2]stock-take'!$A:$E,4,FALSE)))</f>
        <v xml:space="preserve"> </v>
      </c>
      <c r="H976" s="48">
        <f>IF(ISNA(VLOOKUP(D976,'[2]stock-take'!$A:$E,3,FALSE)), 0, VLOOKUP(D976,'[2]stock-take'!$A:$E,3,FALSE))</f>
        <v>0</v>
      </c>
      <c r="I976" s="48" t="str">
        <f>IF(F976="", " ",IF(ISNA(VLOOKUP(D976,'[2]stock-take'!$G:$K,4,FALSE)), "OUT OF STOCK", VLOOKUP(D976,'[2]stock-take'!$G:$K,4,FALSE)))</f>
        <v xml:space="preserve"> </v>
      </c>
      <c r="J976" s="39">
        <f>IF(ISNA(VLOOKUP(D976,'[2]stock-take'!$G:$K,3,FALSE)), 0, VLOOKUP(D976,'[2]stock-take'!$G:$K,3,FALSE))</f>
        <v>0</v>
      </c>
      <c r="K976" s="49" t="str">
        <f>IF(F976="", " ", IF(ISNA(VLOOKUP(D976,'[2]stock-take'!$M:$Q,4,FALSE)), "OUT OF STOCK", VLOOKUP(D976,'[2]stock-take'!$M:$Q,4,FALSE)))</f>
        <v xml:space="preserve"> </v>
      </c>
      <c r="L976" s="47">
        <f>IF(ISNA(VLOOKUP(D976,'[2]stock-take'!$M:$Q,3,FALSE)), 0, VLOOKUP(D976,'[2]stock-take'!$M:$Q,3,FALSE))</f>
        <v>0</v>
      </c>
      <c r="M976" s="48" t="str">
        <f t="shared" si="46"/>
        <v xml:space="preserve"> </v>
      </c>
      <c r="N976" s="39" t="str">
        <f t="shared" si="47"/>
        <v xml:space="preserve"> </v>
      </c>
    </row>
    <row r="977" spans="1:14">
      <c r="A977" s="37">
        <f t="shared" si="45"/>
        <v>966</v>
      </c>
      <c r="G977" s="48" t="str">
        <f>IF(F977=""," ",IF(ISNA(VLOOKUP(D977,'[2]stock-take'!$A:$E,4,FALSE)), "OUT OF STOCK", VLOOKUP(D977,'[2]stock-take'!$A:$E,4,FALSE)))</f>
        <v xml:space="preserve"> </v>
      </c>
      <c r="H977" s="48">
        <f>IF(ISNA(VLOOKUP(D977,'[2]stock-take'!$A:$E,3,FALSE)), 0, VLOOKUP(D977,'[2]stock-take'!$A:$E,3,FALSE))</f>
        <v>0</v>
      </c>
      <c r="I977" s="48" t="str">
        <f>IF(F977="", " ",IF(ISNA(VLOOKUP(D977,'[2]stock-take'!$G:$K,4,FALSE)), "OUT OF STOCK", VLOOKUP(D977,'[2]stock-take'!$G:$K,4,FALSE)))</f>
        <v xml:space="preserve"> </v>
      </c>
      <c r="J977" s="39">
        <f>IF(ISNA(VLOOKUP(D977,'[2]stock-take'!$G:$K,3,FALSE)), 0, VLOOKUP(D977,'[2]stock-take'!$G:$K,3,FALSE))</f>
        <v>0</v>
      </c>
      <c r="K977" s="49" t="str">
        <f>IF(F977="", " ", IF(ISNA(VLOOKUP(D977,'[2]stock-take'!$M:$Q,4,FALSE)), "OUT OF STOCK", VLOOKUP(D977,'[2]stock-take'!$M:$Q,4,FALSE)))</f>
        <v xml:space="preserve"> </v>
      </c>
      <c r="L977" s="47">
        <f>IF(ISNA(VLOOKUP(D977,'[2]stock-take'!$M:$Q,3,FALSE)), 0, VLOOKUP(D977,'[2]stock-take'!$M:$Q,3,FALSE))</f>
        <v>0</v>
      </c>
      <c r="M977" s="48" t="str">
        <f t="shared" si="46"/>
        <v xml:space="preserve"> </v>
      </c>
      <c r="N977" s="39" t="str">
        <f t="shared" si="47"/>
        <v xml:space="preserve"> </v>
      </c>
    </row>
    <row r="978" spans="1:14">
      <c r="A978" s="37">
        <f t="shared" si="45"/>
        <v>967</v>
      </c>
      <c r="G978" s="48" t="str">
        <f>IF(F978=""," ",IF(ISNA(VLOOKUP(D978,'[2]stock-take'!$A:$E,4,FALSE)), "OUT OF STOCK", VLOOKUP(D978,'[2]stock-take'!$A:$E,4,FALSE)))</f>
        <v xml:space="preserve"> </v>
      </c>
      <c r="H978" s="48">
        <f>IF(ISNA(VLOOKUP(D978,'[2]stock-take'!$A:$E,3,FALSE)), 0, VLOOKUP(D978,'[2]stock-take'!$A:$E,3,FALSE))</f>
        <v>0</v>
      </c>
      <c r="I978" s="48" t="str">
        <f>IF(F978="", " ",IF(ISNA(VLOOKUP(D978,'[2]stock-take'!$G:$K,4,FALSE)), "OUT OF STOCK", VLOOKUP(D978,'[2]stock-take'!$G:$K,4,FALSE)))</f>
        <v xml:space="preserve"> </v>
      </c>
      <c r="J978" s="39">
        <f>IF(ISNA(VLOOKUP(D978,'[2]stock-take'!$G:$K,3,FALSE)), 0, VLOOKUP(D978,'[2]stock-take'!$G:$K,3,FALSE))</f>
        <v>0</v>
      </c>
      <c r="K978" s="49" t="str">
        <f>IF(F978="", " ", IF(ISNA(VLOOKUP(D978,'[2]stock-take'!$M:$Q,4,FALSE)), "OUT OF STOCK", VLOOKUP(D978,'[2]stock-take'!$M:$Q,4,FALSE)))</f>
        <v xml:space="preserve"> </v>
      </c>
      <c r="L978" s="47">
        <f>IF(ISNA(VLOOKUP(D978,'[2]stock-take'!$M:$Q,3,FALSE)), 0, VLOOKUP(D978,'[2]stock-take'!$M:$Q,3,FALSE))</f>
        <v>0</v>
      </c>
      <c r="M978" s="48" t="str">
        <f t="shared" si="46"/>
        <v xml:space="preserve"> </v>
      </c>
      <c r="N978" s="39" t="str">
        <f t="shared" si="47"/>
        <v xml:space="preserve"> </v>
      </c>
    </row>
    <row r="979" spans="1:14">
      <c r="A979" s="37">
        <f t="shared" si="45"/>
        <v>968</v>
      </c>
      <c r="G979" s="48" t="str">
        <f>IF(F979=""," ",IF(ISNA(VLOOKUP(D979,'[2]stock-take'!$A:$E,4,FALSE)), "OUT OF STOCK", VLOOKUP(D979,'[2]stock-take'!$A:$E,4,FALSE)))</f>
        <v xml:space="preserve"> </v>
      </c>
      <c r="H979" s="48">
        <f>IF(ISNA(VLOOKUP(D979,'[2]stock-take'!$A:$E,3,FALSE)), 0, VLOOKUP(D979,'[2]stock-take'!$A:$E,3,FALSE))</f>
        <v>0</v>
      </c>
      <c r="I979" s="48" t="str">
        <f>IF(F979="", " ",IF(ISNA(VLOOKUP(D979,'[2]stock-take'!$G:$K,4,FALSE)), "OUT OF STOCK", VLOOKUP(D979,'[2]stock-take'!$G:$K,4,FALSE)))</f>
        <v xml:space="preserve"> </v>
      </c>
      <c r="J979" s="39">
        <f>IF(ISNA(VLOOKUP(D979,'[2]stock-take'!$G:$K,3,FALSE)), 0, VLOOKUP(D979,'[2]stock-take'!$G:$K,3,FALSE))</f>
        <v>0</v>
      </c>
      <c r="K979" s="49" t="str">
        <f>IF(F979="", " ", IF(ISNA(VLOOKUP(D979,'[2]stock-take'!$M:$Q,4,FALSE)), "OUT OF STOCK", VLOOKUP(D979,'[2]stock-take'!$M:$Q,4,FALSE)))</f>
        <v xml:space="preserve"> </v>
      </c>
      <c r="L979" s="47">
        <f>IF(ISNA(VLOOKUP(D979,'[2]stock-take'!$M:$Q,3,FALSE)), 0, VLOOKUP(D979,'[2]stock-take'!$M:$Q,3,FALSE))</f>
        <v>0</v>
      </c>
      <c r="M979" s="48" t="str">
        <f t="shared" si="46"/>
        <v xml:space="preserve"> </v>
      </c>
      <c r="N979" s="39" t="str">
        <f t="shared" si="47"/>
        <v xml:space="preserve"> </v>
      </c>
    </row>
    <row r="980" spans="1:14">
      <c r="A980" s="37">
        <f t="shared" si="45"/>
        <v>969</v>
      </c>
      <c r="G980" s="48" t="str">
        <f>IF(F980=""," ",IF(ISNA(VLOOKUP(D980,'[2]stock-take'!$A:$E,4,FALSE)), "OUT OF STOCK", VLOOKUP(D980,'[2]stock-take'!$A:$E,4,FALSE)))</f>
        <v xml:space="preserve"> </v>
      </c>
      <c r="H980" s="48">
        <f>IF(ISNA(VLOOKUP(D980,'[2]stock-take'!$A:$E,3,FALSE)), 0, VLOOKUP(D980,'[2]stock-take'!$A:$E,3,FALSE))</f>
        <v>0</v>
      </c>
      <c r="I980" s="48" t="str">
        <f>IF(F980="", " ",IF(ISNA(VLOOKUP(D980,'[2]stock-take'!$G:$K,4,FALSE)), "OUT OF STOCK", VLOOKUP(D980,'[2]stock-take'!$G:$K,4,FALSE)))</f>
        <v xml:space="preserve"> </v>
      </c>
      <c r="J980" s="39">
        <f>IF(ISNA(VLOOKUP(D980,'[2]stock-take'!$G:$K,3,FALSE)), 0, VLOOKUP(D980,'[2]stock-take'!$G:$K,3,FALSE))</f>
        <v>0</v>
      </c>
      <c r="K980" s="49" t="str">
        <f>IF(F980="", " ", IF(ISNA(VLOOKUP(D980,'[2]stock-take'!$M:$Q,4,FALSE)), "OUT OF STOCK", VLOOKUP(D980,'[2]stock-take'!$M:$Q,4,FALSE)))</f>
        <v xml:space="preserve"> </v>
      </c>
      <c r="L980" s="47">
        <f>IF(ISNA(VLOOKUP(D980,'[2]stock-take'!$M:$Q,3,FALSE)), 0, VLOOKUP(D980,'[2]stock-take'!$M:$Q,3,FALSE))</f>
        <v>0</v>
      </c>
      <c r="M980" s="48" t="str">
        <f t="shared" si="46"/>
        <v xml:space="preserve"> </v>
      </c>
      <c r="N980" s="39" t="str">
        <f t="shared" si="47"/>
        <v xml:space="preserve"> </v>
      </c>
    </row>
    <row r="981" spans="1:14">
      <c r="A981" s="37">
        <f t="shared" si="45"/>
        <v>970</v>
      </c>
      <c r="G981" s="48" t="str">
        <f>IF(F981=""," ",IF(ISNA(VLOOKUP(D981,'[2]stock-take'!$A:$E,4,FALSE)), "OUT OF STOCK", VLOOKUP(D981,'[2]stock-take'!$A:$E,4,FALSE)))</f>
        <v xml:space="preserve"> </v>
      </c>
      <c r="H981" s="48">
        <f>IF(ISNA(VLOOKUP(D981,'[2]stock-take'!$A:$E,3,FALSE)), 0, VLOOKUP(D981,'[2]stock-take'!$A:$E,3,FALSE))</f>
        <v>0</v>
      </c>
      <c r="I981" s="48" t="str">
        <f>IF(F981="", " ",IF(ISNA(VLOOKUP(D981,'[2]stock-take'!$G:$K,4,FALSE)), "OUT OF STOCK", VLOOKUP(D981,'[2]stock-take'!$G:$K,4,FALSE)))</f>
        <v xml:space="preserve"> </v>
      </c>
      <c r="J981" s="39">
        <f>IF(ISNA(VLOOKUP(D981,'[2]stock-take'!$G:$K,3,FALSE)), 0, VLOOKUP(D981,'[2]stock-take'!$G:$K,3,FALSE))</f>
        <v>0</v>
      </c>
      <c r="K981" s="49" t="str">
        <f>IF(F981="", " ", IF(ISNA(VLOOKUP(D981,'[2]stock-take'!$M:$Q,4,FALSE)), "OUT OF STOCK", VLOOKUP(D981,'[2]stock-take'!$M:$Q,4,FALSE)))</f>
        <v xml:space="preserve"> </v>
      </c>
      <c r="L981" s="47">
        <f>IF(ISNA(VLOOKUP(D981,'[2]stock-take'!$M:$Q,3,FALSE)), 0, VLOOKUP(D981,'[2]stock-take'!$M:$Q,3,FALSE))</f>
        <v>0</v>
      </c>
      <c r="M981" s="48" t="str">
        <f t="shared" si="46"/>
        <v xml:space="preserve"> </v>
      </c>
      <c r="N981" s="39" t="str">
        <f t="shared" si="47"/>
        <v xml:space="preserve"> </v>
      </c>
    </row>
    <row r="982" spans="1:14">
      <c r="A982" s="37">
        <f t="shared" si="45"/>
        <v>971</v>
      </c>
      <c r="G982" s="48" t="str">
        <f>IF(F982=""," ",IF(ISNA(VLOOKUP(D982,'[2]stock-take'!$A:$E,4,FALSE)), "OUT OF STOCK", VLOOKUP(D982,'[2]stock-take'!$A:$E,4,FALSE)))</f>
        <v xml:space="preserve"> </v>
      </c>
      <c r="H982" s="48">
        <f>IF(ISNA(VLOOKUP(D982,'[2]stock-take'!$A:$E,3,FALSE)), 0, VLOOKUP(D982,'[2]stock-take'!$A:$E,3,FALSE))</f>
        <v>0</v>
      </c>
      <c r="I982" s="48" t="str">
        <f>IF(F982="", " ",IF(ISNA(VLOOKUP(D982,'[2]stock-take'!$G:$K,4,FALSE)), "OUT OF STOCK", VLOOKUP(D982,'[2]stock-take'!$G:$K,4,FALSE)))</f>
        <v xml:space="preserve"> </v>
      </c>
      <c r="J982" s="39">
        <f>IF(ISNA(VLOOKUP(D982,'[2]stock-take'!$G:$K,3,FALSE)), 0, VLOOKUP(D982,'[2]stock-take'!$G:$K,3,FALSE))</f>
        <v>0</v>
      </c>
      <c r="K982" s="49" t="str">
        <f>IF(F982="", " ", IF(ISNA(VLOOKUP(D982,'[2]stock-take'!$M:$Q,4,FALSE)), "OUT OF STOCK", VLOOKUP(D982,'[2]stock-take'!$M:$Q,4,FALSE)))</f>
        <v xml:space="preserve"> </v>
      </c>
      <c r="L982" s="47">
        <f>IF(ISNA(VLOOKUP(D982,'[2]stock-take'!$M:$Q,3,FALSE)), 0, VLOOKUP(D982,'[2]stock-take'!$M:$Q,3,FALSE))</f>
        <v>0</v>
      </c>
      <c r="M982" s="48" t="str">
        <f t="shared" si="46"/>
        <v xml:space="preserve"> </v>
      </c>
      <c r="N982" s="39" t="str">
        <f t="shared" si="47"/>
        <v xml:space="preserve"> </v>
      </c>
    </row>
    <row r="983" spans="1:14">
      <c r="A983" s="37">
        <f t="shared" si="45"/>
        <v>972</v>
      </c>
      <c r="G983" s="48" t="str">
        <f>IF(F983=""," ",IF(ISNA(VLOOKUP(D983,'[2]stock-take'!$A:$E,4,FALSE)), "OUT OF STOCK", VLOOKUP(D983,'[2]stock-take'!$A:$E,4,FALSE)))</f>
        <v xml:space="preserve"> </v>
      </c>
      <c r="H983" s="48">
        <f>IF(ISNA(VLOOKUP(D983,'[2]stock-take'!$A:$E,3,FALSE)), 0, VLOOKUP(D983,'[2]stock-take'!$A:$E,3,FALSE))</f>
        <v>0</v>
      </c>
      <c r="I983" s="48" t="str">
        <f>IF(F983="", " ",IF(ISNA(VLOOKUP(D983,'[2]stock-take'!$G:$K,4,FALSE)), "OUT OF STOCK", VLOOKUP(D983,'[2]stock-take'!$G:$K,4,FALSE)))</f>
        <v xml:space="preserve"> </v>
      </c>
      <c r="J983" s="39">
        <f>IF(ISNA(VLOOKUP(D983,'[2]stock-take'!$G:$K,3,FALSE)), 0, VLOOKUP(D983,'[2]stock-take'!$G:$K,3,FALSE))</f>
        <v>0</v>
      </c>
      <c r="K983" s="49" t="str">
        <f>IF(F983="", " ", IF(ISNA(VLOOKUP(D983,'[2]stock-take'!$M:$Q,4,FALSE)), "OUT OF STOCK", VLOOKUP(D983,'[2]stock-take'!$M:$Q,4,FALSE)))</f>
        <v xml:space="preserve"> </v>
      </c>
      <c r="L983" s="47">
        <f>IF(ISNA(VLOOKUP(D983,'[2]stock-take'!$M:$Q,3,FALSE)), 0, VLOOKUP(D983,'[2]stock-take'!$M:$Q,3,FALSE))</f>
        <v>0</v>
      </c>
      <c r="M983" s="48" t="str">
        <f t="shared" si="46"/>
        <v xml:space="preserve"> </v>
      </c>
      <c r="N983" s="39" t="str">
        <f t="shared" si="47"/>
        <v xml:space="preserve"> </v>
      </c>
    </row>
    <row r="984" spans="1:14">
      <c r="A984" s="37">
        <f t="shared" si="45"/>
        <v>973</v>
      </c>
      <c r="G984" s="48" t="str">
        <f>IF(F984=""," ",IF(ISNA(VLOOKUP(D984,'[2]stock-take'!$A:$E,4,FALSE)), "OUT OF STOCK", VLOOKUP(D984,'[2]stock-take'!$A:$E,4,FALSE)))</f>
        <v xml:space="preserve"> </v>
      </c>
      <c r="H984" s="48">
        <f>IF(ISNA(VLOOKUP(D984,'[2]stock-take'!$A:$E,3,FALSE)), 0, VLOOKUP(D984,'[2]stock-take'!$A:$E,3,FALSE))</f>
        <v>0</v>
      </c>
      <c r="I984" s="48" t="str">
        <f>IF(F984="", " ",IF(ISNA(VLOOKUP(D984,'[2]stock-take'!$G:$K,4,FALSE)), "OUT OF STOCK", VLOOKUP(D984,'[2]stock-take'!$G:$K,4,FALSE)))</f>
        <v xml:space="preserve"> </v>
      </c>
      <c r="J984" s="39">
        <f>IF(ISNA(VLOOKUP(D984,'[2]stock-take'!$G:$K,3,FALSE)), 0, VLOOKUP(D984,'[2]stock-take'!$G:$K,3,FALSE))</f>
        <v>0</v>
      </c>
      <c r="K984" s="49" t="str">
        <f>IF(F984="", " ", IF(ISNA(VLOOKUP(D984,'[2]stock-take'!$M:$Q,4,FALSE)), "OUT OF STOCK", VLOOKUP(D984,'[2]stock-take'!$M:$Q,4,FALSE)))</f>
        <v xml:space="preserve"> </v>
      </c>
      <c r="L984" s="47">
        <f>IF(ISNA(VLOOKUP(D984,'[2]stock-take'!$M:$Q,3,FALSE)), 0, VLOOKUP(D984,'[2]stock-take'!$M:$Q,3,FALSE))</f>
        <v>0</v>
      </c>
      <c r="M984" s="48" t="str">
        <f t="shared" si="46"/>
        <v xml:space="preserve"> </v>
      </c>
      <c r="N984" s="39" t="str">
        <f t="shared" si="47"/>
        <v xml:space="preserve"> </v>
      </c>
    </row>
    <row r="985" spans="1:14">
      <c r="A985" s="37">
        <f t="shared" si="45"/>
        <v>974</v>
      </c>
      <c r="G985" s="48" t="str">
        <f>IF(F985=""," ",IF(ISNA(VLOOKUP(D985,'[2]stock-take'!$A:$E,4,FALSE)), "OUT OF STOCK", VLOOKUP(D985,'[2]stock-take'!$A:$E,4,FALSE)))</f>
        <v xml:space="preserve"> </v>
      </c>
      <c r="H985" s="48">
        <f>IF(ISNA(VLOOKUP(D985,'[2]stock-take'!$A:$E,3,FALSE)), 0, VLOOKUP(D985,'[2]stock-take'!$A:$E,3,FALSE))</f>
        <v>0</v>
      </c>
      <c r="I985" s="48" t="str">
        <f>IF(F985="", " ",IF(ISNA(VLOOKUP(D985,'[2]stock-take'!$G:$K,4,FALSE)), "OUT OF STOCK", VLOOKUP(D985,'[2]stock-take'!$G:$K,4,FALSE)))</f>
        <v xml:space="preserve"> </v>
      </c>
      <c r="J985" s="39">
        <f>IF(ISNA(VLOOKUP(D985,'[2]stock-take'!$G:$K,3,FALSE)), 0, VLOOKUP(D985,'[2]stock-take'!$G:$K,3,FALSE))</f>
        <v>0</v>
      </c>
      <c r="K985" s="49" t="str">
        <f>IF(F985="", " ", IF(ISNA(VLOOKUP(D985,'[2]stock-take'!$M:$Q,4,FALSE)), "OUT OF STOCK", VLOOKUP(D985,'[2]stock-take'!$M:$Q,4,FALSE)))</f>
        <v xml:space="preserve"> </v>
      </c>
      <c r="L985" s="47">
        <f>IF(ISNA(VLOOKUP(D985,'[2]stock-take'!$M:$Q,3,FALSE)), 0, VLOOKUP(D985,'[2]stock-take'!$M:$Q,3,FALSE))</f>
        <v>0</v>
      </c>
      <c r="M985" s="48" t="str">
        <f t="shared" si="46"/>
        <v xml:space="preserve"> </v>
      </c>
      <c r="N985" s="39" t="str">
        <f t="shared" si="47"/>
        <v xml:space="preserve"> </v>
      </c>
    </row>
    <row r="986" spans="1:14">
      <c r="A986" s="37">
        <f t="shared" si="45"/>
        <v>975</v>
      </c>
      <c r="G986" s="48" t="str">
        <f>IF(F986=""," ",IF(ISNA(VLOOKUP(D986,'[2]stock-take'!$A:$E,4,FALSE)), "OUT OF STOCK", VLOOKUP(D986,'[2]stock-take'!$A:$E,4,FALSE)))</f>
        <v xml:space="preserve"> </v>
      </c>
      <c r="H986" s="48">
        <f>IF(ISNA(VLOOKUP(D986,'[2]stock-take'!$A:$E,3,FALSE)), 0, VLOOKUP(D986,'[2]stock-take'!$A:$E,3,FALSE))</f>
        <v>0</v>
      </c>
      <c r="I986" s="48" t="str">
        <f>IF(F986="", " ",IF(ISNA(VLOOKUP(D986,'[2]stock-take'!$G:$K,4,FALSE)), "OUT OF STOCK", VLOOKUP(D986,'[2]stock-take'!$G:$K,4,FALSE)))</f>
        <v xml:space="preserve"> </v>
      </c>
      <c r="J986" s="39">
        <f>IF(ISNA(VLOOKUP(D986,'[2]stock-take'!$G:$K,3,FALSE)), 0, VLOOKUP(D986,'[2]stock-take'!$G:$K,3,FALSE))</f>
        <v>0</v>
      </c>
      <c r="K986" s="49" t="str">
        <f>IF(F986="", " ", IF(ISNA(VLOOKUP(D986,'[2]stock-take'!$M:$Q,4,FALSE)), "OUT OF STOCK", VLOOKUP(D986,'[2]stock-take'!$M:$Q,4,FALSE)))</f>
        <v xml:space="preserve"> </v>
      </c>
      <c r="L986" s="47">
        <f>IF(ISNA(VLOOKUP(D986,'[2]stock-take'!$M:$Q,3,FALSE)), 0, VLOOKUP(D986,'[2]stock-take'!$M:$Q,3,FALSE))</f>
        <v>0</v>
      </c>
      <c r="M986" s="48" t="str">
        <f t="shared" si="46"/>
        <v xml:space="preserve"> </v>
      </c>
      <c r="N986" s="39" t="str">
        <f t="shared" si="47"/>
        <v xml:space="preserve"> </v>
      </c>
    </row>
    <row r="987" spans="1:14">
      <c r="A987" s="37">
        <f t="shared" si="45"/>
        <v>976</v>
      </c>
      <c r="G987" s="48" t="str">
        <f>IF(F987=""," ",IF(ISNA(VLOOKUP(D987,'[2]stock-take'!$A:$E,4,FALSE)), "OUT OF STOCK", VLOOKUP(D987,'[2]stock-take'!$A:$E,4,FALSE)))</f>
        <v xml:space="preserve"> </v>
      </c>
      <c r="H987" s="48">
        <f>IF(ISNA(VLOOKUP(D987,'[2]stock-take'!$A:$E,3,FALSE)), 0, VLOOKUP(D987,'[2]stock-take'!$A:$E,3,FALSE))</f>
        <v>0</v>
      </c>
      <c r="I987" s="48" t="str">
        <f>IF(F987="", " ",IF(ISNA(VLOOKUP(D987,'[2]stock-take'!$G:$K,4,FALSE)), "OUT OF STOCK", VLOOKUP(D987,'[2]stock-take'!$G:$K,4,FALSE)))</f>
        <v xml:space="preserve"> </v>
      </c>
      <c r="J987" s="39">
        <f>IF(ISNA(VLOOKUP(D987,'[2]stock-take'!$G:$K,3,FALSE)), 0, VLOOKUP(D987,'[2]stock-take'!$G:$K,3,FALSE))</f>
        <v>0</v>
      </c>
      <c r="K987" s="49" t="str">
        <f>IF(F987="", " ", IF(ISNA(VLOOKUP(D987,'[2]stock-take'!$M:$Q,4,FALSE)), "OUT OF STOCK", VLOOKUP(D987,'[2]stock-take'!$M:$Q,4,FALSE)))</f>
        <v xml:space="preserve"> </v>
      </c>
      <c r="L987" s="47">
        <f>IF(ISNA(VLOOKUP(D987,'[2]stock-take'!$M:$Q,3,FALSE)), 0, VLOOKUP(D987,'[2]stock-take'!$M:$Q,3,FALSE))</f>
        <v>0</v>
      </c>
      <c r="M987" s="48" t="str">
        <f t="shared" si="46"/>
        <v xml:space="preserve"> </v>
      </c>
      <c r="N987" s="39" t="str">
        <f t="shared" si="47"/>
        <v xml:space="preserve"> </v>
      </c>
    </row>
    <row r="988" spans="1:14">
      <c r="A988" s="37">
        <f t="shared" si="45"/>
        <v>977</v>
      </c>
      <c r="G988" s="48" t="str">
        <f>IF(F988=""," ",IF(ISNA(VLOOKUP(D988,'[2]stock-take'!$A:$E,4,FALSE)), "OUT OF STOCK", VLOOKUP(D988,'[2]stock-take'!$A:$E,4,FALSE)))</f>
        <v xml:space="preserve"> </v>
      </c>
      <c r="H988" s="48">
        <f>IF(ISNA(VLOOKUP(D988,'[2]stock-take'!$A:$E,3,FALSE)), 0, VLOOKUP(D988,'[2]stock-take'!$A:$E,3,FALSE))</f>
        <v>0</v>
      </c>
      <c r="I988" s="48" t="str">
        <f>IF(F988="", " ",IF(ISNA(VLOOKUP(D988,'[2]stock-take'!$G:$K,4,FALSE)), "OUT OF STOCK", VLOOKUP(D988,'[2]stock-take'!$G:$K,4,FALSE)))</f>
        <v xml:space="preserve"> </v>
      </c>
      <c r="J988" s="39">
        <f>IF(ISNA(VLOOKUP(D988,'[2]stock-take'!$G:$K,3,FALSE)), 0, VLOOKUP(D988,'[2]stock-take'!$G:$K,3,FALSE))</f>
        <v>0</v>
      </c>
      <c r="K988" s="49" t="str">
        <f>IF(F988="", " ", IF(ISNA(VLOOKUP(D988,'[2]stock-take'!$M:$Q,4,FALSE)), "OUT OF STOCK", VLOOKUP(D988,'[2]stock-take'!$M:$Q,4,FALSE)))</f>
        <v xml:space="preserve"> </v>
      </c>
      <c r="L988" s="47">
        <f>IF(ISNA(VLOOKUP(D988,'[2]stock-take'!$M:$Q,3,FALSE)), 0, VLOOKUP(D988,'[2]stock-take'!$M:$Q,3,FALSE))</f>
        <v>0</v>
      </c>
      <c r="M988" s="48" t="str">
        <f t="shared" si="46"/>
        <v xml:space="preserve"> </v>
      </c>
      <c r="N988" s="39" t="str">
        <f t="shared" si="47"/>
        <v xml:space="preserve"> </v>
      </c>
    </row>
    <row r="989" spans="1:14">
      <c r="A989" s="37">
        <f t="shared" si="45"/>
        <v>978</v>
      </c>
      <c r="G989" s="48" t="str">
        <f>IF(F989=""," ",IF(ISNA(VLOOKUP(D989,'[2]stock-take'!$A:$E,4,FALSE)), "OUT OF STOCK", VLOOKUP(D989,'[2]stock-take'!$A:$E,4,FALSE)))</f>
        <v xml:space="preserve"> </v>
      </c>
      <c r="H989" s="48">
        <f>IF(ISNA(VLOOKUP(D989,'[2]stock-take'!$A:$E,3,FALSE)), 0, VLOOKUP(D989,'[2]stock-take'!$A:$E,3,FALSE))</f>
        <v>0</v>
      </c>
      <c r="I989" s="48" t="str">
        <f>IF(F989="", " ",IF(ISNA(VLOOKUP(D989,'[2]stock-take'!$G:$K,4,FALSE)), "OUT OF STOCK", VLOOKUP(D989,'[2]stock-take'!$G:$K,4,FALSE)))</f>
        <v xml:space="preserve"> </v>
      </c>
      <c r="J989" s="39">
        <f>IF(ISNA(VLOOKUP(D989,'[2]stock-take'!$G:$K,3,FALSE)), 0, VLOOKUP(D989,'[2]stock-take'!$G:$K,3,FALSE))</f>
        <v>0</v>
      </c>
      <c r="K989" s="49" t="str">
        <f>IF(F989="", " ", IF(ISNA(VLOOKUP(D989,'[2]stock-take'!$M:$Q,4,FALSE)), "OUT OF STOCK", VLOOKUP(D989,'[2]stock-take'!$M:$Q,4,FALSE)))</f>
        <v xml:space="preserve"> </v>
      </c>
      <c r="L989" s="47">
        <f>IF(ISNA(VLOOKUP(D989,'[2]stock-take'!$M:$Q,3,FALSE)), 0, VLOOKUP(D989,'[2]stock-take'!$M:$Q,3,FALSE))</f>
        <v>0</v>
      </c>
      <c r="M989" s="48" t="str">
        <f t="shared" si="46"/>
        <v xml:space="preserve"> </v>
      </c>
      <c r="N989" s="39" t="str">
        <f t="shared" si="47"/>
        <v xml:space="preserve"> </v>
      </c>
    </row>
    <row r="990" spans="1:14">
      <c r="A990" s="37">
        <f t="shared" si="45"/>
        <v>979</v>
      </c>
      <c r="G990" s="48" t="str">
        <f>IF(F990=""," ",IF(ISNA(VLOOKUP(D990,'[2]stock-take'!$A:$E,4,FALSE)), "OUT OF STOCK", VLOOKUP(D990,'[2]stock-take'!$A:$E,4,FALSE)))</f>
        <v xml:space="preserve"> </v>
      </c>
      <c r="H990" s="48">
        <f>IF(ISNA(VLOOKUP(D990,'[2]stock-take'!$A:$E,3,FALSE)), 0, VLOOKUP(D990,'[2]stock-take'!$A:$E,3,FALSE))</f>
        <v>0</v>
      </c>
      <c r="I990" s="48" t="str">
        <f>IF(F990="", " ",IF(ISNA(VLOOKUP(D990,'[2]stock-take'!$G:$K,4,FALSE)), "OUT OF STOCK", VLOOKUP(D990,'[2]stock-take'!$G:$K,4,FALSE)))</f>
        <v xml:space="preserve"> </v>
      </c>
      <c r="J990" s="39">
        <f>IF(ISNA(VLOOKUP(D990,'[2]stock-take'!$G:$K,3,FALSE)), 0, VLOOKUP(D990,'[2]stock-take'!$G:$K,3,FALSE))</f>
        <v>0</v>
      </c>
      <c r="K990" s="49" t="str">
        <f>IF(F990="", " ", IF(ISNA(VLOOKUP(D990,'[2]stock-take'!$M:$Q,4,FALSE)), "OUT OF STOCK", VLOOKUP(D990,'[2]stock-take'!$M:$Q,4,FALSE)))</f>
        <v xml:space="preserve"> </v>
      </c>
      <c r="L990" s="47">
        <f>IF(ISNA(VLOOKUP(D990,'[2]stock-take'!$M:$Q,3,FALSE)), 0, VLOOKUP(D990,'[2]stock-take'!$M:$Q,3,FALSE))</f>
        <v>0</v>
      </c>
      <c r="M990" s="48" t="str">
        <f t="shared" si="46"/>
        <v xml:space="preserve"> </v>
      </c>
      <c r="N990" s="39" t="str">
        <f t="shared" si="47"/>
        <v xml:space="preserve"> </v>
      </c>
    </row>
    <row r="991" spans="1:14">
      <c r="A991" s="37">
        <f t="shared" si="45"/>
        <v>980</v>
      </c>
      <c r="G991" s="48" t="str">
        <f>IF(F991=""," ",IF(ISNA(VLOOKUP(D991,'[2]stock-take'!$A:$E,4,FALSE)), "OUT OF STOCK", VLOOKUP(D991,'[2]stock-take'!$A:$E,4,FALSE)))</f>
        <v xml:space="preserve"> </v>
      </c>
      <c r="H991" s="48">
        <f>IF(ISNA(VLOOKUP(D991,'[2]stock-take'!$A:$E,3,FALSE)), 0, VLOOKUP(D991,'[2]stock-take'!$A:$E,3,FALSE))</f>
        <v>0</v>
      </c>
      <c r="I991" s="48" t="str">
        <f>IF(F991="", " ",IF(ISNA(VLOOKUP(D991,'[2]stock-take'!$G:$K,4,FALSE)), "OUT OF STOCK", VLOOKUP(D991,'[2]stock-take'!$G:$K,4,FALSE)))</f>
        <v xml:space="preserve"> </v>
      </c>
      <c r="J991" s="39">
        <f>IF(ISNA(VLOOKUP(D991,'[2]stock-take'!$G:$K,3,FALSE)), 0, VLOOKUP(D991,'[2]stock-take'!$G:$K,3,FALSE))</f>
        <v>0</v>
      </c>
      <c r="K991" s="49" t="str">
        <f>IF(F991="", " ", IF(ISNA(VLOOKUP(D991,'[2]stock-take'!$M:$Q,4,FALSE)), "OUT OF STOCK", VLOOKUP(D991,'[2]stock-take'!$M:$Q,4,FALSE)))</f>
        <v xml:space="preserve"> </v>
      </c>
      <c r="L991" s="47">
        <f>IF(ISNA(VLOOKUP(D991,'[2]stock-take'!$M:$Q,3,FALSE)), 0, VLOOKUP(D991,'[2]stock-take'!$M:$Q,3,FALSE))</f>
        <v>0</v>
      </c>
      <c r="M991" s="48" t="str">
        <f t="shared" si="46"/>
        <v xml:space="preserve"> </v>
      </c>
      <c r="N991" s="39" t="str">
        <f t="shared" si="47"/>
        <v xml:space="preserve"> </v>
      </c>
    </row>
    <row r="992" spans="1:14">
      <c r="A992" s="37">
        <f t="shared" si="45"/>
        <v>981</v>
      </c>
      <c r="G992" s="48" t="str">
        <f>IF(F992=""," ",IF(ISNA(VLOOKUP(D992,'[2]stock-take'!$A:$E,4,FALSE)), "OUT OF STOCK", VLOOKUP(D992,'[2]stock-take'!$A:$E,4,FALSE)))</f>
        <v xml:space="preserve"> </v>
      </c>
      <c r="H992" s="48">
        <f>IF(ISNA(VLOOKUP(D992,'[2]stock-take'!$A:$E,3,FALSE)), 0, VLOOKUP(D992,'[2]stock-take'!$A:$E,3,FALSE))</f>
        <v>0</v>
      </c>
      <c r="I992" s="48" t="str">
        <f>IF(F992="", " ",IF(ISNA(VLOOKUP(D992,'[2]stock-take'!$G:$K,4,FALSE)), "OUT OF STOCK", VLOOKUP(D992,'[2]stock-take'!$G:$K,4,FALSE)))</f>
        <v xml:space="preserve"> </v>
      </c>
      <c r="J992" s="39">
        <f>IF(ISNA(VLOOKUP(D992,'[2]stock-take'!$G:$K,3,FALSE)), 0, VLOOKUP(D992,'[2]stock-take'!$G:$K,3,FALSE))</f>
        <v>0</v>
      </c>
      <c r="K992" s="49" t="str">
        <f>IF(F992="", " ", IF(ISNA(VLOOKUP(D992,'[2]stock-take'!$M:$Q,4,FALSE)), "OUT OF STOCK", VLOOKUP(D992,'[2]stock-take'!$M:$Q,4,FALSE)))</f>
        <v xml:space="preserve"> </v>
      </c>
      <c r="L992" s="47">
        <f>IF(ISNA(VLOOKUP(D992,'[2]stock-take'!$M:$Q,3,FALSE)), 0, VLOOKUP(D992,'[2]stock-take'!$M:$Q,3,FALSE))</f>
        <v>0</v>
      </c>
      <c r="M992" s="48" t="str">
        <f t="shared" si="46"/>
        <v xml:space="preserve"> </v>
      </c>
      <c r="N992" s="39" t="str">
        <f t="shared" si="47"/>
        <v xml:space="preserve"> </v>
      </c>
    </row>
    <row r="993" spans="1:14">
      <c r="A993" s="37">
        <f t="shared" si="45"/>
        <v>982</v>
      </c>
      <c r="G993" s="48" t="str">
        <f>IF(F993=""," ",IF(ISNA(VLOOKUP(D993,'[2]stock-take'!$A:$E,4,FALSE)), "OUT OF STOCK", VLOOKUP(D993,'[2]stock-take'!$A:$E,4,FALSE)))</f>
        <v xml:space="preserve"> </v>
      </c>
      <c r="H993" s="48">
        <f>IF(ISNA(VLOOKUP(D993,'[2]stock-take'!$A:$E,3,FALSE)), 0, VLOOKUP(D993,'[2]stock-take'!$A:$E,3,FALSE))</f>
        <v>0</v>
      </c>
      <c r="I993" s="48" t="str">
        <f>IF(F993="", " ",IF(ISNA(VLOOKUP(D993,'[2]stock-take'!$G:$K,4,FALSE)), "OUT OF STOCK", VLOOKUP(D993,'[2]stock-take'!$G:$K,4,FALSE)))</f>
        <v xml:space="preserve"> </v>
      </c>
      <c r="J993" s="39">
        <f>IF(ISNA(VLOOKUP(D993,'[2]stock-take'!$G:$K,3,FALSE)), 0, VLOOKUP(D993,'[2]stock-take'!$G:$K,3,FALSE))</f>
        <v>0</v>
      </c>
      <c r="K993" s="49" t="str">
        <f>IF(F993="", " ", IF(ISNA(VLOOKUP(D993,'[2]stock-take'!$M:$Q,4,FALSE)), "OUT OF STOCK", VLOOKUP(D993,'[2]stock-take'!$M:$Q,4,FALSE)))</f>
        <v xml:space="preserve"> </v>
      </c>
      <c r="L993" s="47">
        <f>IF(ISNA(VLOOKUP(D993,'[2]stock-take'!$M:$Q,3,FALSE)), 0, VLOOKUP(D993,'[2]stock-take'!$M:$Q,3,FALSE))</f>
        <v>0</v>
      </c>
      <c r="M993" s="48" t="str">
        <f t="shared" si="46"/>
        <v xml:space="preserve"> </v>
      </c>
      <c r="N993" s="39" t="str">
        <f t="shared" si="47"/>
        <v xml:space="preserve"> </v>
      </c>
    </row>
    <row r="994" spans="1:14">
      <c r="A994" s="37">
        <f t="shared" si="45"/>
        <v>983</v>
      </c>
      <c r="G994" s="48" t="str">
        <f>IF(F994=""," ",IF(ISNA(VLOOKUP(D994,'[2]stock-take'!$A:$E,4,FALSE)), "OUT OF STOCK", VLOOKUP(D994,'[2]stock-take'!$A:$E,4,FALSE)))</f>
        <v xml:space="preserve"> </v>
      </c>
      <c r="H994" s="48">
        <f>IF(ISNA(VLOOKUP(D994,'[2]stock-take'!$A:$E,3,FALSE)), 0, VLOOKUP(D994,'[2]stock-take'!$A:$E,3,FALSE))</f>
        <v>0</v>
      </c>
      <c r="I994" s="48" t="str">
        <f>IF(F994="", " ",IF(ISNA(VLOOKUP(D994,'[2]stock-take'!$G:$K,4,FALSE)), "OUT OF STOCK", VLOOKUP(D994,'[2]stock-take'!$G:$K,4,FALSE)))</f>
        <v xml:space="preserve"> </v>
      </c>
      <c r="J994" s="39">
        <f>IF(ISNA(VLOOKUP(D994,'[2]stock-take'!$G:$K,3,FALSE)), 0, VLOOKUP(D994,'[2]stock-take'!$G:$K,3,FALSE))</f>
        <v>0</v>
      </c>
      <c r="K994" s="49" t="str">
        <f>IF(F994="", " ", IF(ISNA(VLOOKUP(D994,'[2]stock-take'!$M:$Q,4,FALSE)), "OUT OF STOCK", VLOOKUP(D994,'[2]stock-take'!$M:$Q,4,FALSE)))</f>
        <v xml:space="preserve"> </v>
      </c>
      <c r="L994" s="47">
        <f>IF(ISNA(VLOOKUP(D994,'[2]stock-take'!$M:$Q,3,FALSE)), 0, VLOOKUP(D994,'[2]stock-take'!$M:$Q,3,FALSE))</f>
        <v>0</v>
      </c>
      <c r="M994" s="48" t="str">
        <f t="shared" si="46"/>
        <v xml:space="preserve"> </v>
      </c>
      <c r="N994" s="39" t="str">
        <f t="shared" si="47"/>
        <v xml:space="preserve"> </v>
      </c>
    </row>
    <row r="995" spans="1:14">
      <c r="A995" s="37">
        <f t="shared" si="45"/>
        <v>984</v>
      </c>
      <c r="G995" s="48" t="str">
        <f>IF(F995=""," ",IF(ISNA(VLOOKUP(D995,'[2]stock-take'!$A:$E,4,FALSE)), "OUT OF STOCK", VLOOKUP(D995,'[2]stock-take'!$A:$E,4,FALSE)))</f>
        <v xml:space="preserve"> </v>
      </c>
      <c r="H995" s="48">
        <f>IF(ISNA(VLOOKUP(D995,'[2]stock-take'!$A:$E,3,FALSE)), 0, VLOOKUP(D995,'[2]stock-take'!$A:$E,3,FALSE))</f>
        <v>0</v>
      </c>
      <c r="I995" s="48" t="str">
        <f>IF(F995="", " ",IF(ISNA(VLOOKUP(D995,'[2]stock-take'!$G:$K,4,FALSE)), "OUT OF STOCK", VLOOKUP(D995,'[2]stock-take'!$G:$K,4,FALSE)))</f>
        <v xml:space="preserve"> </v>
      </c>
      <c r="J995" s="39">
        <f>IF(ISNA(VLOOKUP(D995,'[2]stock-take'!$G:$K,3,FALSE)), 0, VLOOKUP(D995,'[2]stock-take'!$G:$K,3,FALSE))</f>
        <v>0</v>
      </c>
      <c r="K995" s="49" t="str">
        <f>IF(F995="", " ", IF(ISNA(VLOOKUP(D995,'[2]stock-take'!$M:$Q,4,FALSE)), "OUT OF STOCK", VLOOKUP(D995,'[2]stock-take'!$M:$Q,4,FALSE)))</f>
        <v xml:space="preserve"> </v>
      </c>
      <c r="L995" s="47">
        <f>IF(ISNA(VLOOKUP(D995,'[2]stock-take'!$M:$Q,3,FALSE)), 0, VLOOKUP(D995,'[2]stock-take'!$M:$Q,3,FALSE))</f>
        <v>0</v>
      </c>
      <c r="M995" s="48" t="str">
        <f t="shared" si="46"/>
        <v xml:space="preserve"> </v>
      </c>
      <c r="N995" s="39" t="str">
        <f t="shared" si="47"/>
        <v xml:space="preserve"> </v>
      </c>
    </row>
    <row r="996" spans="1:14">
      <c r="A996" s="37">
        <f t="shared" si="45"/>
        <v>985</v>
      </c>
      <c r="G996" s="48" t="str">
        <f>IF(F996=""," ",IF(ISNA(VLOOKUP(D996,'[2]stock-take'!$A:$E,4,FALSE)), "OUT OF STOCK", VLOOKUP(D996,'[2]stock-take'!$A:$E,4,FALSE)))</f>
        <v xml:space="preserve"> </v>
      </c>
      <c r="H996" s="48">
        <f>IF(ISNA(VLOOKUP(D996,'[2]stock-take'!$A:$E,3,FALSE)), 0, VLOOKUP(D996,'[2]stock-take'!$A:$E,3,FALSE))</f>
        <v>0</v>
      </c>
      <c r="I996" s="48" t="str">
        <f>IF(F996="", " ",IF(ISNA(VLOOKUP(D996,'[2]stock-take'!$G:$K,4,FALSE)), "OUT OF STOCK", VLOOKUP(D996,'[2]stock-take'!$G:$K,4,FALSE)))</f>
        <v xml:space="preserve"> </v>
      </c>
      <c r="J996" s="39">
        <f>IF(ISNA(VLOOKUP(D996,'[2]stock-take'!$G:$K,3,FALSE)), 0, VLOOKUP(D996,'[2]stock-take'!$G:$K,3,FALSE))</f>
        <v>0</v>
      </c>
      <c r="K996" s="49" t="str">
        <f>IF(F996="", " ", IF(ISNA(VLOOKUP(D996,'[2]stock-take'!$M:$Q,4,FALSE)), "OUT OF STOCK", VLOOKUP(D996,'[2]stock-take'!$M:$Q,4,FALSE)))</f>
        <v xml:space="preserve"> </v>
      </c>
      <c r="L996" s="47">
        <f>IF(ISNA(VLOOKUP(D996,'[2]stock-take'!$M:$Q,3,FALSE)), 0, VLOOKUP(D996,'[2]stock-take'!$M:$Q,3,FALSE))</f>
        <v>0</v>
      </c>
      <c r="M996" s="48" t="str">
        <f t="shared" si="46"/>
        <v xml:space="preserve"> </v>
      </c>
      <c r="N996" s="39" t="str">
        <f t="shared" si="47"/>
        <v xml:space="preserve"> </v>
      </c>
    </row>
    <row r="997" spans="1:14">
      <c r="A997" s="37">
        <f t="shared" si="45"/>
        <v>986</v>
      </c>
      <c r="G997" s="48" t="str">
        <f>IF(F997=""," ",IF(ISNA(VLOOKUP(D997,'[2]stock-take'!$A:$E,4,FALSE)), "OUT OF STOCK", VLOOKUP(D997,'[2]stock-take'!$A:$E,4,FALSE)))</f>
        <v xml:space="preserve"> </v>
      </c>
      <c r="H997" s="48">
        <f>IF(ISNA(VLOOKUP(D997,'[2]stock-take'!$A:$E,3,FALSE)), 0, VLOOKUP(D997,'[2]stock-take'!$A:$E,3,FALSE))</f>
        <v>0</v>
      </c>
      <c r="I997" s="48" t="str">
        <f>IF(F997="", " ",IF(ISNA(VLOOKUP(D997,'[2]stock-take'!$G:$K,4,FALSE)), "OUT OF STOCK", VLOOKUP(D997,'[2]stock-take'!$G:$K,4,FALSE)))</f>
        <v xml:space="preserve"> </v>
      </c>
      <c r="J997" s="39">
        <f>IF(ISNA(VLOOKUP(D997,'[2]stock-take'!$G:$K,3,FALSE)), 0, VLOOKUP(D997,'[2]stock-take'!$G:$K,3,FALSE))</f>
        <v>0</v>
      </c>
      <c r="K997" s="49" t="str">
        <f>IF(F997="", " ", IF(ISNA(VLOOKUP(D997,'[2]stock-take'!$M:$Q,4,FALSE)), "OUT OF STOCK", VLOOKUP(D997,'[2]stock-take'!$M:$Q,4,FALSE)))</f>
        <v xml:space="preserve"> </v>
      </c>
      <c r="L997" s="47">
        <f>IF(ISNA(VLOOKUP(D997,'[2]stock-take'!$M:$Q,3,FALSE)), 0, VLOOKUP(D997,'[2]stock-take'!$M:$Q,3,FALSE))</f>
        <v>0</v>
      </c>
      <c r="M997" s="48" t="str">
        <f t="shared" si="46"/>
        <v xml:space="preserve"> </v>
      </c>
      <c r="N997" s="39" t="str">
        <f t="shared" si="47"/>
        <v xml:space="preserve"> </v>
      </c>
    </row>
    <row r="998" spans="1:14">
      <c r="A998" s="37">
        <f t="shared" si="45"/>
        <v>987</v>
      </c>
      <c r="G998" s="48" t="str">
        <f>IF(F998=""," ",IF(ISNA(VLOOKUP(D998,'[2]stock-take'!$A:$E,4,FALSE)), "OUT OF STOCK", VLOOKUP(D998,'[2]stock-take'!$A:$E,4,FALSE)))</f>
        <v xml:space="preserve"> </v>
      </c>
      <c r="H998" s="48">
        <f>IF(ISNA(VLOOKUP(D998,'[2]stock-take'!$A:$E,3,FALSE)), 0, VLOOKUP(D998,'[2]stock-take'!$A:$E,3,FALSE))</f>
        <v>0</v>
      </c>
      <c r="I998" s="48" t="str">
        <f>IF(F998="", " ",IF(ISNA(VLOOKUP(D998,'[2]stock-take'!$G:$K,4,FALSE)), "OUT OF STOCK", VLOOKUP(D998,'[2]stock-take'!$G:$K,4,FALSE)))</f>
        <v xml:space="preserve"> </v>
      </c>
      <c r="J998" s="39">
        <f>IF(ISNA(VLOOKUP(D998,'[2]stock-take'!$G:$K,3,FALSE)), 0, VLOOKUP(D998,'[2]stock-take'!$G:$K,3,FALSE))</f>
        <v>0</v>
      </c>
      <c r="K998" s="49" t="str">
        <f>IF(F998="", " ", IF(ISNA(VLOOKUP(D998,'[2]stock-take'!$M:$Q,4,FALSE)), "OUT OF STOCK", VLOOKUP(D998,'[2]stock-take'!$M:$Q,4,FALSE)))</f>
        <v xml:space="preserve"> </v>
      </c>
      <c r="L998" s="47">
        <f>IF(ISNA(VLOOKUP(D998,'[2]stock-take'!$M:$Q,3,FALSE)), 0, VLOOKUP(D998,'[2]stock-take'!$M:$Q,3,FALSE))</f>
        <v>0</v>
      </c>
      <c r="M998" s="48" t="str">
        <f t="shared" si="46"/>
        <v xml:space="preserve"> </v>
      </c>
      <c r="N998" s="39" t="str">
        <f t="shared" si="47"/>
        <v xml:space="preserve"> </v>
      </c>
    </row>
    <row r="999" spans="1:14">
      <c r="A999" s="37">
        <f t="shared" si="45"/>
        <v>988</v>
      </c>
      <c r="G999" s="48" t="str">
        <f>IF(F999=""," ",IF(ISNA(VLOOKUP(D999,'[2]stock-take'!$A:$E,4,FALSE)), "OUT OF STOCK", VLOOKUP(D999,'[2]stock-take'!$A:$E,4,FALSE)))</f>
        <v xml:space="preserve"> </v>
      </c>
      <c r="H999" s="48">
        <f>IF(ISNA(VLOOKUP(D999,'[2]stock-take'!$A:$E,3,FALSE)), 0, VLOOKUP(D999,'[2]stock-take'!$A:$E,3,FALSE))</f>
        <v>0</v>
      </c>
      <c r="I999" s="48" t="str">
        <f>IF(F999="", " ",IF(ISNA(VLOOKUP(D999,'[2]stock-take'!$G:$K,4,FALSE)), "OUT OF STOCK", VLOOKUP(D999,'[2]stock-take'!$G:$K,4,FALSE)))</f>
        <v xml:space="preserve"> </v>
      </c>
      <c r="J999" s="39">
        <f>IF(ISNA(VLOOKUP(D999,'[2]stock-take'!$G:$K,3,FALSE)), 0, VLOOKUP(D999,'[2]stock-take'!$G:$K,3,FALSE))</f>
        <v>0</v>
      </c>
      <c r="K999" s="49" t="str">
        <f>IF(F999="", " ", IF(ISNA(VLOOKUP(D999,'[2]stock-take'!$M:$Q,4,FALSE)), "OUT OF STOCK", VLOOKUP(D999,'[2]stock-take'!$M:$Q,4,FALSE)))</f>
        <v xml:space="preserve"> </v>
      </c>
      <c r="L999" s="47">
        <f>IF(ISNA(VLOOKUP(D999,'[2]stock-take'!$M:$Q,3,FALSE)), 0, VLOOKUP(D999,'[2]stock-take'!$M:$Q,3,FALSE))</f>
        <v>0</v>
      </c>
      <c r="M999" s="48" t="str">
        <f t="shared" si="46"/>
        <v xml:space="preserve"> </v>
      </c>
      <c r="N999" s="39" t="str">
        <f t="shared" si="47"/>
        <v xml:space="preserve"> </v>
      </c>
    </row>
    <row r="1000" spans="1:14">
      <c r="A1000" s="37">
        <f t="shared" si="45"/>
        <v>989</v>
      </c>
      <c r="G1000" s="48" t="str">
        <f>IF(F1000=""," ",IF(ISNA(VLOOKUP(D1000,'[2]stock-take'!$A:$E,4,FALSE)), "OUT OF STOCK", VLOOKUP(D1000,'[2]stock-take'!$A:$E,4,FALSE)))</f>
        <v xml:space="preserve"> </v>
      </c>
      <c r="H1000" s="48">
        <f>IF(ISNA(VLOOKUP(D1000,'[2]stock-take'!$A:$E,3,FALSE)), 0, VLOOKUP(D1000,'[2]stock-take'!$A:$E,3,FALSE))</f>
        <v>0</v>
      </c>
      <c r="I1000" s="48" t="str">
        <f>IF(F1000="", " ",IF(ISNA(VLOOKUP(D1000,'[2]stock-take'!$G:$K,4,FALSE)), "OUT OF STOCK", VLOOKUP(D1000,'[2]stock-take'!$G:$K,4,FALSE)))</f>
        <v xml:space="preserve"> </v>
      </c>
      <c r="J1000" s="39">
        <f>IF(ISNA(VLOOKUP(D1000,'[2]stock-take'!$G:$K,3,FALSE)), 0, VLOOKUP(D1000,'[2]stock-take'!$G:$K,3,FALSE))</f>
        <v>0</v>
      </c>
      <c r="K1000" s="49" t="str">
        <f>IF(F1000="", " ", IF(ISNA(VLOOKUP(D1000,'[2]stock-take'!$M:$Q,4,FALSE)), "OUT OF STOCK", VLOOKUP(D1000,'[2]stock-take'!$M:$Q,4,FALSE)))</f>
        <v xml:space="preserve"> </v>
      </c>
      <c r="L1000" s="47">
        <f>IF(ISNA(VLOOKUP(D1000,'[2]stock-take'!$M:$Q,3,FALSE)), 0, VLOOKUP(D1000,'[2]stock-take'!$M:$Q,3,FALSE))</f>
        <v>0</v>
      </c>
      <c r="M1000" s="48" t="str">
        <f t="shared" si="46"/>
        <v xml:space="preserve"> </v>
      </c>
      <c r="N1000" s="39" t="str">
        <f t="shared" si="47"/>
        <v xml:space="preserve"> </v>
      </c>
    </row>
    <row r="1001" spans="1:14">
      <c r="A1001" s="37">
        <f t="shared" si="45"/>
        <v>990</v>
      </c>
      <c r="G1001" s="48" t="str">
        <f>IF(F1001=""," ",IF(ISNA(VLOOKUP(D1001,'[2]stock-take'!$A:$E,4,FALSE)), "OUT OF STOCK", VLOOKUP(D1001,'[2]stock-take'!$A:$E,4,FALSE)))</f>
        <v xml:space="preserve"> </v>
      </c>
      <c r="H1001" s="48">
        <f>IF(ISNA(VLOOKUP(D1001,'[2]stock-take'!$A:$E,3,FALSE)), 0, VLOOKUP(D1001,'[2]stock-take'!$A:$E,3,FALSE))</f>
        <v>0</v>
      </c>
      <c r="I1001" s="48" t="str">
        <f>IF(F1001="", " ",IF(ISNA(VLOOKUP(D1001,'[2]stock-take'!$G:$K,4,FALSE)), "OUT OF STOCK", VLOOKUP(D1001,'[2]stock-take'!$G:$K,4,FALSE)))</f>
        <v xml:space="preserve"> </v>
      </c>
      <c r="J1001" s="39">
        <f>IF(ISNA(VLOOKUP(D1001,'[2]stock-take'!$G:$K,3,FALSE)), 0, VLOOKUP(D1001,'[2]stock-take'!$G:$K,3,FALSE))</f>
        <v>0</v>
      </c>
      <c r="K1001" s="49" t="str">
        <f>IF(F1001="", " ", IF(ISNA(VLOOKUP(D1001,'[2]stock-take'!$M:$Q,4,FALSE)), "OUT OF STOCK", VLOOKUP(D1001,'[2]stock-take'!$M:$Q,4,FALSE)))</f>
        <v xml:space="preserve"> </v>
      </c>
      <c r="L1001" s="47">
        <f>IF(ISNA(VLOOKUP(D1001,'[2]stock-take'!$M:$Q,3,FALSE)), 0, VLOOKUP(D1001,'[2]stock-take'!$M:$Q,3,FALSE))</f>
        <v>0</v>
      </c>
      <c r="M1001" s="48" t="str">
        <f t="shared" si="46"/>
        <v xml:space="preserve"> </v>
      </c>
      <c r="N1001" s="39" t="str">
        <f t="shared" si="47"/>
        <v xml:space="preserve"> </v>
      </c>
    </row>
    <row r="1002" spans="1:14">
      <c r="A1002" s="37">
        <f t="shared" si="45"/>
        <v>991</v>
      </c>
      <c r="G1002" s="48" t="str">
        <f>IF(F1002=""," ",IF(ISNA(VLOOKUP(D1002,'[2]stock-take'!$A:$E,4,FALSE)), "OUT OF STOCK", VLOOKUP(D1002,'[2]stock-take'!$A:$E,4,FALSE)))</f>
        <v xml:space="preserve"> </v>
      </c>
      <c r="H1002" s="48">
        <f>IF(ISNA(VLOOKUP(D1002,'[2]stock-take'!$A:$E,3,FALSE)), 0, VLOOKUP(D1002,'[2]stock-take'!$A:$E,3,FALSE))</f>
        <v>0</v>
      </c>
      <c r="I1002" s="48" t="str">
        <f>IF(F1002="", " ",IF(ISNA(VLOOKUP(D1002,'[2]stock-take'!$G:$K,4,FALSE)), "OUT OF STOCK", VLOOKUP(D1002,'[2]stock-take'!$G:$K,4,FALSE)))</f>
        <v xml:space="preserve"> </v>
      </c>
      <c r="J1002" s="39">
        <f>IF(ISNA(VLOOKUP(D1002,'[2]stock-take'!$G:$K,3,FALSE)), 0, VLOOKUP(D1002,'[2]stock-take'!$G:$K,3,FALSE))</f>
        <v>0</v>
      </c>
      <c r="K1002" s="49" t="str">
        <f>IF(F1002="", " ", IF(ISNA(VLOOKUP(D1002,'[2]stock-take'!$M:$Q,4,FALSE)), "OUT OF STOCK", VLOOKUP(D1002,'[2]stock-take'!$M:$Q,4,FALSE)))</f>
        <v xml:space="preserve"> </v>
      </c>
      <c r="L1002" s="47">
        <f>IF(ISNA(VLOOKUP(D1002,'[2]stock-take'!$M:$Q,3,FALSE)), 0, VLOOKUP(D1002,'[2]stock-take'!$M:$Q,3,FALSE))</f>
        <v>0</v>
      </c>
      <c r="M1002" s="48" t="str">
        <f t="shared" si="46"/>
        <v xml:space="preserve"> </v>
      </c>
      <c r="N1002" s="39" t="str">
        <f t="shared" si="47"/>
        <v xml:space="preserve"> </v>
      </c>
    </row>
    <row r="1003" spans="1:14">
      <c r="A1003" s="37">
        <f t="shared" si="45"/>
        <v>992</v>
      </c>
      <c r="G1003" s="48" t="str">
        <f>IF(F1003=""," ",IF(ISNA(VLOOKUP(D1003,'[2]stock-take'!$A:$E,4,FALSE)), "OUT OF STOCK", VLOOKUP(D1003,'[2]stock-take'!$A:$E,4,FALSE)))</f>
        <v xml:space="preserve"> </v>
      </c>
      <c r="H1003" s="48">
        <f>IF(ISNA(VLOOKUP(D1003,'[2]stock-take'!$A:$E,3,FALSE)), 0, VLOOKUP(D1003,'[2]stock-take'!$A:$E,3,FALSE))</f>
        <v>0</v>
      </c>
      <c r="I1003" s="48" t="str">
        <f>IF(F1003="", " ",IF(ISNA(VLOOKUP(D1003,'[2]stock-take'!$G:$K,4,FALSE)), "OUT OF STOCK", VLOOKUP(D1003,'[2]stock-take'!$G:$K,4,FALSE)))</f>
        <v xml:space="preserve"> </v>
      </c>
      <c r="J1003" s="39">
        <f>IF(ISNA(VLOOKUP(D1003,'[2]stock-take'!$G:$K,3,FALSE)), 0, VLOOKUP(D1003,'[2]stock-take'!$G:$K,3,FALSE))</f>
        <v>0</v>
      </c>
      <c r="K1003" s="49" t="str">
        <f>IF(F1003="", " ", IF(ISNA(VLOOKUP(D1003,'[2]stock-take'!$M:$Q,4,FALSE)), "OUT OF STOCK", VLOOKUP(D1003,'[2]stock-take'!$M:$Q,4,FALSE)))</f>
        <v xml:space="preserve"> </v>
      </c>
      <c r="L1003" s="47">
        <f>IF(ISNA(VLOOKUP(D1003,'[2]stock-take'!$M:$Q,3,FALSE)), 0, VLOOKUP(D1003,'[2]stock-take'!$M:$Q,3,FALSE))</f>
        <v>0</v>
      </c>
      <c r="M1003" s="48" t="str">
        <f t="shared" si="46"/>
        <v xml:space="preserve"> </v>
      </c>
      <c r="N1003" s="39" t="str">
        <f t="shared" si="47"/>
        <v xml:space="preserve"> </v>
      </c>
    </row>
    <row r="1004" spans="1:14">
      <c r="A1004" s="37">
        <f t="shared" si="45"/>
        <v>993</v>
      </c>
      <c r="G1004" s="48" t="str">
        <f>IF(F1004=""," ",IF(ISNA(VLOOKUP(D1004,'[2]stock-take'!$A:$E,4,FALSE)), "OUT OF STOCK", VLOOKUP(D1004,'[2]stock-take'!$A:$E,4,FALSE)))</f>
        <v xml:space="preserve"> </v>
      </c>
      <c r="H1004" s="48">
        <f>IF(ISNA(VLOOKUP(D1004,'[2]stock-take'!$A:$E,3,FALSE)), 0, VLOOKUP(D1004,'[2]stock-take'!$A:$E,3,FALSE))</f>
        <v>0</v>
      </c>
      <c r="I1004" s="48" t="str">
        <f>IF(F1004="", " ",IF(ISNA(VLOOKUP(D1004,'[2]stock-take'!$G:$K,4,FALSE)), "OUT OF STOCK", VLOOKUP(D1004,'[2]stock-take'!$G:$K,4,FALSE)))</f>
        <v xml:space="preserve"> </v>
      </c>
      <c r="J1004" s="39">
        <f>IF(ISNA(VLOOKUP(D1004,'[2]stock-take'!$G:$K,3,FALSE)), 0, VLOOKUP(D1004,'[2]stock-take'!$G:$K,3,FALSE))</f>
        <v>0</v>
      </c>
      <c r="K1004" s="49" t="str">
        <f>IF(F1004="", " ", IF(ISNA(VLOOKUP(D1004,'[2]stock-take'!$M:$Q,4,FALSE)), "OUT OF STOCK", VLOOKUP(D1004,'[2]stock-take'!$M:$Q,4,FALSE)))</f>
        <v xml:space="preserve"> </v>
      </c>
      <c r="L1004" s="47">
        <f>IF(ISNA(VLOOKUP(D1004,'[2]stock-take'!$M:$Q,3,FALSE)), 0, VLOOKUP(D1004,'[2]stock-take'!$M:$Q,3,FALSE))</f>
        <v>0</v>
      </c>
      <c r="M1004" s="48" t="str">
        <f t="shared" si="46"/>
        <v xml:space="preserve"> </v>
      </c>
      <c r="N1004" s="39" t="str">
        <f t="shared" si="47"/>
        <v xml:space="preserve"> </v>
      </c>
    </row>
    <row r="1005" spans="1:14">
      <c r="A1005" s="37">
        <f t="shared" si="45"/>
        <v>994</v>
      </c>
      <c r="G1005" s="48" t="str">
        <f>IF(F1005=""," ",IF(ISNA(VLOOKUP(D1005,'[2]stock-take'!$A:$E,4,FALSE)), "OUT OF STOCK", VLOOKUP(D1005,'[2]stock-take'!$A:$E,4,FALSE)))</f>
        <v xml:space="preserve"> </v>
      </c>
      <c r="H1005" s="48">
        <f>IF(ISNA(VLOOKUP(D1005,'[2]stock-take'!$A:$E,3,FALSE)), 0, VLOOKUP(D1005,'[2]stock-take'!$A:$E,3,FALSE))</f>
        <v>0</v>
      </c>
      <c r="I1005" s="48" t="str">
        <f>IF(F1005="", " ",IF(ISNA(VLOOKUP(D1005,'[2]stock-take'!$G:$K,4,FALSE)), "OUT OF STOCK", VLOOKUP(D1005,'[2]stock-take'!$G:$K,4,FALSE)))</f>
        <v xml:space="preserve"> </v>
      </c>
      <c r="J1005" s="39">
        <f>IF(ISNA(VLOOKUP(D1005,'[2]stock-take'!$G:$K,3,FALSE)), 0, VLOOKUP(D1005,'[2]stock-take'!$G:$K,3,FALSE))</f>
        <v>0</v>
      </c>
      <c r="K1005" s="49" t="str">
        <f>IF(F1005="", " ", IF(ISNA(VLOOKUP(D1005,'[2]stock-take'!$M:$Q,4,FALSE)), "OUT OF STOCK", VLOOKUP(D1005,'[2]stock-take'!$M:$Q,4,FALSE)))</f>
        <v xml:space="preserve"> </v>
      </c>
      <c r="L1005" s="47">
        <f>IF(ISNA(VLOOKUP(D1005,'[2]stock-take'!$M:$Q,3,FALSE)), 0, VLOOKUP(D1005,'[2]stock-take'!$M:$Q,3,FALSE))</f>
        <v>0</v>
      </c>
      <c r="M1005" s="48" t="str">
        <f t="shared" si="46"/>
        <v xml:space="preserve"> </v>
      </c>
      <c r="N1005" s="39" t="str">
        <f t="shared" si="47"/>
        <v xml:space="preserve"> </v>
      </c>
    </row>
    <row r="1006" spans="1:14">
      <c r="A1006" s="37">
        <f t="shared" si="45"/>
        <v>995</v>
      </c>
      <c r="G1006" s="48" t="str">
        <f>IF(F1006=""," ",IF(ISNA(VLOOKUP(D1006,'[2]stock-take'!$A:$E,4,FALSE)), "OUT OF STOCK", VLOOKUP(D1006,'[2]stock-take'!$A:$E,4,FALSE)))</f>
        <v xml:space="preserve"> </v>
      </c>
      <c r="H1006" s="48">
        <f>IF(ISNA(VLOOKUP(D1006,'[2]stock-take'!$A:$E,3,FALSE)), 0, VLOOKUP(D1006,'[2]stock-take'!$A:$E,3,FALSE))</f>
        <v>0</v>
      </c>
      <c r="I1006" s="48" t="str">
        <f>IF(F1006="", " ",IF(ISNA(VLOOKUP(D1006,'[2]stock-take'!$G:$K,4,FALSE)), "OUT OF STOCK", VLOOKUP(D1006,'[2]stock-take'!$G:$K,4,FALSE)))</f>
        <v xml:space="preserve"> </v>
      </c>
      <c r="J1006" s="39">
        <f>IF(ISNA(VLOOKUP(D1006,'[2]stock-take'!$G:$K,3,FALSE)), 0, VLOOKUP(D1006,'[2]stock-take'!$G:$K,3,FALSE))</f>
        <v>0</v>
      </c>
      <c r="K1006" s="49" t="str">
        <f>IF(F1006="", " ", IF(ISNA(VLOOKUP(D1006,'[2]stock-take'!$M:$Q,4,FALSE)), "OUT OF STOCK", VLOOKUP(D1006,'[2]stock-take'!$M:$Q,4,FALSE)))</f>
        <v xml:space="preserve"> </v>
      </c>
      <c r="L1006" s="47">
        <f>IF(ISNA(VLOOKUP(D1006,'[2]stock-take'!$M:$Q,3,FALSE)), 0, VLOOKUP(D1006,'[2]stock-take'!$M:$Q,3,FALSE))</f>
        <v>0</v>
      </c>
      <c r="M1006" s="48" t="str">
        <f t="shared" si="46"/>
        <v xml:space="preserve"> </v>
      </c>
      <c r="N1006" s="39" t="str">
        <f t="shared" si="47"/>
        <v xml:space="preserve"> </v>
      </c>
    </row>
    <row r="1007" spans="1:14">
      <c r="A1007" s="37">
        <f t="shared" si="45"/>
        <v>996</v>
      </c>
      <c r="G1007" s="48" t="str">
        <f>IF(F1007=""," ",IF(ISNA(VLOOKUP(D1007,'[2]stock-take'!$A:$E,4,FALSE)), "OUT OF STOCK", VLOOKUP(D1007,'[2]stock-take'!$A:$E,4,FALSE)))</f>
        <v xml:space="preserve"> </v>
      </c>
      <c r="H1007" s="48">
        <f>IF(ISNA(VLOOKUP(D1007,'[2]stock-take'!$A:$E,3,FALSE)), 0, VLOOKUP(D1007,'[2]stock-take'!$A:$E,3,FALSE))</f>
        <v>0</v>
      </c>
      <c r="I1007" s="48" t="str">
        <f>IF(F1007="", " ",IF(ISNA(VLOOKUP(D1007,'[2]stock-take'!$G:$K,4,FALSE)), "OUT OF STOCK", VLOOKUP(D1007,'[2]stock-take'!$G:$K,4,FALSE)))</f>
        <v xml:space="preserve"> </v>
      </c>
      <c r="J1007" s="39">
        <f>IF(ISNA(VLOOKUP(D1007,'[2]stock-take'!$G:$K,3,FALSE)), 0, VLOOKUP(D1007,'[2]stock-take'!$G:$K,3,FALSE))</f>
        <v>0</v>
      </c>
      <c r="K1007" s="49" t="str">
        <f>IF(F1007="", " ", IF(ISNA(VLOOKUP(D1007,'[2]stock-take'!$M:$Q,4,FALSE)), "OUT OF STOCK", VLOOKUP(D1007,'[2]stock-take'!$M:$Q,4,FALSE)))</f>
        <v xml:space="preserve"> </v>
      </c>
      <c r="L1007" s="47">
        <f>IF(ISNA(VLOOKUP(D1007,'[2]stock-take'!$M:$Q,3,FALSE)), 0, VLOOKUP(D1007,'[2]stock-take'!$M:$Q,3,FALSE))</f>
        <v>0</v>
      </c>
      <c r="M1007" s="48" t="str">
        <f t="shared" si="46"/>
        <v xml:space="preserve"> </v>
      </c>
      <c r="N1007" s="39" t="str">
        <f t="shared" si="47"/>
        <v xml:space="preserve"> </v>
      </c>
    </row>
    <row r="1008" spans="1:14">
      <c r="A1008" s="37">
        <f t="shared" si="45"/>
        <v>997</v>
      </c>
      <c r="G1008" s="48" t="str">
        <f>IF(F1008=""," ",IF(ISNA(VLOOKUP(D1008,'[2]stock-take'!$A:$E,4,FALSE)), "OUT OF STOCK", VLOOKUP(D1008,'[2]stock-take'!$A:$E,4,FALSE)))</f>
        <v xml:space="preserve"> </v>
      </c>
      <c r="H1008" s="48">
        <f>IF(ISNA(VLOOKUP(D1008,'[2]stock-take'!$A:$E,3,FALSE)), 0, VLOOKUP(D1008,'[2]stock-take'!$A:$E,3,FALSE))</f>
        <v>0</v>
      </c>
      <c r="I1008" s="48" t="str">
        <f>IF(F1008="", " ",IF(ISNA(VLOOKUP(D1008,'[2]stock-take'!$G:$K,4,FALSE)), "OUT OF STOCK", VLOOKUP(D1008,'[2]stock-take'!$G:$K,4,FALSE)))</f>
        <v xml:space="preserve"> </v>
      </c>
      <c r="J1008" s="39">
        <f>IF(ISNA(VLOOKUP(D1008,'[2]stock-take'!$G:$K,3,FALSE)), 0, VLOOKUP(D1008,'[2]stock-take'!$G:$K,3,FALSE))</f>
        <v>0</v>
      </c>
      <c r="K1008" s="49" t="str">
        <f>IF(F1008="", " ", IF(ISNA(VLOOKUP(D1008,'[2]stock-take'!$M:$Q,4,FALSE)), "OUT OF STOCK", VLOOKUP(D1008,'[2]stock-take'!$M:$Q,4,FALSE)))</f>
        <v xml:space="preserve"> </v>
      </c>
      <c r="L1008" s="47">
        <f>IF(ISNA(VLOOKUP(D1008,'[2]stock-take'!$M:$Q,3,FALSE)), 0, VLOOKUP(D1008,'[2]stock-take'!$M:$Q,3,FALSE))</f>
        <v>0</v>
      </c>
      <c r="M1008" s="48" t="str">
        <f t="shared" si="46"/>
        <v xml:space="preserve"> </v>
      </c>
      <c r="N1008" s="39" t="str">
        <f t="shared" si="47"/>
        <v xml:space="preserve"> </v>
      </c>
    </row>
    <row r="1009" spans="1:14">
      <c r="A1009" s="37">
        <f t="shared" si="45"/>
        <v>998</v>
      </c>
      <c r="G1009" s="48" t="str">
        <f>IF(F1009=""," ",IF(ISNA(VLOOKUP(D1009,'[2]stock-take'!$A:$E,4,FALSE)), "OUT OF STOCK", VLOOKUP(D1009,'[2]stock-take'!$A:$E,4,FALSE)))</f>
        <v xml:space="preserve"> </v>
      </c>
      <c r="H1009" s="48">
        <f>IF(ISNA(VLOOKUP(D1009,'[2]stock-take'!$A:$E,3,FALSE)), 0, VLOOKUP(D1009,'[2]stock-take'!$A:$E,3,FALSE))</f>
        <v>0</v>
      </c>
      <c r="I1009" s="48" t="str">
        <f>IF(F1009="", " ",IF(ISNA(VLOOKUP(D1009,'[2]stock-take'!$G:$K,4,FALSE)), "OUT OF STOCK", VLOOKUP(D1009,'[2]stock-take'!$G:$K,4,FALSE)))</f>
        <v xml:space="preserve"> </v>
      </c>
      <c r="J1009" s="39">
        <f>IF(ISNA(VLOOKUP(D1009,'[2]stock-take'!$G:$K,3,FALSE)), 0, VLOOKUP(D1009,'[2]stock-take'!$G:$K,3,FALSE))</f>
        <v>0</v>
      </c>
      <c r="K1009" s="49" t="str">
        <f>IF(F1009="", " ", IF(ISNA(VLOOKUP(D1009,'[2]stock-take'!$M:$Q,4,FALSE)), "OUT OF STOCK", VLOOKUP(D1009,'[2]stock-take'!$M:$Q,4,FALSE)))</f>
        <v xml:space="preserve"> </v>
      </c>
      <c r="L1009" s="47">
        <f>IF(ISNA(VLOOKUP(D1009,'[2]stock-take'!$M:$Q,3,FALSE)), 0, VLOOKUP(D1009,'[2]stock-take'!$M:$Q,3,FALSE))</f>
        <v>0</v>
      </c>
      <c r="M1009" s="48" t="str">
        <f t="shared" si="46"/>
        <v xml:space="preserve"> </v>
      </c>
      <c r="N1009" s="39" t="str">
        <f t="shared" si="47"/>
        <v xml:space="preserve"> </v>
      </c>
    </row>
    <row r="1010" spans="1:14">
      <c r="A1010" s="37">
        <f t="shared" si="45"/>
        <v>999</v>
      </c>
      <c r="G1010" s="48" t="str">
        <f>IF(F1010=""," ",IF(ISNA(VLOOKUP(D1010,'[2]stock-take'!$A:$E,4,FALSE)), "OUT OF STOCK", VLOOKUP(D1010,'[2]stock-take'!$A:$E,4,FALSE)))</f>
        <v xml:space="preserve"> </v>
      </c>
      <c r="H1010" s="48">
        <f>IF(ISNA(VLOOKUP(D1010,'[2]stock-take'!$A:$E,3,FALSE)), 0, VLOOKUP(D1010,'[2]stock-take'!$A:$E,3,FALSE))</f>
        <v>0</v>
      </c>
      <c r="I1010" s="48" t="str">
        <f>IF(F1010="", " ",IF(ISNA(VLOOKUP(D1010,'[2]stock-take'!$G:$K,4,FALSE)), "OUT OF STOCK", VLOOKUP(D1010,'[2]stock-take'!$G:$K,4,FALSE)))</f>
        <v xml:space="preserve"> </v>
      </c>
      <c r="J1010" s="39">
        <f>IF(ISNA(VLOOKUP(D1010,'[2]stock-take'!$G:$K,3,FALSE)), 0, VLOOKUP(D1010,'[2]stock-take'!$G:$K,3,FALSE))</f>
        <v>0</v>
      </c>
      <c r="K1010" s="49" t="str">
        <f>IF(F1010="", " ", IF(ISNA(VLOOKUP(D1010,'[2]stock-take'!$M:$Q,4,FALSE)), "OUT OF STOCK", VLOOKUP(D1010,'[2]stock-take'!$M:$Q,4,FALSE)))</f>
        <v xml:space="preserve"> </v>
      </c>
      <c r="L1010" s="47">
        <f>IF(ISNA(VLOOKUP(D1010,'[2]stock-take'!$M:$Q,3,FALSE)), 0, VLOOKUP(D1010,'[2]stock-take'!$M:$Q,3,FALSE))</f>
        <v>0</v>
      </c>
      <c r="M1010" s="48" t="str">
        <f t="shared" si="46"/>
        <v xml:space="preserve"> </v>
      </c>
      <c r="N1010" s="39" t="str">
        <f t="shared" si="47"/>
        <v xml:space="preserve"> </v>
      </c>
    </row>
    <row r="1011" spans="1:14">
      <c r="A1011" s="37">
        <f t="shared" si="45"/>
        <v>1000</v>
      </c>
      <c r="G1011" s="48" t="str">
        <f>IF(F1011=""," ",IF(ISNA(VLOOKUP(D1011,'[2]stock-take'!$A:$E,4,FALSE)), "OUT OF STOCK", VLOOKUP(D1011,'[2]stock-take'!$A:$E,4,FALSE)))</f>
        <v xml:space="preserve"> </v>
      </c>
      <c r="H1011" s="48">
        <f>IF(ISNA(VLOOKUP(D1011,'[2]stock-take'!$A:$E,3,FALSE)), 0, VLOOKUP(D1011,'[2]stock-take'!$A:$E,3,FALSE))</f>
        <v>0</v>
      </c>
      <c r="I1011" s="48" t="str">
        <f>IF(F1011="", " ",IF(ISNA(VLOOKUP(D1011,'[2]stock-take'!$G:$K,4,FALSE)), "OUT OF STOCK", VLOOKUP(D1011,'[2]stock-take'!$G:$K,4,FALSE)))</f>
        <v xml:space="preserve"> </v>
      </c>
      <c r="J1011" s="39">
        <f>IF(ISNA(VLOOKUP(D1011,'[2]stock-take'!$G:$K,3,FALSE)), 0, VLOOKUP(D1011,'[2]stock-take'!$G:$K,3,FALSE))</f>
        <v>0</v>
      </c>
      <c r="K1011" s="49" t="str">
        <f>IF(F1011="", " ", IF(ISNA(VLOOKUP(D1011,'[2]stock-take'!$M:$Q,4,FALSE)), "OUT OF STOCK", VLOOKUP(D1011,'[2]stock-take'!$M:$Q,4,FALSE)))</f>
        <v xml:space="preserve"> </v>
      </c>
      <c r="L1011" s="47">
        <f>IF(ISNA(VLOOKUP(D1011,'[2]stock-take'!$M:$Q,3,FALSE)), 0, VLOOKUP(D1011,'[2]stock-take'!$M:$Q,3,FALSE))</f>
        <v>0</v>
      </c>
      <c r="M1011" s="48" t="str">
        <f t="shared" si="46"/>
        <v xml:space="preserve"> </v>
      </c>
      <c r="N1011" s="39" t="str">
        <f t="shared" si="47"/>
        <v xml:space="preserve"> </v>
      </c>
    </row>
    <row r="1012" spans="1:14">
      <c r="A1012" s="37">
        <f t="shared" si="45"/>
        <v>1001</v>
      </c>
      <c r="G1012" s="48" t="str">
        <f>IF(F1012=""," ",IF(ISNA(VLOOKUP(D1012,'[2]stock-take'!$A:$E,4,FALSE)), "OUT OF STOCK", VLOOKUP(D1012,'[2]stock-take'!$A:$E,4,FALSE)))</f>
        <v xml:space="preserve"> </v>
      </c>
      <c r="H1012" s="48">
        <f>IF(ISNA(VLOOKUP(D1012,'[2]stock-take'!$A:$E,3,FALSE)), 0, VLOOKUP(D1012,'[2]stock-take'!$A:$E,3,FALSE))</f>
        <v>0</v>
      </c>
      <c r="I1012" s="48" t="str">
        <f>IF(F1012="", " ",IF(ISNA(VLOOKUP(D1012,'[2]stock-take'!$G:$K,4,FALSE)), "OUT OF STOCK", VLOOKUP(D1012,'[2]stock-take'!$G:$K,4,FALSE)))</f>
        <v xml:space="preserve"> </v>
      </c>
      <c r="J1012" s="39">
        <f>IF(ISNA(VLOOKUP(D1012,'[2]stock-take'!$G:$K,3,FALSE)), 0, VLOOKUP(D1012,'[2]stock-take'!$G:$K,3,FALSE))</f>
        <v>0</v>
      </c>
      <c r="K1012" s="49" t="str">
        <f>IF(F1012="", " ", IF(ISNA(VLOOKUP(D1012,'[2]stock-take'!$M:$Q,4,FALSE)), "OUT OF STOCK", VLOOKUP(D1012,'[2]stock-take'!$M:$Q,4,FALSE)))</f>
        <v xml:space="preserve"> </v>
      </c>
      <c r="L1012" s="47">
        <f>IF(ISNA(VLOOKUP(D1012,'[2]stock-take'!$M:$Q,3,FALSE)), 0, VLOOKUP(D1012,'[2]stock-take'!$M:$Q,3,FALSE))</f>
        <v>0</v>
      </c>
      <c r="M1012" s="48" t="str">
        <f t="shared" si="46"/>
        <v xml:space="preserve"> </v>
      </c>
      <c r="N1012" s="39" t="str">
        <f t="shared" si="47"/>
        <v xml:space="preserve"> </v>
      </c>
    </row>
    <row r="1013" spans="1:14">
      <c r="A1013" s="37">
        <f t="shared" si="45"/>
        <v>1002</v>
      </c>
      <c r="G1013" s="48" t="str">
        <f>IF(F1013=""," ",IF(ISNA(VLOOKUP(D1013,'[2]stock-take'!$A:$E,4,FALSE)), "OUT OF STOCK", VLOOKUP(D1013,'[2]stock-take'!$A:$E,4,FALSE)))</f>
        <v xml:space="preserve"> </v>
      </c>
      <c r="H1013" s="48">
        <f>IF(ISNA(VLOOKUP(D1013,'[2]stock-take'!$A:$E,3,FALSE)), 0, VLOOKUP(D1013,'[2]stock-take'!$A:$E,3,FALSE))</f>
        <v>0</v>
      </c>
      <c r="I1013" s="48" t="str">
        <f>IF(F1013="", " ",IF(ISNA(VLOOKUP(D1013,'[2]stock-take'!$G:$K,4,FALSE)), "OUT OF STOCK", VLOOKUP(D1013,'[2]stock-take'!$G:$K,4,FALSE)))</f>
        <v xml:space="preserve"> </v>
      </c>
      <c r="J1013" s="39">
        <f>IF(ISNA(VLOOKUP(D1013,'[2]stock-take'!$G:$K,3,FALSE)), 0, VLOOKUP(D1013,'[2]stock-take'!$G:$K,3,FALSE))</f>
        <v>0</v>
      </c>
      <c r="K1013" s="49" t="str">
        <f>IF(F1013="", " ", IF(ISNA(VLOOKUP(D1013,'[2]stock-take'!$M:$Q,4,FALSE)), "OUT OF STOCK", VLOOKUP(D1013,'[2]stock-take'!$M:$Q,4,FALSE)))</f>
        <v xml:space="preserve"> </v>
      </c>
      <c r="L1013" s="47">
        <f>IF(ISNA(VLOOKUP(D1013,'[2]stock-take'!$M:$Q,3,FALSE)), 0, VLOOKUP(D1013,'[2]stock-take'!$M:$Q,3,FALSE))</f>
        <v>0</v>
      </c>
      <c r="M1013" s="48" t="str">
        <f t="shared" si="46"/>
        <v xml:space="preserve"> </v>
      </c>
      <c r="N1013" s="39" t="str">
        <f t="shared" si="47"/>
        <v xml:space="preserve"> </v>
      </c>
    </row>
    <row r="1014" spans="1:14">
      <c r="A1014" s="37">
        <f t="shared" si="45"/>
        <v>1003</v>
      </c>
      <c r="G1014" s="48" t="str">
        <f>IF(F1014=""," ",IF(ISNA(VLOOKUP(D1014,'[2]stock-take'!$A:$E,4,FALSE)), "OUT OF STOCK", VLOOKUP(D1014,'[2]stock-take'!$A:$E,4,FALSE)))</f>
        <v xml:space="preserve"> </v>
      </c>
      <c r="H1014" s="48">
        <f>IF(ISNA(VLOOKUP(D1014,'[2]stock-take'!$A:$E,3,FALSE)), 0, VLOOKUP(D1014,'[2]stock-take'!$A:$E,3,FALSE))</f>
        <v>0</v>
      </c>
      <c r="I1014" s="48" t="str">
        <f>IF(F1014="", " ",IF(ISNA(VLOOKUP(D1014,'[2]stock-take'!$G:$K,4,FALSE)), "OUT OF STOCK", VLOOKUP(D1014,'[2]stock-take'!$G:$K,4,FALSE)))</f>
        <v xml:space="preserve"> </v>
      </c>
      <c r="J1014" s="39">
        <f>IF(ISNA(VLOOKUP(D1014,'[2]stock-take'!$G:$K,3,FALSE)), 0, VLOOKUP(D1014,'[2]stock-take'!$G:$K,3,FALSE))</f>
        <v>0</v>
      </c>
      <c r="K1014" s="49" t="str">
        <f>IF(F1014="", " ", IF(ISNA(VLOOKUP(D1014,'[2]stock-take'!$M:$Q,4,FALSE)), "OUT OF STOCK", VLOOKUP(D1014,'[2]stock-take'!$M:$Q,4,FALSE)))</f>
        <v xml:space="preserve"> </v>
      </c>
      <c r="L1014" s="47">
        <f>IF(ISNA(VLOOKUP(D1014,'[2]stock-take'!$M:$Q,3,FALSE)), 0, VLOOKUP(D1014,'[2]stock-take'!$M:$Q,3,FALSE))</f>
        <v>0</v>
      </c>
      <c r="M1014" s="48" t="str">
        <f t="shared" si="46"/>
        <v xml:space="preserve"> </v>
      </c>
      <c r="N1014" s="39" t="str">
        <f t="shared" si="47"/>
        <v xml:space="preserve"> </v>
      </c>
    </row>
    <row r="1015" spans="1:14">
      <c r="A1015" s="37">
        <f t="shared" si="45"/>
        <v>1004</v>
      </c>
      <c r="G1015" s="48" t="str">
        <f>IF(F1015=""," ",IF(ISNA(VLOOKUP(D1015,'[2]stock-take'!$A:$E,4,FALSE)), "OUT OF STOCK", VLOOKUP(D1015,'[2]stock-take'!$A:$E,4,FALSE)))</f>
        <v xml:space="preserve"> </v>
      </c>
      <c r="H1015" s="48">
        <f>IF(ISNA(VLOOKUP(D1015,'[2]stock-take'!$A:$E,3,FALSE)), 0, VLOOKUP(D1015,'[2]stock-take'!$A:$E,3,FALSE))</f>
        <v>0</v>
      </c>
      <c r="I1015" s="48" t="str">
        <f>IF(F1015="", " ",IF(ISNA(VLOOKUP(D1015,'[2]stock-take'!$G:$K,4,FALSE)), "OUT OF STOCK", VLOOKUP(D1015,'[2]stock-take'!$G:$K,4,FALSE)))</f>
        <v xml:space="preserve"> </v>
      </c>
      <c r="J1015" s="39">
        <f>IF(ISNA(VLOOKUP(D1015,'[2]stock-take'!$G:$K,3,FALSE)), 0, VLOOKUP(D1015,'[2]stock-take'!$G:$K,3,FALSE))</f>
        <v>0</v>
      </c>
      <c r="K1015" s="49" t="str">
        <f>IF(F1015="", " ", IF(ISNA(VLOOKUP(D1015,'[2]stock-take'!$M:$Q,4,FALSE)), "OUT OF STOCK", VLOOKUP(D1015,'[2]stock-take'!$M:$Q,4,FALSE)))</f>
        <v xml:space="preserve"> </v>
      </c>
      <c r="L1015" s="47">
        <f>IF(ISNA(VLOOKUP(D1015,'[2]stock-take'!$M:$Q,3,FALSE)), 0, VLOOKUP(D1015,'[2]stock-take'!$M:$Q,3,FALSE))</f>
        <v>0</v>
      </c>
      <c r="M1015" s="48" t="str">
        <f t="shared" si="46"/>
        <v xml:space="preserve"> </v>
      </c>
      <c r="N1015" s="39" t="str">
        <f t="shared" si="47"/>
        <v xml:space="preserve"> </v>
      </c>
    </row>
    <row r="1016" spans="1:14">
      <c r="A1016" s="37">
        <f t="shared" si="45"/>
        <v>1005</v>
      </c>
      <c r="G1016" s="48" t="str">
        <f>IF(F1016=""," ",IF(ISNA(VLOOKUP(D1016,'[2]stock-take'!$A:$E,4,FALSE)), "OUT OF STOCK", VLOOKUP(D1016,'[2]stock-take'!$A:$E,4,FALSE)))</f>
        <v xml:space="preserve"> </v>
      </c>
      <c r="H1016" s="48">
        <f>IF(ISNA(VLOOKUP(D1016,'[2]stock-take'!$A:$E,3,FALSE)), 0, VLOOKUP(D1016,'[2]stock-take'!$A:$E,3,FALSE))</f>
        <v>0</v>
      </c>
      <c r="I1016" s="48" t="str">
        <f>IF(F1016="", " ",IF(ISNA(VLOOKUP(D1016,'[2]stock-take'!$G:$K,4,FALSE)), "OUT OF STOCK", VLOOKUP(D1016,'[2]stock-take'!$G:$K,4,FALSE)))</f>
        <v xml:space="preserve"> </v>
      </c>
      <c r="J1016" s="39">
        <f>IF(ISNA(VLOOKUP(D1016,'[2]stock-take'!$G:$K,3,FALSE)), 0, VLOOKUP(D1016,'[2]stock-take'!$G:$K,3,FALSE))</f>
        <v>0</v>
      </c>
      <c r="K1016" s="49" t="str">
        <f>IF(F1016="", " ", IF(ISNA(VLOOKUP(D1016,'[2]stock-take'!$M:$Q,4,FALSE)), "OUT OF STOCK", VLOOKUP(D1016,'[2]stock-take'!$M:$Q,4,FALSE)))</f>
        <v xml:space="preserve"> </v>
      </c>
      <c r="L1016" s="47">
        <f>IF(ISNA(VLOOKUP(D1016,'[2]stock-take'!$M:$Q,3,FALSE)), 0, VLOOKUP(D1016,'[2]stock-take'!$M:$Q,3,FALSE))</f>
        <v>0</v>
      </c>
      <c r="M1016" s="48" t="str">
        <f t="shared" si="46"/>
        <v xml:space="preserve"> </v>
      </c>
      <c r="N1016" s="39" t="str">
        <f t="shared" si="47"/>
        <v xml:space="preserve"> </v>
      </c>
    </row>
    <row r="1017" spans="1:14">
      <c r="A1017" s="37">
        <f t="shared" si="45"/>
        <v>1006</v>
      </c>
      <c r="G1017" s="48" t="str">
        <f>IF(F1017=""," ",IF(ISNA(VLOOKUP(D1017,'[2]stock-take'!$A:$E,4,FALSE)), "OUT OF STOCK", VLOOKUP(D1017,'[2]stock-take'!$A:$E,4,FALSE)))</f>
        <v xml:space="preserve"> </v>
      </c>
      <c r="H1017" s="48">
        <f>IF(ISNA(VLOOKUP(D1017,'[2]stock-take'!$A:$E,3,FALSE)), 0, VLOOKUP(D1017,'[2]stock-take'!$A:$E,3,FALSE))</f>
        <v>0</v>
      </c>
      <c r="I1017" s="48" t="str">
        <f>IF(F1017="", " ",IF(ISNA(VLOOKUP(D1017,'[2]stock-take'!$G:$K,4,FALSE)), "OUT OF STOCK", VLOOKUP(D1017,'[2]stock-take'!$G:$K,4,FALSE)))</f>
        <v xml:space="preserve"> </v>
      </c>
      <c r="J1017" s="39">
        <f>IF(ISNA(VLOOKUP(D1017,'[2]stock-take'!$G:$K,3,FALSE)), 0, VLOOKUP(D1017,'[2]stock-take'!$G:$K,3,FALSE))</f>
        <v>0</v>
      </c>
      <c r="K1017" s="49" t="str">
        <f>IF(F1017="", " ", IF(ISNA(VLOOKUP(D1017,'[2]stock-take'!$M:$Q,4,FALSE)), "OUT OF STOCK", VLOOKUP(D1017,'[2]stock-take'!$M:$Q,4,FALSE)))</f>
        <v xml:space="preserve"> </v>
      </c>
      <c r="L1017" s="47">
        <f>IF(ISNA(VLOOKUP(D1017,'[2]stock-take'!$M:$Q,3,FALSE)), 0, VLOOKUP(D1017,'[2]stock-take'!$M:$Q,3,FALSE))</f>
        <v>0</v>
      </c>
      <c r="M1017" s="48" t="str">
        <f t="shared" si="46"/>
        <v xml:space="preserve"> </v>
      </c>
      <c r="N1017" s="39" t="str">
        <f t="shared" si="47"/>
        <v xml:space="preserve"> </v>
      </c>
    </row>
    <row r="1018" spans="1:14">
      <c r="A1018" s="37">
        <f t="shared" si="45"/>
        <v>1007</v>
      </c>
      <c r="G1018" s="48" t="str">
        <f>IF(F1018=""," ",IF(ISNA(VLOOKUP(D1018,'[2]stock-take'!$A:$E,4,FALSE)), "OUT OF STOCK", VLOOKUP(D1018,'[2]stock-take'!$A:$E,4,FALSE)))</f>
        <v xml:space="preserve"> </v>
      </c>
      <c r="H1018" s="48">
        <f>IF(ISNA(VLOOKUP(D1018,'[2]stock-take'!$A:$E,3,FALSE)), 0, VLOOKUP(D1018,'[2]stock-take'!$A:$E,3,FALSE))</f>
        <v>0</v>
      </c>
      <c r="I1018" s="48" t="str">
        <f>IF(F1018="", " ",IF(ISNA(VLOOKUP(D1018,'[2]stock-take'!$G:$K,4,FALSE)), "OUT OF STOCK", VLOOKUP(D1018,'[2]stock-take'!$G:$K,4,FALSE)))</f>
        <v xml:space="preserve"> </v>
      </c>
      <c r="J1018" s="39">
        <f>IF(ISNA(VLOOKUP(D1018,'[2]stock-take'!$G:$K,3,FALSE)), 0, VLOOKUP(D1018,'[2]stock-take'!$G:$K,3,FALSE))</f>
        <v>0</v>
      </c>
      <c r="K1018" s="49" t="str">
        <f>IF(F1018="", " ", IF(ISNA(VLOOKUP(D1018,'[2]stock-take'!$M:$Q,4,FALSE)), "OUT OF STOCK", VLOOKUP(D1018,'[2]stock-take'!$M:$Q,4,FALSE)))</f>
        <v xml:space="preserve"> </v>
      </c>
      <c r="L1018" s="47">
        <f>IF(ISNA(VLOOKUP(D1018,'[2]stock-take'!$M:$Q,3,FALSE)), 0, VLOOKUP(D1018,'[2]stock-take'!$M:$Q,3,FALSE))</f>
        <v>0</v>
      </c>
      <c r="M1018" s="48" t="str">
        <f t="shared" si="46"/>
        <v xml:space="preserve"> </v>
      </c>
      <c r="N1018" s="39" t="str">
        <f t="shared" si="47"/>
        <v xml:space="preserve"> </v>
      </c>
    </row>
    <row r="1019" spans="1:14">
      <c r="A1019" s="37">
        <f t="shared" si="45"/>
        <v>1008</v>
      </c>
      <c r="G1019" s="48" t="str">
        <f>IF(F1019=""," ",IF(ISNA(VLOOKUP(D1019,'[2]stock-take'!$A:$E,4,FALSE)), "OUT OF STOCK", VLOOKUP(D1019,'[2]stock-take'!$A:$E,4,FALSE)))</f>
        <v xml:space="preserve"> </v>
      </c>
      <c r="H1019" s="48">
        <f>IF(ISNA(VLOOKUP(D1019,'[2]stock-take'!$A:$E,3,FALSE)), 0, VLOOKUP(D1019,'[2]stock-take'!$A:$E,3,FALSE))</f>
        <v>0</v>
      </c>
      <c r="I1019" s="48" t="str">
        <f>IF(F1019="", " ",IF(ISNA(VLOOKUP(D1019,'[2]stock-take'!$G:$K,4,FALSE)), "OUT OF STOCK", VLOOKUP(D1019,'[2]stock-take'!$G:$K,4,FALSE)))</f>
        <v xml:space="preserve"> </v>
      </c>
      <c r="J1019" s="39">
        <f>IF(ISNA(VLOOKUP(D1019,'[2]stock-take'!$G:$K,3,FALSE)), 0, VLOOKUP(D1019,'[2]stock-take'!$G:$K,3,FALSE))</f>
        <v>0</v>
      </c>
      <c r="K1019" s="49" t="str">
        <f>IF(F1019="", " ", IF(ISNA(VLOOKUP(D1019,'[2]stock-take'!$M:$Q,4,FALSE)), "OUT OF STOCK", VLOOKUP(D1019,'[2]stock-take'!$M:$Q,4,FALSE)))</f>
        <v xml:space="preserve"> </v>
      </c>
      <c r="L1019" s="47">
        <f>IF(ISNA(VLOOKUP(D1019,'[2]stock-take'!$M:$Q,3,FALSE)), 0, VLOOKUP(D1019,'[2]stock-take'!$M:$Q,3,FALSE))</f>
        <v>0</v>
      </c>
      <c r="M1019" s="48" t="str">
        <f t="shared" si="46"/>
        <v xml:space="preserve"> </v>
      </c>
      <c r="N1019" s="39" t="str">
        <f t="shared" si="47"/>
        <v xml:space="preserve"> </v>
      </c>
    </row>
    <row r="1020" spans="1:14">
      <c r="A1020" s="37">
        <f t="shared" si="45"/>
        <v>1009</v>
      </c>
      <c r="G1020" s="48" t="str">
        <f>IF(F1020=""," ",IF(ISNA(VLOOKUP(D1020,'[2]stock-take'!$A:$E,4,FALSE)), "OUT OF STOCK", VLOOKUP(D1020,'[2]stock-take'!$A:$E,4,FALSE)))</f>
        <v xml:space="preserve"> </v>
      </c>
      <c r="H1020" s="48">
        <f>IF(ISNA(VLOOKUP(D1020,'[2]stock-take'!$A:$E,3,FALSE)), 0, VLOOKUP(D1020,'[2]stock-take'!$A:$E,3,FALSE))</f>
        <v>0</v>
      </c>
      <c r="I1020" s="48" t="str">
        <f>IF(F1020="", " ",IF(ISNA(VLOOKUP(D1020,'[2]stock-take'!$G:$K,4,FALSE)), "OUT OF STOCK", VLOOKUP(D1020,'[2]stock-take'!$G:$K,4,FALSE)))</f>
        <v xml:space="preserve"> </v>
      </c>
      <c r="J1020" s="39">
        <f>IF(ISNA(VLOOKUP(D1020,'[2]stock-take'!$G:$K,3,FALSE)), 0, VLOOKUP(D1020,'[2]stock-take'!$G:$K,3,FALSE))</f>
        <v>0</v>
      </c>
      <c r="K1020" s="49" t="str">
        <f>IF(F1020="", " ", IF(ISNA(VLOOKUP(D1020,'[2]stock-take'!$M:$Q,4,FALSE)), "OUT OF STOCK", VLOOKUP(D1020,'[2]stock-take'!$M:$Q,4,FALSE)))</f>
        <v xml:space="preserve"> </v>
      </c>
      <c r="L1020" s="47">
        <f>IF(ISNA(VLOOKUP(D1020,'[2]stock-take'!$M:$Q,3,FALSE)), 0, VLOOKUP(D1020,'[2]stock-take'!$M:$Q,3,FALSE))</f>
        <v>0</v>
      </c>
      <c r="M1020" s="48" t="str">
        <f t="shared" si="46"/>
        <v xml:space="preserve"> </v>
      </c>
      <c r="N1020" s="39" t="str">
        <f t="shared" si="47"/>
        <v xml:space="preserve"> </v>
      </c>
    </row>
    <row r="1021" spans="1:14">
      <c r="A1021" s="37">
        <f t="shared" si="45"/>
        <v>1010</v>
      </c>
      <c r="G1021" s="48" t="str">
        <f>IF(F1021=""," ",IF(ISNA(VLOOKUP(D1021,'[2]stock-take'!$A:$E,4,FALSE)), "OUT OF STOCK", VLOOKUP(D1021,'[2]stock-take'!$A:$E,4,FALSE)))</f>
        <v xml:space="preserve"> </v>
      </c>
      <c r="H1021" s="48">
        <f>IF(ISNA(VLOOKUP(D1021,'[2]stock-take'!$A:$E,3,FALSE)), 0, VLOOKUP(D1021,'[2]stock-take'!$A:$E,3,FALSE))</f>
        <v>0</v>
      </c>
      <c r="I1021" s="48" t="str">
        <f>IF(F1021="", " ",IF(ISNA(VLOOKUP(D1021,'[2]stock-take'!$G:$K,4,FALSE)), "OUT OF STOCK", VLOOKUP(D1021,'[2]stock-take'!$G:$K,4,FALSE)))</f>
        <v xml:space="preserve"> </v>
      </c>
      <c r="J1021" s="39">
        <f>IF(ISNA(VLOOKUP(D1021,'[2]stock-take'!$G:$K,3,FALSE)), 0, VLOOKUP(D1021,'[2]stock-take'!$G:$K,3,FALSE))</f>
        <v>0</v>
      </c>
      <c r="K1021" s="49" t="str">
        <f>IF(F1021="", " ", IF(ISNA(VLOOKUP(D1021,'[2]stock-take'!$M:$Q,4,FALSE)), "OUT OF STOCK", VLOOKUP(D1021,'[2]stock-take'!$M:$Q,4,FALSE)))</f>
        <v xml:space="preserve"> </v>
      </c>
      <c r="L1021" s="47">
        <f>IF(ISNA(VLOOKUP(D1021,'[2]stock-take'!$M:$Q,3,FALSE)), 0, VLOOKUP(D1021,'[2]stock-take'!$M:$Q,3,FALSE))</f>
        <v>0</v>
      </c>
      <c r="M1021" s="48" t="str">
        <f t="shared" si="46"/>
        <v xml:space="preserve"> </v>
      </c>
      <c r="N1021" s="39" t="str">
        <f t="shared" si="47"/>
        <v xml:space="preserve"> </v>
      </c>
    </row>
    <row r="1022" spans="1:14">
      <c r="A1022" s="37">
        <f t="shared" si="45"/>
        <v>1011</v>
      </c>
      <c r="G1022" s="48" t="str">
        <f>IF(F1022=""," ",IF(ISNA(VLOOKUP(D1022,'[2]stock-take'!$A:$E,4,FALSE)), "OUT OF STOCK", VLOOKUP(D1022,'[2]stock-take'!$A:$E,4,FALSE)))</f>
        <v xml:space="preserve"> </v>
      </c>
      <c r="H1022" s="48">
        <f>IF(ISNA(VLOOKUP(D1022,'[2]stock-take'!$A:$E,3,FALSE)), 0, VLOOKUP(D1022,'[2]stock-take'!$A:$E,3,FALSE))</f>
        <v>0</v>
      </c>
      <c r="I1022" s="48" t="str">
        <f>IF(F1022="", " ",IF(ISNA(VLOOKUP(D1022,'[2]stock-take'!$G:$K,4,FALSE)), "OUT OF STOCK", VLOOKUP(D1022,'[2]stock-take'!$G:$K,4,FALSE)))</f>
        <v xml:space="preserve"> </v>
      </c>
      <c r="J1022" s="39">
        <f>IF(ISNA(VLOOKUP(D1022,'[2]stock-take'!$G:$K,3,FALSE)), 0, VLOOKUP(D1022,'[2]stock-take'!$G:$K,3,FALSE))</f>
        <v>0</v>
      </c>
      <c r="K1022" s="49" t="str">
        <f>IF(F1022="", " ", IF(ISNA(VLOOKUP(D1022,'[2]stock-take'!$M:$Q,4,FALSE)), "OUT OF STOCK", VLOOKUP(D1022,'[2]stock-take'!$M:$Q,4,FALSE)))</f>
        <v xml:space="preserve"> </v>
      </c>
      <c r="L1022" s="47">
        <f>IF(ISNA(VLOOKUP(D1022,'[2]stock-take'!$M:$Q,3,FALSE)), 0, VLOOKUP(D1022,'[2]stock-take'!$M:$Q,3,FALSE))</f>
        <v>0</v>
      </c>
      <c r="M1022" s="48" t="str">
        <f t="shared" si="46"/>
        <v xml:space="preserve"> </v>
      </c>
      <c r="N1022" s="39" t="str">
        <f t="shared" si="47"/>
        <v xml:space="preserve"> </v>
      </c>
    </row>
    <row r="1023" spans="1:14">
      <c r="A1023" s="37">
        <f t="shared" si="45"/>
        <v>1012</v>
      </c>
      <c r="G1023" s="48" t="str">
        <f>IF(F1023=""," ",IF(ISNA(VLOOKUP(D1023,'[2]stock-take'!$A:$E,4,FALSE)), "OUT OF STOCK", VLOOKUP(D1023,'[2]stock-take'!$A:$E,4,FALSE)))</f>
        <v xml:space="preserve"> </v>
      </c>
      <c r="H1023" s="48">
        <f>IF(ISNA(VLOOKUP(D1023,'[2]stock-take'!$A:$E,3,FALSE)), 0, VLOOKUP(D1023,'[2]stock-take'!$A:$E,3,FALSE))</f>
        <v>0</v>
      </c>
      <c r="I1023" s="48" t="str">
        <f>IF(F1023="", " ",IF(ISNA(VLOOKUP(D1023,'[2]stock-take'!$G:$K,4,FALSE)), "OUT OF STOCK", VLOOKUP(D1023,'[2]stock-take'!$G:$K,4,FALSE)))</f>
        <v xml:space="preserve"> </v>
      </c>
      <c r="J1023" s="39">
        <f>IF(ISNA(VLOOKUP(D1023,'[2]stock-take'!$G:$K,3,FALSE)), 0, VLOOKUP(D1023,'[2]stock-take'!$G:$K,3,FALSE))</f>
        <v>0</v>
      </c>
      <c r="K1023" s="49" t="str">
        <f>IF(F1023="", " ", IF(ISNA(VLOOKUP(D1023,'[2]stock-take'!$M:$Q,4,FALSE)), "OUT OF STOCK", VLOOKUP(D1023,'[2]stock-take'!$M:$Q,4,FALSE)))</f>
        <v xml:space="preserve"> </v>
      </c>
      <c r="L1023" s="47">
        <f>IF(ISNA(VLOOKUP(D1023,'[2]stock-take'!$M:$Q,3,FALSE)), 0, VLOOKUP(D1023,'[2]stock-take'!$M:$Q,3,FALSE))</f>
        <v>0</v>
      </c>
      <c r="M1023" s="48" t="str">
        <f t="shared" si="46"/>
        <v xml:space="preserve"> </v>
      </c>
      <c r="N1023" s="39" t="str">
        <f t="shared" si="47"/>
        <v xml:space="preserve"> </v>
      </c>
    </row>
    <row r="1024" spans="1:14">
      <c r="A1024" s="37">
        <f t="shared" si="45"/>
        <v>1013</v>
      </c>
      <c r="G1024" s="48" t="str">
        <f>IF(F1024=""," ",IF(ISNA(VLOOKUP(D1024,'[2]stock-take'!$A:$E,4,FALSE)), "OUT OF STOCK", VLOOKUP(D1024,'[2]stock-take'!$A:$E,4,FALSE)))</f>
        <v xml:space="preserve"> </v>
      </c>
      <c r="H1024" s="48">
        <f>IF(ISNA(VLOOKUP(D1024,'[2]stock-take'!$A:$E,3,FALSE)), 0, VLOOKUP(D1024,'[2]stock-take'!$A:$E,3,FALSE))</f>
        <v>0</v>
      </c>
      <c r="I1024" s="48" t="str">
        <f>IF(F1024="", " ",IF(ISNA(VLOOKUP(D1024,'[2]stock-take'!$G:$K,4,FALSE)), "OUT OF STOCK", VLOOKUP(D1024,'[2]stock-take'!$G:$K,4,FALSE)))</f>
        <v xml:space="preserve"> </v>
      </c>
      <c r="J1024" s="39">
        <f>IF(ISNA(VLOOKUP(D1024,'[2]stock-take'!$G:$K,3,FALSE)), 0, VLOOKUP(D1024,'[2]stock-take'!$G:$K,3,FALSE))</f>
        <v>0</v>
      </c>
      <c r="K1024" s="49" t="str">
        <f>IF(F1024="", " ", IF(ISNA(VLOOKUP(D1024,'[2]stock-take'!$M:$Q,4,FALSE)), "OUT OF STOCK", VLOOKUP(D1024,'[2]stock-take'!$M:$Q,4,FALSE)))</f>
        <v xml:space="preserve"> </v>
      </c>
      <c r="L1024" s="47">
        <f>IF(ISNA(VLOOKUP(D1024,'[2]stock-take'!$M:$Q,3,FALSE)), 0, VLOOKUP(D1024,'[2]stock-take'!$M:$Q,3,FALSE))</f>
        <v>0</v>
      </c>
      <c r="M1024" s="48" t="str">
        <f t="shared" si="46"/>
        <v xml:space="preserve"> </v>
      </c>
      <c r="N1024" s="39" t="str">
        <f t="shared" si="47"/>
        <v xml:space="preserve"> </v>
      </c>
    </row>
    <row r="1025" spans="1:14">
      <c r="A1025" s="37">
        <f t="shared" si="45"/>
        <v>1014</v>
      </c>
      <c r="G1025" s="48" t="str">
        <f>IF(F1025=""," ",IF(ISNA(VLOOKUP(D1025,'[2]stock-take'!$A:$E,4,FALSE)), "OUT OF STOCK", VLOOKUP(D1025,'[2]stock-take'!$A:$E,4,FALSE)))</f>
        <v xml:space="preserve"> </v>
      </c>
      <c r="H1025" s="48">
        <f>IF(ISNA(VLOOKUP(D1025,'[2]stock-take'!$A:$E,3,FALSE)), 0, VLOOKUP(D1025,'[2]stock-take'!$A:$E,3,FALSE))</f>
        <v>0</v>
      </c>
      <c r="I1025" s="48" t="str">
        <f>IF(F1025="", " ",IF(ISNA(VLOOKUP(D1025,'[2]stock-take'!$G:$K,4,FALSE)), "OUT OF STOCK", VLOOKUP(D1025,'[2]stock-take'!$G:$K,4,FALSE)))</f>
        <v xml:space="preserve"> </v>
      </c>
      <c r="J1025" s="39">
        <f>IF(ISNA(VLOOKUP(D1025,'[2]stock-take'!$G:$K,3,FALSE)), 0, VLOOKUP(D1025,'[2]stock-take'!$G:$K,3,FALSE))</f>
        <v>0</v>
      </c>
      <c r="K1025" s="49" t="str">
        <f>IF(F1025="", " ", IF(ISNA(VLOOKUP(D1025,'[2]stock-take'!$M:$Q,4,FALSE)), "OUT OF STOCK", VLOOKUP(D1025,'[2]stock-take'!$M:$Q,4,FALSE)))</f>
        <v xml:space="preserve"> </v>
      </c>
      <c r="L1025" s="47">
        <f>IF(ISNA(VLOOKUP(D1025,'[2]stock-take'!$M:$Q,3,FALSE)), 0, VLOOKUP(D1025,'[2]stock-take'!$M:$Q,3,FALSE))</f>
        <v>0</v>
      </c>
      <c r="M1025" s="48" t="str">
        <f t="shared" si="46"/>
        <v xml:space="preserve"> </v>
      </c>
      <c r="N1025" s="39" t="str">
        <f t="shared" si="47"/>
        <v xml:space="preserve"> </v>
      </c>
    </row>
    <row r="1026" spans="1:14">
      <c r="A1026" s="37">
        <f t="shared" si="45"/>
        <v>1015</v>
      </c>
      <c r="G1026" s="48" t="str">
        <f>IF(F1026=""," ",IF(ISNA(VLOOKUP(D1026,'[2]stock-take'!$A:$E,4,FALSE)), "OUT OF STOCK", VLOOKUP(D1026,'[2]stock-take'!$A:$E,4,FALSE)))</f>
        <v xml:space="preserve"> </v>
      </c>
      <c r="H1026" s="48">
        <f>IF(ISNA(VLOOKUP(D1026,'[2]stock-take'!$A:$E,3,FALSE)), 0, VLOOKUP(D1026,'[2]stock-take'!$A:$E,3,FALSE))</f>
        <v>0</v>
      </c>
      <c r="I1026" s="48" t="str">
        <f>IF(F1026="", " ",IF(ISNA(VLOOKUP(D1026,'[2]stock-take'!$G:$K,4,FALSE)), "OUT OF STOCK", VLOOKUP(D1026,'[2]stock-take'!$G:$K,4,FALSE)))</f>
        <v xml:space="preserve"> </v>
      </c>
      <c r="J1026" s="39">
        <f>IF(ISNA(VLOOKUP(D1026,'[2]stock-take'!$G:$K,3,FALSE)), 0, VLOOKUP(D1026,'[2]stock-take'!$G:$K,3,FALSE))</f>
        <v>0</v>
      </c>
      <c r="K1026" s="49" t="str">
        <f>IF(F1026="", " ", IF(ISNA(VLOOKUP(D1026,'[2]stock-take'!$M:$Q,4,FALSE)), "OUT OF STOCK", VLOOKUP(D1026,'[2]stock-take'!$M:$Q,4,FALSE)))</f>
        <v xml:space="preserve"> </v>
      </c>
      <c r="L1026" s="47">
        <f>IF(ISNA(VLOOKUP(D1026,'[2]stock-take'!$M:$Q,3,FALSE)), 0, VLOOKUP(D1026,'[2]stock-take'!$M:$Q,3,FALSE))</f>
        <v>0</v>
      </c>
      <c r="M1026" s="48" t="str">
        <f t="shared" si="46"/>
        <v xml:space="preserve"> </v>
      </c>
      <c r="N1026" s="39" t="str">
        <f t="shared" si="47"/>
        <v xml:space="preserve"> </v>
      </c>
    </row>
    <row r="1027" spans="1:14">
      <c r="A1027" s="37">
        <f t="shared" si="45"/>
        <v>1016</v>
      </c>
      <c r="G1027" s="48" t="str">
        <f>IF(F1027=""," ",IF(ISNA(VLOOKUP(D1027,'[2]stock-take'!$A:$E,4,FALSE)), "OUT OF STOCK", VLOOKUP(D1027,'[2]stock-take'!$A:$E,4,FALSE)))</f>
        <v xml:space="preserve"> </v>
      </c>
      <c r="H1027" s="48">
        <f>IF(ISNA(VLOOKUP(D1027,'[2]stock-take'!$A:$E,3,FALSE)), 0, VLOOKUP(D1027,'[2]stock-take'!$A:$E,3,FALSE))</f>
        <v>0</v>
      </c>
      <c r="I1027" s="48" t="str">
        <f>IF(F1027="", " ",IF(ISNA(VLOOKUP(D1027,'[2]stock-take'!$G:$K,4,FALSE)), "OUT OF STOCK", VLOOKUP(D1027,'[2]stock-take'!$G:$K,4,FALSE)))</f>
        <v xml:space="preserve"> </v>
      </c>
      <c r="J1027" s="39">
        <f>IF(ISNA(VLOOKUP(D1027,'[2]stock-take'!$G:$K,3,FALSE)), 0, VLOOKUP(D1027,'[2]stock-take'!$G:$K,3,FALSE))</f>
        <v>0</v>
      </c>
      <c r="K1027" s="49" t="str">
        <f>IF(F1027="", " ", IF(ISNA(VLOOKUP(D1027,'[2]stock-take'!$M:$Q,4,FALSE)), "OUT OF STOCK", VLOOKUP(D1027,'[2]stock-take'!$M:$Q,4,FALSE)))</f>
        <v xml:space="preserve"> </v>
      </c>
      <c r="L1027" s="47">
        <f>IF(ISNA(VLOOKUP(D1027,'[2]stock-take'!$M:$Q,3,FALSE)), 0, VLOOKUP(D1027,'[2]stock-take'!$M:$Q,3,FALSE))</f>
        <v>0</v>
      </c>
      <c r="M1027" s="48" t="str">
        <f t="shared" si="46"/>
        <v xml:space="preserve"> </v>
      </c>
      <c r="N1027" s="39" t="str">
        <f t="shared" si="47"/>
        <v xml:space="preserve"> </v>
      </c>
    </row>
    <row r="1028" spans="1:14">
      <c r="A1028" s="37">
        <f t="shared" si="45"/>
        <v>1017</v>
      </c>
      <c r="G1028" s="48" t="str">
        <f>IF(F1028=""," ",IF(ISNA(VLOOKUP(D1028,'[2]stock-take'!$A:$E,4,FALSE)), "OUT OF STOCK", VLOOKUP(D1028,'[2]stock-take'!$A:$E,4,FALSE)))</f>
        <v xml:space="preserve"> </v>
      </c>
      <c r="H1028" s="48">
        <f>IF(ISNA(VLOOKUP(D1028,'[2]stock-take'!$A:$E,3,FALSE)), 0, VLOOKUP(D1028,'[2]stock-take'!$A:$E,3,FALSE))</f>
        <v>0</v>
      </c>
      <c r="I1028" s="48" t="str">
        <f>IF(F1028="", " ",IF(ISNA(VLOOKUP(D1028,'[2]stock-take'!$G:$K,4,FALSE)), "OUT OF STOCK", VLOOKUP(D1028,'[2]stock-take'!$G:$K,4,FALSE)))</f>
        <v xml:space="preserve"> </v>
      </c>
      <c r="J1028" s="39">
        <f>IF(ISNA(VLOOKUP(D1028,'[2]stock-take'!$G:$K,3,FALSE)), 0, VLOOKUP(D1028,'[2]stock-take'!$G:$K,3,FALSE))</f>
        <v>0</v>
      </c>
      <c r="K1028" s="49" t="str">
        <f>IF(F1028="", " ", IF(ISNA(VLOOKUP(D1028,'[2]stock-take'!$M:$Q,4,FALSE)), "OUT OF STOCK", VLOOKUP(D1028,'[2]stock-take'!$M:$Q,4,FALSE)))</f>
        <v xml:space="preserve"> </v>
      </c>
      <c r="L1028" s="47">
        <f>IF(ISNA(VLOOKUP(D1028,'[2]stock-take'!$M:$Q,3,FALSE)), 0, VLOOKUP(D1028,'[2]stock-take'!$M:$Q,3,FALSE))</f>
        <v>0</v>
      </c>
      <c r="M1028" s="48" t="str">
        <f t="shared" si="46"/>
        <v xml:space="preserve"> </v>
      </c>
      <c r="N1028" s="39" t="str">
        <f t="shared" si="47"/>
        <v xml:space="preserve"> </v>
      </c>
    </row>
    <row r="1029" spans="1:14">
      <c r="A1029" s="37">
        <f t="shared" si="45"/>
        <v>1018</v>
      </c>
      <c r="G1029" s="48" t="str">
        <f>IF(F1029=""," ",IF(ISNA(VLOOKUP(D1029,'[2]stock-take'!$A:$E,4,FALSE)), "OUT OF STOCK", VLOOKUP(D1029,'[2]stock-take'!$A:$E,4,FALSE)))</f>
        <v xml:space="preserve"> </v>
      </c>
      <c r="H1029" s="48">
        <f>IF(ISNA(VLOOKUP(D1029,'[2]stock-take'!$A:$E,3,FALSE)), 0, VLOOKUP(D1029,'[2]stock-take'!$A:$E,3,FALSE))</f>
        <v>0</v>
      </c>
      <c r="I1029" s="48" t="str">
        <f>IF(F1029="", " ",IF(ISNA(VLOOKUP(D1029,'[2]stock-take'!$G:$K,4,FALSE)), "OUT OF STOCK", VLOOKUP(D1029,'[2]stock-take'!$G:$K,4,FALSE)))</f>
        <v xml:space="preserve"> </v>
      </c>
      <c r="J1029" s="39">
        <f>IF(ISNA(VLOOKUP(D1029,'[2]stock-take'!$G:$K,3,FALSE)), 0, VLOOKUP(D1029,'[2]stock-take'!$G:$K,3,FALSE))</f>
        <v>0</v>
      </c>
      <c r="K1029" s="49" t="str">
        <f>IF(F1029="", " ", IF(ISNA(VLOOKUP(D1029,'[2]stock-take'!$M:$Q,4,FALSE)), "OUT OF STOCK", VLOOKUP(D1029,'[2]stock-take'!$M:$Q,4,FALSE)))</f>
        <v xml:space="preserve"> </v>
      </c>
      <c r="L1029" s="47">
        <f>IF(ISNA(VLOOKUP(D1029,'[2]stock-take'!$M:$Q,3,FALSE)), 0, VLOOKUP(D1029,'[2]stock-take'!$M:$Q,3,FALSE))</f>
        <v>0</v>
      </c>
      <c r="M1029" s="48" t="str">
        <f t="shared" si="46"/>
        <v xml:space="preserve"> </v>
      </c>
      <c r="N1029" s="39" t="str">
        <f t="shared" si="47"/>
        <v xml:space="preserve"> </v>
      </c>
    </row>
    <row r="1030" spans="1:14">
      <c r="A1030" s="37">
        <f t="shared" si="45"/>
        <v>1019</v>
      </c>
      <c r="G1030" s="48" t="str">
        <f>IF(F1030=""," ",IF(ISNA(VLOOKUP(D1030,'[2]stock-take'!$A:$E,4,FALSE)), "OUT OF STOCK", VLOOKUP(D1030,'[2]stock-take'!$A:$E,4,FALSE)))</f>
        <v xml:space="preserve"> </v>
      </c>
      <c r="H1030" s="48">
        <f>IF(ISNA(VLOOKUP(D1030,'[2]stock-take'!$A:$E,3,FALSE)), 0, VLOOKUP(D1030,'[2]stock-take'!$A:$E,3,FALSE))</f>
        <v>0</v>
      </c>
      <c r="I1030" s="48" t="str">
        <f>IF(F1030="", " ",IF(ISNA(VLOOKUP(D1030,'[2]stock-take'!$G:$K,4,FALSE)), "OUT OF STOCK", VLOOKUP(D1030,'[2]stock-take'!$G:$K,4,FALSE)))</f>
        <v xml:space="preserve"> </v>
      </c>
      <c r="J1030" s="39">
        <f>IF(ISNA(VLOOKUP(D1030,'[2]stock-take'!$G:$K,3,FALSE)), 0, VLOOKUP(D1030,'[2]stock-take'!$G:$K,3,FALSE))</f>
        <v>0</v>
      </c>
      <c r="K1030" s="49" t="str">
        <f>IF(F1030="", " ", IF(ISNA(VLOOKUP(D1030,'[2]stock-take'!$M:$Q,4,FALSE)), "OUT OF STOCK", VLOOKUP(D1030,'[2]stock-take'!$M:$Q,4,FALSE)))</f>
        <v xml:space="preserve"> </v>
      </c>
      <c r="L1030" s="47">
        <f>IF(ISNA(VLOOKUP(D1030,'[2]stock-take'!$M:$Q,3,FALSE)), 0, VLOOKUP(D1030,'[2]stock-take'!$M:$Q,3,FALSE))</f>
        <v>0</v>
      </c>
      <c r="M1030" s="48" t="str">
        <f t="shared" si="46"/>
        <v xml:space="preserve"> </v>
      </c>
      <c r="N1030" s="39" t="str">
        <f t="shared" si="47"/>
        <v xml:space="preserve"> </v>
      </c>
    </row>
    <row r="1031" spans="1:14">
      <c r="A1031" s="37">
        <f t="shared" si="45"/>
        <v>1020</v>
      </c>
      <c r="G1031" s="48" t="str">
        <f>IF(F1031=""," ",IF(ISNA(VLOOKUP(D1031,'[2]stock-take'!$A:$E,4,FALSE)), "OUT OF STOCK", VLOOKUP(D1031,'[2]stock-take'!$A:$E,4,FALSE)))</f>
        <v xml:space="preserve"> </v>
      </c>
      <c r="H1031" s="48">
        <f>IF(ISNA(VLOOKUP(D1031,'[2]stock-take'!$A:$E,3,FALSE)), 0, VLOOKUP(D1031,'[2]stock-take'!$A:$E,3,FALSE))</f>
        <v>0</v>
      </c>
      <c r="I1031" s="48" t="str">
        <f>IF(F1031="", " ",IF(ISNA(VLOOKUP(D1031,'[2]stock-take'!$G:$K,4,FALSE)), "OUT OF STOCK", VLOOKUP(D1031,'[2]stock-take'!$G:$K,4,FALSE)))</f>
        <v xml:space="preserve"> </v>
      </c>
      <c r="J1031" s="39">
        <f>IF(ISNA(VLOOKUP(D1031,'[2]stock-take'!$G:$K,3,FALSE)), 0, VLOOKUP(D1031,'[2]stock-take'!$G:$K,3,FALSE))</f>
        <v>0</v>
      </c>
      <c r="K1031" s="49" t="str">
        <f>IF(F1031="", " ", IF(ISNA(VLOOKUP(D1031,'[2]stock-take'!$M:$Q,4,FALSE)), "OUT OF STOCK", VLOOKUP(D1031,'[2]stock-take'!$M:$Q,4,FALSE)))</f>
        <v xml:space="preserve"> </v>
      </c>
      <c r="L1031" s="47">
        <f>IF(ISNA(VLOOKUP(D1031,'[2]stock-take'!$M:$Q,3,FALSE)), 0, VLOOKUP(D1031,'[2]stock-take'!$M:$Q,3,FALSE))</f>
        <v>0</v>
      </c>
      <c r="M1031" s="48" t="str">
        <f t="shared" si="46"/>
        <v xml:space="preserve"> </v>
      </c>
      <c r="N1031" s="39" t="str">
        <f t="shared" si="47"/>
        <v xml:space="preserve"> </v>
      </c>
    </row>
    <row r="1032" spans="1:14">
      <c r="A1032" s="37">
        <f t="shared" si="45"/>
        <v>1021</v>
      </c>
      <c r="G1032" s="48" t="str">
        <f>IF(F1032=""," ",IF(ISNA(VLOOKUP(D1032,'[2]stock-take'!$A:$E,4,FALSE)), "OUT OF STOCK", VLOOKUP(D1032,'[2]stock-take'!$A:$E,4,FALSE)))</f>
        <v xml:space="preserve"> </v>
      </c>
      <c r="H1032" s="48">
        <f>IF(ISNA(VLOOKUP(D1032,'[2]stock-take'!$A:$E,3,FALSE)), 0, VLOOKUP(D1032,'[2]stock-take'!$A:$E,3,FALSE))</f>
        <v>0</v>
      </c>
      <c r="I1032" s="48" t="str">
        <f>IF(F1032="", " ",IF(ISNA(VLOOKUP(D1032,'[2]stock-take'!$G:$K,4,FALSE)), "OUT OF STOCK", VLOOKUP(D1032,'[2]stock-take'!$G:$K,4,FALSE)))</f>
        <v xml:space="preserve"> </v>
      </c>
      <c r="J1032" s="39">
        <f>IF(ISNA(VLOOKUP(D1032,'[2]stock-take'!$G:$K,3,FALSE)), 0, VLOOKUP(D1032,'[2]stock-take'!$G:$K,3,FALSE))</f>
        <v>0</v>
      </c>
      <c r="K1032" s="49" t="str">
        <f>IF(F1032="", " ", IF(ISNA(VLOOKUP(D1032,'[2]stock-take'!$M:$Q,4,FALSE)), "OUT OF STOCK", VLOOKUP(D1032,'[2]stock-take'!$M:$Q,4,FALSE)))</f>
        <v xml:space="preserve"> </v>
      </c>
      <c r="L1032" s="47">
        <f>IF(ISNA(VLOOKUP(D1032,'[2]stock-take'!$M:$Q,3,FALSE)), 0, VLOOKUP(D1032,'[2]stock-take'!$M:$Q,3,FALSE))</f>
        <v>0</v>
      </c>
      <c r="M1032" s="48" t="str">
        <f t="shared" si="46"/>
        <v xml:space="preserve"> </v>
      </c>
      <c r="N1032" s="39" t="str">
        <f t="shared" si="47"/>
        <v xml:space="preserve"> </v>
      </c>
    </row>
    <row r="1033" spans="1:14">
      <c r="A1033" s="37">
        <f t="shared" si="45"/>
        <v>1022</v>
      </c>
      <c r="G1033" s="48" t="str">
        <f>IF(F1033=""," ",IF(ISNA(VLOOKUP(D1033,'[2]stock-take'!$A:$E,4,FALSE)), "OUT OF STOCK", VLOOKUP(D1033,'[2]stock-take'!$A:$E,4,FALSE)))</f>
        <v xml:space="preserve"> </v>
      </c>
      <c r="H1033" s="48">
        <f>IF(ISNA(VLOOKUP(D1033,'[2]stock-take'!$A:$E,3,FALSE)), 0, VLOOKUP(D1033,'[2]stock-take'!$A:$E,3,FALSE))</f>
        <v>0</v>
      </c>
      <c r="I1033" s="48" t="str">
        <f>IF(F1033="", " ",IF(ISNA(VLOOKUP(D1033,'[2]stock-take'!$G:$K,4,FALSE)), "OUT OF STOCK", VLOOKUP(D1033,'[2]stock-take'!$G:$K,4,FALSE)))</f>
        <v xml:space="preserve"> </v>
      </c>
      <c r="J1033" s="39">
        <f>IF(ISNA(VLOOKUP(D1033,'[2]stock-take'!$G:$K,3,FALSE)), 0, VLOOKUP(D1033,'[2]stock-take'!$G:$K,3,FALSE))</f>
        <v>0</v>
      </c>
      <c r="K1033" s="49" t="str">
        <f>IF(F1033="", " ", IF(ISNA(VLOOKUP(D1033,'[2]stock-take'!$M:$Q,4,FALSE)), "OUT OF STOCK", VLOOKUP(D1033,'[2]stock-take'!$M:$Q,4,FALSE)))</f>
        <v xml:space="preserve"> </v>
      </c>
      <c r="L1033" s="47">
        <f>IF(ISNA(VLOOKUP(D1033,'[2]stock-take'!$M:$Q,3,FALSE)), 0, VLOOKUP(D1033,'[2]stock-take'!$M:$Q,3,FALSE))</f>
        <v>0</v>
      </c>
      <c r="M1033" s="48" t="str">
        <f t="shared" si="46"/>
        <v xml:space="preserve"> </v>
      </c>
      <c r="N1033" s="39" t="str">
        <f t="shared" si="47"/>
        <v xml:space="preserve"> </v>
      </c>
    </row>
    <row r="1034" spans="1:14">
      <c r="A1034" s="37">
        <f t="shared" si="45"/>
        <v>1023</v>
      </c>
      <c r="G1034" s="48" t="str">
        <f>IF(F1034=""," ",IF(ISNA(VLOOKUP(D1034,'[2]stock-take'!$A:$E,4,FALSE)), "OUT OF STOCK", VLOOKUP(D1034,'[2]stock-take'!$A:$E,4,FALSE)))</f>
        <v xml:space="preserve"> </v>
      </c>
      <c r="H1034" s="48">
        <f>IF(ISNA(VLOOKUP(D1034,'[2]stock-take'!$A:$E,3,FALSE)), 0, VLOOKUP(D1034,'[2]stock-take'!$A:$E,3,FALSE))</f>
        <v>0</v>
      </c>
      <c r="I1034" s="48" t="str">
        <f>IF(F1034="", " ",IF(ISNA(VLOOKUP(D1034,'[2]stock-take'!$G:$K,4,FALSE)), "OUT OF STOCK", VLOOKUP(D1034,'[2]stock-take'!$G:$K,4,FALSE)))</f>
        <v xml:space="preserve"> </v>
      </c>
      <c r="J1034" s="39">
        <f>IF(ISNA(VLOOKUP(D1034,'[2]stock-take'!$G:$K,3,FALSE)), 0, VLOOKUP(D1034,'[2]stock-take'!$G:$K,3,FALSE))</f>
        <v>0</v>
      </c>
      <c r="K1034" s="49" t="str">
        <f>IF(F1034="", " ", IF(ISNA(VLOOKUP(D1034,'[2]stock-take'!$M:$Q,4,FALSE)), "OUT OF STOCK", VLOOKUP(D1034,'[2]stock-take'!$M:$Q,4,FALSE)))</f>
        <v xml:space="preserve"> </v>
      </c>
      <c r="L1034" s="47">
        <f>IF(ISNA(VLOOKUP(D1034,'[2]stock-take'!$M:$Q,3,FALSE)), 0, VLOOKUP(D1034,'[2]stock-take'!$M:$Q,3,FALSE))</f>
        <v>0</v>
      </c>
      <c r="M1034" s="48" t="str">
        <f t="shared" si="46"/>
        <v xml:space="preserve"> </v>
      </c>
      <c r="N1034" s="39" t="str">
        <f t="shared" si="47"/>
        <v xml:space="preserve"> </v>
      </c>
    </row>
    <row r="1035" spans="1:14">
      <c r="A1035" s="37">
        <f t="shared" si="45"/>
        <v>1024</v>
      </c>
      <c r="G1035" s="48" t="str">
        <f>IF(F1035=""," ",IF(ISNA(VLOOKUP(D1035,'[2]stock-take'!$A:$E,4,FALSE)), "OUT OF STOCK", VLOOKUP(D1035,'[2]stock-take'!$A:$E,4,FALSE)))</f>
        <v xml:space="preserve"> </v>
      </c>
      <c r="H1035" s="48">
        <f>IF(ISNA(VLOOKUP(D1035,'[2]stock-take'!$A:$E,3,FALSE)), 0, VLOOKUP(D1035,'[2]stock-take'!$A:$E,3,FALSE))</f>
        <v>0</v>
      </c>
      <c r="I1035" s="48" t="str">
        <f>IF(F1035="", " ",IF(ISNA(VLOOKUP(D1035,'[2]stock-take'!$G:$K,4,FALSE)), "OUT OF STOCK", VLOOKUP(D1035,'[2]stock-take'!$G:$K,4,FALSE)))</f>
        <v xml:space="preserve"> </v>
      </c>
      <c r="J1035" s="39">
        <f>IF(ISNA(VLOOKUP(D1035,'[2]stock-take'!$G:$K,3,FALSE)), 0, VLOOKUP(D1035,'[2]stock-take'!$G:$K,3,FALSE))</f>
        <v>0</v>
      </c>
      <c r="K1035" s="49" t="str">
        <f>IF(F1035="", " ", IF(ISNA(VLOOKUP(D1035,'[2]stock-take'!$M:$Q,4,FALSE)), "OUT OF STOCK", VLOOKUP(D1035,'[2]stock-take'!$M:$Q,4,FALSE)))</f>
        <v xml:space="preserve"> </v>
      </c>
      <c r="L1035" s="47">
        <f>IF(ISNA(VLOOKUP(D1035,'[2]stock-take'!$M:$Q,3,FALSE)), 0, VLOOKUP(D1035,'[2]stock-take'!$M:$Q,3,FALSE))</f>
        <v>0</v>
      </c>
      <c r="M1035" s="48" t="str">
        <f t="shared" si="46"/>
        <v xml:space="preserve"> </v>
      </c>
      <c r="N1035" s="39" t="str">
        <f t="shared" si="47"/>
        <v xml:space="preserve"> </v>
      </c>
    </row>
    <row r="1036" spans="1:14">
      <c r="A1036" s="37">
        <f t="shared" ref="A1036:A1099" si="48">ROW(A1036)-11</f>
        <v>1025</v>
      </c>
      <c r="G1036" s="48" t="str">
        <f>IF(F1036=""," ",IF(ISNA(VLOOKUP(D1036,'[2]stock-take'!$A:$E,4,FALSE)), "OUT OF STOCK", VLOOKUP(D1036,'[2]stock-take'!$A:$E,4,FALSE)))</f>
        <v xml:space="preserve"> </v>
      </c>
      <c r="H1036" s="48">
        <f>IF(ISNA(VLOOKUP(D1036,'[2]stock-take'!$A:$E,3,FALSE)), 0, VLOOKUP(D1036,'[2]stock-take'!$A:$E,3,FALSE))</f>
        <v>0</v>
      </c>
      <c r="I1036" s="48" t="str">
        <f>IF(F1036="", " ",IF(ISNA(VLOOKUP(D1036,'[2]stock-take'!$G:$K,4,FALSE)), "OUT OF STOCK", VLOOKUP(D1036,'[2]stock-take'!$G:$K,4,FALSE)))</f>
        <v xml:space="preserve"> </v>
      </c>
      <c r="J1036" s="39">
        <f>IF(ISNA(VLOOKUP(D1036,'[2]stock-take'!$G:$K,3,FALSE)), 0, VLOOKUP(D1036,'[2]stock-take'!$G:$K,3,FALSE))</f>
        <v>0</v>
      </c>
      <c r="K1036" s="49" t="str">
        <f>IF(F1036="", " ", IF(ISNA(VLOOKUP(D1036,'[2]stock-take'!$M:$Q,4,FALSE)), "OUT OF STOCK", VLOOKUP(D1036,'[2]stock-take'!$M:$Q,4,FALSE)))</f>
        <v xml:space="preserve"> </v>
      </c>
      <c r="L1036" s="47">
        <f>IF(ISNA(VLOOKUP(D1036,'[2]stock-take'!$M:$Q,3,FALSE)), 0, VLOOKUP(D1036,'[2]stock-take'!$M:$Q,3,FALSE))</f>
        <v>0</v>
      </c>
      <c r="M1036" s="48" t="str">
        <f t="shared" si="46"/>
        <v xml:space="preserve"> </v>
      </c>
      <c r="N1036" s="39" t="str">
        <f t="shared" si="47"/>
        <v xml:space="preserve"> </v>
      </c>
    </row>
    <row r="1037" spans="1:14">
      <c r="A1037" s="37">
        <f t="shared" si="48"/>
        <v>1026</v>
      </c>
      <c r="G1037" s="48" t="str">
        <f>IF(F1037=""," ",IF(ISNA(VLOOKUP(D1037,'[2]stock-take'!$A:$E,4,FALSE)), "OUT OF STOCK", VLOOKUP(D1037,'[2]stock-take'!$A:$E,4,FALSE)))</f>
        <v xml:space="preserve"> </v>
      </c>
      <c r="H1037" s="48">
        <f>IF(ISNA(VLOOKUP(D1037,'[2]stock-take'!$A:$E,3,FALSE)), 0, VLOOKUP(D1037,'[2]stock-take'!$A:$E,3,FALSE))</f>
        <v>0</v>
      </c>
      <c r="I1037" s="48" t="str">
        <f>IF(F1037="", " ",IF(ISNA(VLOOKUP(D1037,'[2]stock-take'!$G:$K,4,FALSE)), "OUT OF STOCK", VLOOKUP(D1037,'[2]stock-take'!$G:$K,4,FALSE)))</f>
        <v xml:space="preserve"> </v>
      </c>
      <c r="J1037" s="39">
        <f>IF(ISNA(VLOOKUP(D1037,'[2]stock-take'!$G:$K,3,FALSE)), 0, VLOOKUP(D1037,'[2]stock-take'!$G:$K,3,FALSE))</f>
        <v>0</v>
      </c>
      <c r="K1037" s="49" t="str">
        <f>IF(F1037="", " ", IF(ISNA(VLOOKUP(D1037,'[2]stock-take'!$M:$Q,4,FALSE)), "OUT OF STOCK", VLOOKUP(D1037,'[2]stock-take'!$M:$Q,4,FALSE)))</f>
        <v xml:space="preserve"> </v>
      </c>
      <c r="L1037" s="47">
        <f>IF(ISNA(VLOOKUP(D1037,'[2]stock-take'!$M:$Q,3,FALSE)), 0, VLOOKUP(D1037,'[2]stock-take'!$M:$Q,3,FALSE))</f>
        <v>0</v>
      </c>
      <c r="M1037" s="48" t="str">
        <f t="shared" ref="M1037:M1100" si="49">IF(F1037=""," ",IF(H1037&gt;=F1037,"Y",IF(J1037&gt;=F1037,"Y",IF(L1037&gt;=F1037,"Y",IF(SUM(H1037,J1037,L1037)&gt;=F1037,"Y","N")))))</f>
        <v xml:space="preserve"> </v>
      </c>
      <c r="N1037" s="39" t="str">
        <f t="shared" ref="N1037:N1100" si="50">IF(F1037=""," ",IF(H1037&gt;=F1037,"ILOOM",IF(J1037&gt;=F1037,"NO.6",IF(L1037&gt;=F1037,"RMD",IF(SUM(H1037,J1037,L1037)&gt;=F1037,"MULTI","LACK")))))</f>
        <v xml:space="preserve"> </v>
      </c>
    </row>
    <row r="1038" spans="1:14">
      <c r="A1038" s="37">
        <f t="shared" si="48"/>
        <v>1027</v>
      </c>
      <c r="G1038" s="48" t="str">
        <f>IF(F1038=""," ",IF(ISNA(VLOOKUP(D1038,'[2]stock-take'!$A:$E,4,FALSE)), "OUT OF STOCK", VLOOKUP(D1038,'[2]stock-take'!$A:$E,4,FALSE)))</f>
        <v xml:space="preserve"> </v>
      </c>
      <c r="H1038" s="48">
        <f>IF(ISNA(VLOOKUP(D1038,'[2]stock-take'!$A:$E,3,FALSE)), 0, VLOOKUP(D1038,'[2]stock-take'!$A:$E,3,FALSE))</f>
        <v>0</v>
      </c>
      <c r="I1038" s="48" t="str">
        <f>IF(F1038="", " ",IF(ISNA(VLOOKUP(D1038,'[2]stock-take'!$G:$K,4,FALSE)), "OUT OF STOCK", VLOOKUP(D1038,'[2]stock-take'!$G:$K,4,FALSE)))</f>
        <v xml:space="preserve"> </v>
      </c>
      <c r="J1038" s="39">
        <f>IF(ISNA(VLOOKUP(D1038,'[2]stock-take'!$G:$K,3,FALSE)), 0, VLOOKUP(D1038,'[2]stock-take'!$G:$K,3,FALSE))</f>
        <v>0</v>
      </c>
      <c r="K1038" s="49" t="str">
        <f>IF(F1038="", " ", IF(ISNA(VLOOKUP(D1038,'[2]stock-take'!$M:$Q,4,FALSE)), "OUT OF STOCK", VLOOKUP(D1038,'[2]stock-take'!$M:$Q,4,FALSE)))</f>
        <v xml:space="preserve"> </v>
      </c>
      <c r="L1038" s="47">
        <f>IF(ISNA(VLOOKUP(D1038,'[2]stock-take'!$M:$Q,3,FALSE)), 0, VLOOKUP(D1038,'[2]stock-take'!$M:$Q,3,FALSE))</f>
        <v>0</v>
      </c>
      <c r="M1038" s="48" t="str">
        <f t="shared" si="49"/>
        <v xml:space="preserve"> </v>
      </c>
      <c r="N1038" s="39" t="str">
        <f t="shared" si="50"/>
        <v xml:space="preserve"> </v>
      </c>
    </row>
    <row r="1039" spans="1:14">
      <c r="A1039" s="37">
        <f t="shared" si="48"/>
        <v>1028</v>
      </c>
      <c r="G1039" s="48" t="str">
        <f>IF(F1039=""," ",IF(ISNA(VLOOKUP(D1039,'[2]stock-take'!$A:$E,4,FALSE)), "OUT OF STOCK", VLOOKUP(D1039,'[2]stock-take'!$A:$E,4,FALSE)))</f>
        <v xml:space="preserve"> </v>
      </c>
      <c r="H1039" s="48">
        <f>IF(ISNA(VLOOKUP(D1039,'[2]stock-take'!$A:$E,3,FALSE)), 0, VLOOKUP(D1039,'[2]stock-take'!$A:$E,3,FALSE))</f>
        <v>0</v>
      </c>
      <c r="I1039" s="48" t="str">
        <f>IF(F1039="", " ",IF(ISNA(VLOOKUP(D1039,'[2]stock-take'!$G:$K,4,FALSE)), "OUT OF STOCK", VLOOKUP(D1039,'[2]stock-take'!$G:$K,4,FALSE)))</f>
        <v xml:space="preserve"> </v>
      </c>
      <c r="J1039" s="39">
        <f>IF(ISNA(VLOOKUP(D1039,'[2]stock-take'!$G:$K,3,FALSE)), 0, VLOOKUP(D1039,'[2]stock-take'!$G:$K,3,FALSE))</f>
        <v>0</v>
      </c>
      <c r="K1039" s="49" t="str">
        <f>IF(F1039="", " ", IF(ISNA(VLOOKUP(D1039,'[2]stock-take'!$M:$Q,4,FALSE)), "OUT OF STOCK", VLOOKUP(D1039,'[2]stock-take'!$M:$Q,4,FALSE)))</f>
        <v xml:space="preserve"> </v>
      </c>
      <c r="L1039" s="47">
        <f>IF(ISNA(VLOOKUP(D1039,'[2]stock-take'!$M:$Q,3,FALSE)), 0, VLOOKUP(D1039,'[2]stock-take'!$M:$Q,3,FALSE))</f>
        <v>0</v>
      </c>
      <c r="M1039" s="48" t="str">
        <f t="shared" si="49"/>
        <v xml:space="preserve"> </v>
      </c>
      <c r="N1039" s="39" t="str">
        <f t="shared" si="50"/>
        <v xml:space="preserve"> </v>
      </c>
    </row>
    <row r="1040" spans="1:14">
      <c r="A1040" s="37">
        <f t="shared" si="48"/>
        <v>1029</v>
      </c>
      <c r="G1040" s="48" t="str">
        <f>IF(F1040=""," ",IF(ISNA(VLOOKUP(D1040,'[2]stock-take'!$A:$E,4,FALSE)), "OUT OF STOCK", VLOOKUP(D1040,'[2]stock-take'!$A:$E,4,FALSE)))</f>
        <v xml:space="preserve"> </v>
      </c>
      <c r="H1040" s="48">
        <f>IF(ISNA(VLOOKUP(D1040,'[2]stock-take'!$A:$E,3,FALSE)), 0, VLOOKUP(D1040,'[2]stock-take'!$A:$E,3,FALSE))</f>
        <v>0</v>
      </c>
      <c r="I1040" s="48" t="str">
        <f>IF(F1040="", " ",IF(ISNA(VLOOKUP(D1040,'[2]stock-take'!$G:$K,4,FALSE)), "OUT OF STOCK", VLOOKUP(D1040,'[2]stock-take'!$G:$K,4,FALSE)))</f>
        <v xml:space="preserve"> </v>
      </c>
      <c r="J1040" s="39">
        <f>IF(ISNA(VLOOKUP(D1040,'[2]stock-take'!$G:$K,3,FALSE)), 0, VLOOKUP(D1040,'[2]stock-take'!$G:$K,3,FALSE))</f>
        <v>0</v>
      </c>
      <c r="K1040" s="49" t="str">
        <f>IF(F1040="", " ", IF(ISNA(VLOOKUP(D1040,'[2]stock-take'!$M:$Q,4,FALSE)), "OUT OF STOCK", VLOOKUP(D1040,'[2]stock-take'!$M:$Q,4,FALSE)))</f>
        <v xml:space="preserve"> </v>
      </c>
      <c r="L1040" s="47">
        <f>IF(ISNA(VLOOKUP(D1040,'[2]stock-take'!$M:$Q,3,FALSE)), 0, VLOOKUP(D1040,'[2]stock-take'!$M:$Q,3,FALSE))</f>
        <v>0</v>
      </c>
      <c r="M1040" s="48" t="str">
        <f t="shared" si="49"/>
        <v xml:space="preserve"> </v>
      </c>
      <c r="N1040" s="39" t="str">
        <f t="shared" si="50"/>
        <v xml:space="preserve"> </v>
      </c>
    </row>
    <row r="1041" spans="1:14">
      <c r="A1041" s="37">
        <f t="shared" si="48"/>
        <v>1030</v>
      </c>
      <c r="G1041" s="48" t="str">
        <f>IF(F1041=""," ",IF(ISNA(VLOOKUP(D1041,'[2]stock-take'!$A:$E,4,FALSE)), "OUT OF STOCK", VLOOKUP(D1041,'[2]stock-take'!$A:$E,4,FALSE)))</f>
        <v xml:space="preserve"> </v>
      </c>
      <c r="H1041" s="48">
        <f>IF(ISNA(VLOOKUP(D1041,'[2]stock-take'!$A:$E,3,FALSE)), 0, VLOOKUP(D1041,'[2]stock-take'!$A:$E,3,FALSE))</f>
        <v>0</v>
      </c>
      <c r="I1041" s="48" t="str">
        <f>IF(F1041="", " ",IF(ISNA(VLOOKUP(D1041,'[2]stock-take'!$G:$K,4,FALSE)), "OUT OF STOCK", VLOOKUP(D1041,'[2]stock-take'!$G:$K,4,FALSE)))</f>
        <v xml:space="preserve"> </v>
      </c>
      <c r="J1041" s="39">
        <f>IF(ISNA(VLOOKUP(D1041,'[2]stock-take'!$G:$K,3,FALSE)), 0, VLOOKUP(D1041,'[2]stock-take'!$G:$K,3,FALSE))</f>
        <v>0</v>
      </c>
      <c r="K1041" s="49" t="str">
        <f>IF(F1041="", " ", IF(ISNA(VLOOKUP(D1041,'[2]stock-take'!$M:$Q,4,FALSE)), "OUT OF STOCK", VLOOKUP(D1041,'[2]stock-take'!$M:$Q,4,FALSE)))</f>
        <v xml:space="preserve"> </v>
      </c>
      <c r="L1041" s="47">
        <f>IF(ISNA(VLOOKUP(D1041,'[2]stock-take'!$M:$Q,3,FALSE)), 0, VLOOKUP(D1041,'[2]stock-take'!$M:$Q,3,FALSE))</f>
        <v>0</v>
      </c>
      <c r="M1041" s="48" t="str">
        <f t="shared" si="49"/>
        <v xml:space="preserve"> </v>
      </c>
      <c r="N1041" s="39" t="str">
        <f t="shared" si="50"/>
        <v xml:space="preserve"> </v>
      </c>
    </row>
    <row r="1042" spans="1:14">
      <c r="A1042" s="37">
        <f t="shared" si="48"/>
        <v>1031</v>
      </c>
      <c r="G1042" s="48" t="str">
        <f>IF(F1042=""," ",IF(ISNA(VLOOKUP(D1042,'[2]stock-take'!$A:$E,4,FALSE)), "OUT OF STOCK", VLOOKUP(D1042,'[2]stock-take'!$A:$E,4,FALSE)))</f>
        <v xml:space="preserve"> </v>
      </c>
      <c r="H1042" s="48">
        <f>IF(ISNA(VLOOKUP(D1042,'[2]stock-take'!$A:$E,3,FALSE)), 0, VLOOKUP(D1042,'[2]stock-take'!$A:$E,3,FALSE))</f>
        <v>0</v>
      </c>
      <c r="I1042" s="48" t="str">
        <f>IF(F1042="", " ",IF(ISNA(VLOOKUP(D1042,'[2]stock-take'!$G:$K,4,FALSE)), "OUT OF STOCK", VLOOKUP(D1042,'[2]stock-take'!$G:$K,4,FALSE)))</f>
        <v xml:space="preserve"> </v>
      </c>
      <c r="J1042" s="39">
        <f>IF(ISNA(VLOOKUP(D1042,'[2]stock-take'!$G:$K,3,FALSE)), 0, VLOOKUP(D1042,'[2]stock-take'!$G:$K,3,FALSE))</f>
        <v>0</v>
      </c>
      <c r="K1042" s="49" t="str">
        <f>IF(F1042="", " ", IF(ISNA(VLOOKUP(D1042,'[2]stock-take'!$M:$Q,4,FALSE)), "OUT OF STOCK", VLOOKUP(D1042,'[2]stock-take'!$M:$Q,4,FALSE)))</f>
        <v xml:space="preserve"> </v>
      </c>
      <c r="L1042" s="47">
        <f>IF(ISNA(VLOOKUP(D1042,'[2]stock-take'!$M:$Q,3,FALSE)), 0, VLOOKUP(D1042,'[2]stock-take'!$M:$Q,3,FALSE))</f>
        <v>0</v>
      </c>
      <c r="M1042" s="48" t="str">
        <f t="shared" si="49"/>
        <v xml:space="preserve"> </v>
      </c>
      <c r="N1042" s="39" t="str">
        <f t="shared" si="50"/>
        <v xml:space="preserve"> </v>
      </c>
    </row>
    <row r="1043" spans="1:14">
      <c r="A1043" s="37">
        <f t="shared" si="48"/>
        <v>1032</v>
      </c>
      <c r="G1043" s="48" t="str">
        <f>IF(F1043=""," ",IF(ISNA(VLOOKUP(D1043,'[2]stock-take'!$A:$E,4,FALSE)), "OUT OF STOCK", VLOOKUP(D1043,'[2]stock-take'!$A:$E,4,FALSE)))</f>
        <v xml:space="preserve"> </v>
      </c>
      <c r="H1043" s="48">
        <f>IF(ISNA(VLOOKUP(D1043,'[2]stock-take'!$A:$E,3,FALSE)), 0, VLOOKUP(D1043,'[2]stock-take'!$A:$E,3,FALSE))</f>
        <v>0</v>
      </c>
      <c r="I1043" s="48" t="str">
        <f>IF(F1043="", " ",IF(ISNA(VLOOKUP(D1043,'[2]stock-take'!$G:$K,4,FALSE)), "OUT OF STOCK", VLOOKUP(D1043,'[2]stock-take'!$G:$K,4,FALSE)))</f>
        <v xml:space="preserve"> </v>
      </c>
      <c r="J1043" s="39">
        <f>IF(ISNA(VLOOKUP(D1043,'[2]stock-take'!$G:$K,3,FALSE)), 0, VLOOKUP(D1043,'[2]stock-take'!$G:$K,3,FALSE))</f>
        <v>0</v>
      </c>
      <c r="K1043" s="49" t="str">
        <f>IF(F1043="", " ", IF(ISNA(VLOOKUP(D1043,'[2]stock-take'!$M:$Q,4,FALSE)), "OUT OF STOCK", VLOOKUP(D1043,'[2]stock-take'!$M:$Q,4,FALSE)))</f>
        <v xml:space="preserve"> </v>
      </c>
      <c r="L1043" s="47">
        <f>IF(ISNA(VLOOKUP(D1043,'[2]stock-take'!$M:$Q,3,FALSE)), 0, VLOOKUP(D1043,'[2]stock-take'!$M:$Q,3,FALSE))</f>
        <v>0</v>
      </c>
      <c r="M1043" s="48" t="str">
        <f t="shared" si="49"/>
        <v xml:space="preserve"> </v>
      </c>
      <c r="N1043" s="39" t="str">
        <f t="shared" si="50"/>
        <v xml:space="preserve"> </v>
      </c>
    </row>
    <row r="1044" spans="1:14">
      <c r="A1044" s="37">
        <f t="shared" si="48"/>
        <v>1033</v>
      </c>
      <c r="G1044" s="48" t="str">
        <f>IF(F1044=""," ",IF(ISNA(VLOOKUP(D1044,'[2]stock-take'!$A:$E,4,FALSE)), "OUT OF STOCK", VLOOKUP(D1044,'[2]stock-take'!$A:$E,4,FALSE)))</f>
        <v xml:space="preserve"> </v>
      </c>
      <c r="H1044" s="48">
        <f>IF(ISNA(VLOOKUP(D1044,'[2]stock-take'!$A:$E,3,FALSE)), 0, VLOOKUP(D1044,'[2]stock-take'!$A:$E,3,FALSE))</f>
        <v>0</v>
      </c>
      <c r="I1044" s="48" t="str">
        <f>IF(F1044="", " ",IF(ISNA(VLOOKUP(D1044,'[2]stock-take'!$G:$K,4,FALSE)), "OUT OF STOCK", VLOOKUP(D1044,'[2]stock-take'!$G:$K,4,FALSE)))</f>
        <v xml:space="preserve"> </v>
      </c>
      <c r="J1044" s="39">
        <f>IF(ISNA(VLOOKUP(D1044,'[2]stock-take'!$G:$K,3,FALSE)), 0, VLOOKUP(D1044,'[2]stock-take'!$G:$K,3,FALSE))</f>
        <v>0</v>
      </c>
      <c r="K1044" s="49" t="str">
        <f>IF(F1044="", " ", IF(ISNA(VLOOKUP(D1044,'[2]stock-take'!$M:$Q,4,FALSE)), "OUT OF STOCK", VLOOKUP(D1044,'[2]stock-take'!$M:$Q,4,FALSE)))</f>
        <v xml:space="preserve"> </v>
      </c>
      <c r="L1044" s="47">
        <f>IF(ISNA(VLOOKUP(D1044,'[2]stock-take'!$M:$Q,3,FALSE)), 0, VLOOKUP(D1044,'[2]stock-take'!$M:$Q,3,FALSE))</f>
        <v>0</v>
      </c>
      <c r="M1044" s="48" t="str">
        <f t="shared" si="49"/>
        <v xml:space="preserve"> </v>
      </c>
      <c r="N1044" s="39" t="str">
        <f t="shared" si="50"/>
        <v xml:space="preserve"> </v>
      </c>
    </row>
    <row r="1045" spans="1:14">
      <c r="A1045" s="37">
        <f t="shared" si="48"/>
        <v>1034</v>
      </c>
      <c r="G1045" s="48" t="str">
        <f>IF(F1045=""," ",IF(ISNA(VLOOKUP(D1045,'[2]stock-take'!$A:$E,4,FALSE)), "OUT OF STOCK", VLOOKUP(D1045,'[2]stock-take'!$A:$E,4,FALSE)))</f>
        <v xml:space="preserve"> </v>
      </c>
      <c r="H1045" s="48">
        <f>IF(ISNA(VLOOKUP(D1045,'[2]stock-take'!$A:$E,3,FALSE)), 0, VLOOKUP(D1045,'[2]stock-take'!$A:$E,3,FALSE))</f>
        <v>0</v>
      </c>
      <c r="I1045" s="48" t="str">
        <f>IF(F1045="", " ",IF(ISNA(VLOOKUP(D1045,'[2]stock-take'!$G:$K,4,FALSE)), "OUT OF STOCK", VLOOKUP(D1045,'[2]stock-take'!$G:$K,4,FALSE)))</f>
        <v xml:space="preserve"> </v>
      </c>
      <c r="J1045" s="39">
        <f>IF(ISNA(VLOOKUP(D1045,'[2]stock-take'!$G:$K,3,FALSE)), 0, VLOOKUP(D1045,'[2]stock-take'!$G:$K,3,FALSE))</f>
        <v>0</v>
      </c>
      <c r="K1045" s="49" t="str">
        <f>IF(F1045="", " ", IF(ISNA(VLOOKUP(D1045,'[2]stock-take'!$M:$Q,4,FALSE)), "OUT OF STOCK", VLOOKUP(D1045,'[2]stock-take'!$M:$Q,4,FALSE)))</f>
        <v xml:space="preserve"> </v>
      </c>
      <c r="L1045" s="47">
        <f>IF(ISNA(VLOOKUP(D1045,'[2]stock-take'!$M:$Q,3,FALSE)), 0, VLOOKUP(D1045,'[2]stock-take'!$M:$Q,3,FALSE))</f>
        <v>0</v>
      </c>
      <c r="M1045" s="48" t="str">
        <f t="shared" si="49"/>
        <v xml:space="preserve"> </v>
      </c>
      <c r="N1045" s="39" t="str">
        <f t="shared" si="50"/>
        <v xml:space="preserve"> </v>
      </c>
    </row>
    <row r="1046" spans="1:14">
      <c r="A1046" s="37">
        <f t="shared" si="48"/>
        <v>1035</v>
      </c>
      <c r="G1046" s="48" t="str">
        <f>IF(F1046=""," ",IF(ISNA(VLOOKUP(D1046,'[2]stock-take'!$A:$E,4,FALSE)), "OUT OF STOCK", VLOOKUP(D1046,'[2]stock-take'!$A:$E,4,FALSE)))</f>
        <v xml:space="preserve"> </v>
      </c>
      <c r="H1046" s="48">
        <f>IF(ISNA(VLOOKUP(D1046,'[2]stock-take'!$A:$E,3,FALSE)), 0, VLOOKUP(D1046,'[2]stock-take'!$A:$E,3,FALSE))</f>
        <v>0</v>
      </c>
      <c r="I1046" s="48" t="str">
        <f>IF(F1046="", " ",IF(ISNA(VLOOKUP(D1046,'[2]stock-take'!$G:$K,4,FALSE)), "OUT OF STOCK", VLOOKUP(D1046,'[2]stock-take'!$G:$K,4,FALSE)))</f>
        <v xml:space="preserve"> </v>
      </c>
      <c r="J1046" s="39">
        <f>IF(ISNA(VLOOKUP(D1046,'[2]stock-take'!$G:$K,3,FALSE)), 0, VLOOKUP(D1046,'[2]stock-take'!$G:$K,3,FALSE))</f>
        <v>0</v>
      </c>
      <c r="K1046" s="49" t="str">
        <f>IF(F1046="", " ", IF(ISNA(VLOOKUP(D1046,'[2]stock-take'!$M:$Q,4,FALSE)), "OUT OF STOCK", VLOOKUP(D1046,'[2]stock-take'!$M:$Q,4,FALSE)))</f>
        <v xml:space="preserve"> </v>
      </c>
      <c r="L1046" s="47">
        <f>IF(ISNA(VLOOKUP(D1046,'[2]stock-take'!$M:$Q,3,FALSE)), 0, VLOOKUP(D1046,'[2]stock-take'!$M:$Q,3,FALSE))</f>
        <v>0</v>
      </c>
      <c r="M1046" s="48" t="str">
        <f t="shared" si="49"/>
        <v xml:space="preserve"> </v>
      </c>
      <c r="N1046" s="39" t="str">
        <f t="shared" si="50"/>
        <v xml:space="preserve"> </v>
      </c>
    </row>
    <row r="1047" spans="1:14">
      <c r="A1047" s="37">
        <f t="shared" si="48"/>
        <v>1036</v>
      </c>
      <c r="G1047" s="48" t="str">
        <f>IF(F1047=""," ",IF(ISNA(VLOOKUP(D1047,'[2]stock-take'!$A:$E,4,FALSE)), "OUT OF STOCK", VLOOKUP(D1047,'[2]stock-take'!$A:$E,4,FALSE)))</f>
        <v xml:space="preserve"> </v>
      </c>
      <c r="H1047" s="48">
        <f>IF(ISNA(VLOOKUP(D1047,'[2]stock-take'!$A:$E,3,FALSE)), 0, VLOOKUP(D1047,'[2]stock-take'!$A:$E,3,FALSE))</f>
        <v>0</v>
      </c>
      <c r="I1047" s="48" t="str">
        <f>IF(F1047="", " ",IF(ISNA(VLOOKUP(D1047,'[2]stock-take'!$G:$K,4,FALSE)), "OUT OF STOCK", VLOOKUP(D1047,'[2]stock-take'!$G:$K,4,FALSE)))</f>
        <v xml:space="preserve"> </v>
      </c>
      <c r="J1047" s="39">
        <f>IF(ISNA(VLOOKUP(D1047,'[2]stock-take'!$G:$K,3,FALSE)), 0, VLOOKUP(D1047,'[2]stock-take'!$G:$K,3,FALSE))</f>
        <v>0</v>
      </c>
      <c r="K1047" s="49" t="str">
        <f>IF(F1047="", " ", IF(ISNA(VLOOKUP(D1047,'[2]stock-take'!$M:$Q,4,FALSE)), "OUT OF STOCK", VLOOKUP(D1047,'[2]stock-take'!$M:$Q,4,FALSE)))</f>
        <v xml:space="preserve"> </v>
      </c>
      <c r="L1047" s="47">
        <f>IF(ISNA(VLOOKUP(D1047,'[2]stock-take'!$M:$Q,3,FALSE)), 0, VLOOKUP(D1047,'[2]stock-take'!$M:$Q,3,FALSE))</f>
        <v>0</v>
      </c>
      <c r="M1047" s="48" t="str">
        <f t="shared" si="49"/>
        <v xml:space="preserve"> </v>
      </c>
      <c r="N1047" s="39" t="str">
        <f t="shared" si="50"/>
        <v xml:space="preserve"> </v>
      </c>
    </row>
    <row r="1048" spans="1:14">
      <c r="A1048" s="37">
        <f t="shared" si="48"/>
        <v>1037</v>
      </c>
      <c r="G1048" s="48" t="str">
        <f>IF(F1048=""," ",IF(ISNA(VLOOKUP(D1048,'[2]stock-take'!$A:$E,4,FALSE)), "OUT OF STOCK", VLOOKUP(D1048,'[2]stock-take'!$A:$E,4,FALSE)))</f>
        <v xml:space="preserve"> </v>
      </c>
      <c r="H1048" s="48">
        <f>IF(ISNA(VLOOKUP(D1048,'[2]stock-take'!$A:$E,3,FALSE)), 0, VLOOKUP(D1048,'[2]stock-take'!$A:$E,3,FALSE))</f>
        <v>0</v>
      </c>
      <c r="I1048" s="48" t="str">
        <f>IF(F1048="", " ",IF(ISNA(VLOOKUP(D1048,'[2]stock-take'!$G:$K,4,FALSE)), "OUT OF STOCK", VLOOKUP(D1048,'[2]stock-take'!$G:$K,4,FALSE)))</f>
        <v xml:space="preserve"> </v>
      </c>
      <c r="J1048" s="39">
        <f>IF(ISNA(VLOOKUP(D1048,'[2]stock-take'!$G:$K,3,FALSE)), 0, VLOOKUP(D1048,'[2]stock-take'!$G:$K,3,FALSE))</f>
        <v>0</v>
      </c>
      <c r="K1048" s="49" t="str">
        <f>IF(F1048="", " ", IF(ISNA(VLOOKUP(D1048,'[2]stock-take'!$M:$Q,4,FALSE)), "OUT OF STOCK", VLOOKUP(D1048,'[2]stock-take'!$M:$Q,4,FALSE)))</f>
        <v xml:space="preserve"> </v>
      </c>
      <c r="L1048" s="47">
        <f>IF(ISNA(VLOOKUP(D1048,'[2]stock-take'!$M:$Q,3,FALSE)), 0, VLOOKUP(D1048,'[2]stock-take'!$M:$Q,3,FALSE))</f>
        <v>0</v>
      </c>
      <c r="M1048" s="48" t="str">
        <f t="shared" si="49"/>
        <v xml:space="preserve"> </v>
      </c>
      <c r="N1048" s="39" t="str">
        <f t="shared" si="50"/>
        <v xml:space="preserve"> </v>
      </c>
    </row>
    <row r="1049" spans="1:14">
      <c r="A1049" s="37">
        <f t="shared" si="48"/>
        <v>1038</v>
      </c>
      <c r="G1049" s="48" t="str">
        <f>IF(F1049=""," ",IF(ISNA(VLOOKUP(D1049,'[2]stock-take'!$A:$E,4,FALSE)), "OUT OF STOCK", VLOOKUP(D1049,'[2]stock-take'!$A:$E,4,FALSE)))</f>
        <v xml:space="preserve"> </v>
      </c>
      <c r="H1049" s="48">
        <f>IF(ISNA(VLOOKUP(D1049,'[2]stock-take'!$A:$E,3,FALSE)), 0, VLOOKUP(D1049,'[2]stock-take'!$A:$E,3,FALSE))</f>
        <v>0</v>
      </c>
      <c r="I1049" s="48" t="str">
        <f>IF(F1049="", " ",IF(ISNA(VLOOKUP(D1049,'[2]stock-take'!$G:$K,4,FALSE)), "OUT OF STOCK", VLOOKUP(D1049,'[2]stock-take'!$G:$K,4,FALSE)))</f>
        <v xml:space="preserve"> </v>
      </c>
      <c r="J1049" s="39">
        <f>IF(ISNA(VLOOKUP(D1049,'[2]stock-take'!$G:$K,3,FALSE)), 0, VLOOKUP(D1049,'[2]stock-take'!$G:$K,3,FALSE))</f>
        <v>0</v>
      </c>
      <c r="K1049" s="49" t="str">
        <f>IF(F1049="", " ", IF(ISNA(VLOOKUP(D1049,'[2]stock-take'!$M:$Q,4,FALSE)), "OUT OF STOCK", VLOOKUP(D1049,'[2]stock-take'!$M:$Q,4,FALSE)))</f>
        <v xml:space="preserve"> </v>
      </c>
      <c r="L1049" s="47">
        <f>IF(ISNA(VLOOKUP(D1049,'[2]stock-take'!$M:$Q,3,FALSE)), 0, VLOOKUP(D1049,'[2]stock-take'!$M:$Q,3,FALSE))</f>
        <v>0</v>
      </c>
      <c r="M1049" s="48" t="str">
        <f t="shared" si="49"/>
        <v xml:space="preserve"> </v>
      </c>
      <c r="N1049" s="39" t="str">
        <f t="shared" si="50"/>
        <v xml:space="preserve"> </v>
      </c>
    </row>
    <row r="1050" spans="1:14">
      <c r="A1050" s="37">
        <f t="shared" si="48"/>
        <v>1039</v>
      </c>
      <c r="G1050" s="48" t="str">
        <f>IF(F1050=""," ",IF(ISNA(VLOOKUP(D1050,'[2]stock-take'!$A:$E,4,FALSE)), "OUT OF STOCK", VLOOKUP(D1050,'[2]stock-take'!$A:$E,4,FALSE)))</f>
        <v xml:space="preserve"> </v>
      </c>
      <c r="H1050" s="48">
        <f>IF(ISNA(VLOOKUP(D1050,'[2]stock-take'!$A:$E,3,FALSE)), 0, VLOOKUP(D1050,'[2]stock-take'!$A:$E,3,FALSE))</f>
        <v>0</v>
      </c>
      <c r="I1050" s="48" t="str">
        <f>IF(F1050="", " ",IF(ISNA(VLOOKUP(D1050,'[2]stock-take'!$G:$K,4,FALSE)), "OUT OF STOCK", VLOOKUP(D1050,'[2]stock-take'!$G:$K,4,FALSE)))</f>
        <v xml:space="preserve"> </v>
      </c>
      <c r="J1050" s="39">
        <f>IF(ISNA(VLOOKUP(D1050,'[2]stock-take'!$G:$K,3,FALSE)), 0, VLOOKUP(D1050,'[2]stock-take'!$G:$K,3,FALSE))</f>
        <v>0</v>
      </c>
      <c r="K1050" s="49" t="str">
        <f>IF(F1050="", " ", IF(ISNA(VLOOKUP(D1050,'[2]stock-take'!$M:$Q,4,FALSE)), "OUT OF STOCK", VLOOKUP(D1050,'[2]stock-take'!$M:$Q,4,FALSE)))</f>
        <v xml:space="preserve"> </v>
      </c>
      <c r="L1050" s="47">
        <f>IF(ISNA(VLOOKUP(D1050,'[2]stock-take'!$M:$Q,3,FALSE)), 0, VLOOKUP(D1050,'[2]stock-take'!$M:$Q,3,FALSE))</f>
        <v>0</v>
      </c>
      <c r="M1050" s="48" t="str">
        <f t="shared" si="49"/>
        <v xml:space="preserve"> </v>
      </c>
      <c r="N1050" s="39" t="str">
        <f t="shared" si="50"/>
        <v xml:space="preserve"> </v>
      </c>
    </row>
    <row r="1051" spans="1:14">
      <c r="A1051" s="37">
        <f t="shared" si="48"/>
        <v>1040</v>
      </c>
      <c r="G1051" s="48" t="str">
        <f>IF(F1051=""," ",IF(ISNA(VLOOKUP(D1051,'[2]stock-take'!$A:$E,4,FALSE)), "OUT OF STOCK", VLOOKUP(D1051,'[2]stock-take'!$A:$E,4,FALSE)))</f>
        <v xml:space="preserve"> </v>
      </c>
      <c r="H1051" s="48">
        <f>IF(ISNA(VLOOKUP(D1051,'[2]stock-take'!$A:$E,3,FALSE)), 0, VLOOKUP(D1051,'[2]stock-take'!$A:$E,3,FALSE))</f>
        <v>0</v>
      </c>
      <c r="I1051" s="48" t="str">
        <f>IF(F1051="", " ",IF(ISNA(VLOOKUP(D1051,'[2]stock-take'!$G:$K,4,FALSE)), "OUT OF STOCK", VLOOKUP(D1051,'[2]stock-take'!$G:$K,4,FALSE)))</f>
        <v xml:space="preserve"> </v>
      </c>
      <c r="J1051" s="39">
        <f>IF(ISNA(VLOOKUP(D1051,'[2]stock-take'!$G:$K,3,FALSE)), 0, VLOOKUP(D1051,'[2]stock-take'!$G:$K,3,FALSE))</f>
        <v>0</v>
      </c>
      <c r="K1051" s="49" t="str">
        <f>IF(F1051="", " ", IF(ISNA(VLOOKUP(D1051,'[2]stock-take'!$M:$Q,4,FALSE)), "OUT OF STOCK", VLOOKUP(D1051,'[2]stock-take'!$M:$Q,4,FALSE)))</f>
        <v xml:space="preserve"> </v>
      </c>
      <c r="L1051" s="47">
        <f>IF(ISNA(VLOOKUP(D1051,'[2]stock-take'!$M:$Q,3,FALSE)), 0, VLOOKUP(D1051,'[2]stock-take'!$M:$Q,3,FALSE))</f>
        <v>0</v>
      </c>
      <c r="M1051" s="48" t="str">
        <f t="shared" si="49"/>
        <v xml:space="preserve"> </v>
      </c>
      <c r="N1051" s="39" t="str">
        <f t="shared" si="50"/>
        <v xml:space="preserve"> </v>
      </c>
    </row>
    <row r="1052" spans="1:14">
      <c r="A1052" s="37">
        <f t="shared" si="48"/>
        <v>1041</v>
      </c>
      <c r="G1052" s="48" t="str">
        <f>IF(F1052=""," ",IF(ISNA(VLOOKUP(D1052,'[2]stock-take'!$A:$E,4,FALSE)), "OUT OF STOCK", VLOOKUP(D1052,'[2]stock-take'!$A:$E,4,FALSE)))</f>
        <v xml:space="preserve"> </v>
      </c>
      <c r="H1052" s="48">
        <f>IF(ISNA(VLOOKUP(D1052,'[2]stock-take'!$A:$E,3,FALSE)), 0, VLOOKUP(D1052,'[2]stock-take'!$A:$E,3,FALSE))</f>
        <v>0</v>
      </c>
      <c r="I1052" s="48" t="str">
        <f>IF(F1052="", " ",IF(ISNA(VLOOKUP(D1052,'[2]stock-take'!$G:$K,4,FALSE)), "OUT OF STOCK", VLOOKUP(D1052,'[2]stock-take'!$G:$K,4,FALSE)))</f>
        <v xml:space="preserve"> </v>
      </c>
      <c r="J1052" s="39">
        <f>IF(ISNA(VLOOKUP(D1052,'[2]stock-take'!$G:$K,3,FALSE)), 0, VLOOKUP(D1052,'[2]stock-take'!$G:$K,3,FALSE))</f>
        <v>0</v>
      </c>
      <c r="K1052" s="49" t="str">
        <f>IF(F1052="", " ", IF(ISNA(VLOOKUP(D1052,'[2]stock-take'!$M:$Q,4,FALSE)), "OUT OF STOCK", VLOOKUP(D1052,'[2]stock-take'!$M:$Q,4,FALSE)))</f>
        <v xml:space="preserve"> </v>
      </c>
      <c r="L1052" s="47">
        <f>IF(ISNA(VLOOKUP(D1052,'[2]stock-take'!$M:$Q,3,FALSE)), 0, VLOOKUP(D1052,'[2]stock-take'!$M:$Q,3,FALSE))</f>
        <v>0</v>
      </c>
      <c r="M1052" s="48" t="str">
        <f t="shared" si="49"/>
        <v xml:space="preserve"> </v>
      </c>
      <c r="N1052" s="39" t="str">
        <f t="shared" si="50"/>
        <v xml:space="preserve"> </v>
      </c>
    </row>
    <row r="1053" spans="1:14">
      <c r="A1053" s="37">
        <f t="shared" si="48"/>
        <v>1042</v>
      </c>
      <c r="G1053" s="48" t="str">
        <f>IF(F1053=""," ",IF(ISNA(VLOOKUP(D1053,'[2]stock-take'!$A:$E,4,FALSE)), "OUT OF STOCK", VLOOKUP(D1053,'[2]stock-take'!$A:$E,4,FALSE)))</f>
        <v xml:space="preserve"> </v>
      </c>
      <c r="H1053" s="48">
        <f>IF(ISNA(VLOOKUP(D1053,'[2]stock-take'!$A:$E,3,FALSE)), 0, VLOOKUP(D1053,'[2]stock-take'!$A:$E,3,FALSE))</f>
        <v>0</v>
      </c>
      <c r="I1053" s="48" t="str">
        <f>IF(F1053="", " ",IF(ISNA(VLOOKUP(D1053,'[2]stock-take'!$G:$K,4,FALSE)), "OUT OF STOCK", VLOOKUP(D1053,'[2]stock-take'!$G:$K,4,FALSE)))</f>
        <v xml:space="preserve"> </v>
      </c>
      <c r="J1053" s="39">
        <f>IF(ISNA(VLOOKUP(D1053,'[2]stock-take'!$G:$K,3,FALSE)), 0, VLOOKUP(D1053,'[2]stock-take'!$G:$K,3,FALSE))</f>
        <v>0</v>
      </c>
      <c r="K1053" s="49" t="str">
        <f>IF(F1053="", " ", IF(ISNA(VLOOKUP(D1053,'[2]stock-take'!$M:$Q,4,FALSE)), "OUT OF STOCK", VLOOKUP(D1053,'[2]stock-take'!$M:$Q,4,FALSE)))</f>
        <v xml:space="preserve"> </v>
      </c>
      <c r="L1053" s="47">
        <f>IF(ISNA(VLOOKUP(D1053,'[2]stock-take'!$M:$Q,3,FALSE)), 0, VLOOKUP(D1053,'[2]stock-take'!$M:$Q,3,FALSE))</f>
        <v>0</v>
      </c>
      <c r="M1053" s="48" t="str">
        <f t="shared" si="49"/>
        <v xml:space="preserve"> </v>
      </c>
      <c r="N1053" s="39" t="str">
        <f t="shared" si="50"/>
        <v xml:space="preserve"> </v>
      </c>
    </row>
    <row r="1054" spans="1:14">
      <c r="A1054" s="37">
        <f t="shared" si="48"/>
        <v>1043</v>
      </c>
      <c r="G1054" s="48" t="str">
        <f>IF(F1054=""," ",IF(ISNA(VLOOKUP(D1054,'[2]stock-take'!$A:$E,4,FALSE)), "OUT OF STOCK", VLOOKUP(D1054,'[2]stock-take'!$A:$E,4,FALSE)))</f>
        <v xml:space="preserve"> </v>
      </c>
      <c r="H1054" s="48">
        <f>IF(ISNA(VLOOKUP(D1054,'[2]stock-take'!$A:$E,3,FALSE)), 0, VLOOKUP(D1054,'[2]stock-take'!$A:$E,3,FALSE))</f>
        <v>0</v>
      </c>
      <c r="I1054" s="48" t="str">
        <f>IF(F1054="", " ",IF(ISNA(VLOOKUP(D1054,'[2]stock-take'!$G:$K,4,FALSE)), "OUT OF STOCK", VLOOKUP(D1054,'[2]stock-take'!$G:$K,4,FALSE)))</f>
        <v xml:space="preserve"> </v>
      </c>
      <c r="J1054" s="39">
        <f>IF(ISNA(VLOOKUP(D1054,'[2]stock-take'!$G:$K,3,FALSE)), 0, VLOOKUP(D1054,'[2]stock-take'!$G:$K,3,FALSE))</f>
        <v>0</v>
      </c>
      <c r="K1054" s="49" t="str">
        <f>IF(F1054="", " ", IF(ISNA(VLOOKUP(D1054,'[2]stock-take'!$M:$Q,4,FALSE)), "OUT OF STOCK", VLOOKUP(D1054,'[2]stock-take'!$M:$Q,4,FALSE)))</f>
        <v xml:space="preserve"> </v>
      </c>
      <c r="L1054" s="47">
        <f>IF(ISNA(VLOOKUP(D1054,'[2]stock-take'!$M:$Q,3,FALSE)), 0, VLOOKUP(D1054,'[2]stock-take'!$M:$Q,3,FALSE))</f>
        <v>0</v>
      </c>
      <c r="M1054" s="48" t="str">
        <f t="shared" si="49"/>
        <v xml:space="preserve"> </v>
      </c>
      <c r="N1054" s="39" t="str">
        <f t="shared" si="50"/>
        <v xml:space="preserve"> </v>
      </c>
    </row>
    <row r="1055" spans="1:14">
      <c r="A1055" s="37">
        <f t="shared" si="48"/>
        <v>1044</v>
      </c>
      <c r="G1055" s="48" t="str">
        <f>IF(F1055=""," ",IF(ISNA(VLOOKUP(D1055,'[2]stock-take'!$A:$E,4,FALSE)), "OUT OF STOCK", VLOOKUP(D1055,'[2]stock-take'!$A:$E,4,FALSE)))</f>
        <v xml:space="preserve"> </v>
      </c>
      <c r="H1055" s="48">
        <f>IF(ISNA(VLOOKUP(D1055,'[2]stock-take'!$A:$E,3,FALSE)), 0, VLOOKUP(D1055,'[2]stock-take'!$A:$E,3,FALSE))</f>
        <v>0</v>
      </c>
      <c r="I1055" s="48" t="str">
        <f>IF(F1055="", " ",IF(ISNA(VLOOKUP(D1055,'[2]stock-take'!$G:$K,4,FALSE)), "OUT OF STOCK", VLOOKUP(D1055,'[2]stock-take'!$G:$K,4,FALSE)))</f>
        <v xml:space="preserve"> </v>
      </c>
      <c r="J1055" s="39">
        <f>IF(ISNA(VLOOKUP(D1055,'[2]stock-take'!$G:$K,3,FALSE)), 0, VLOOKUP(D1055,'[2]stock-take'!$G:$K,3,FALSE))</f>
        <v>0</v>
      </c>
      <c r="K1055" s="49" t="str">
        <f>IF(F1055="", " ", IF(ISNA(VLOOKUP(D1055,'[2]stock-take'!$M:$Q,4,FALSE)), "OUT OF STOCK", VLOOKUP(D1055,'[2]stock-take'!$M:$Q,4,FALSE)))</f>
        <v xml:space="preserve"> </v>
      </c>
      <c r="L1055" s="47">
        <f>IF(ISNA(VLOOKUP(D1055,'[2]stock-take'!$M:$Q,3,FALSE)), 0, VLOOKUP(D1055,'[2]stock-take'!$M:$Q,3,FALSE))</f>
        <v>0</v>
      </c>
      <c r="M1055" s="48" t="str">
        <f t="shared" si="49"/>
        <v xml:space="preserve"> </v>
      </c>
      <c r="N1055" s="39" t="str">
        <f t="shared" si="50"/>
        <v xml:space="preserve"> </v>
      </c>
    </row>
    <row r="1056" spans="1:14">
      <c r="A1056" s="37">
        <f t="shared" si="48"/>
        <v>1045</v>
      </c>
      <c r="G1056" s="48" t="str">
        <f>IF(F1056=""," ",IF(ISNA(VLOOKUP(D1056,'[2]stock-take'!$A:$E,4,FALSE)), "OUT OF STOCK", VLOOKUP(D1056,'[2]stock-take'!$A:$E,4,FALSE)))</f>
        <v xml:space="preserve"> </v>
      </c>
      <c r="H1056" s="48">
        <f>IF(ISNA(VLOOKUP(D1056,'[2]stock-take'!$A:$E,3,FALSE)), 0, VLOOKUP(D1056,'[2]stock-take'!$A:$E,3,FALSE))</f>
        <v>0</v>
      </c>
      <c r="I1056" s="48" t="str">
        <f>IF(F1056="", " ",IF(ISNA(VLOOKUP(D1056,'[2]stock-take'!$G:$K,4,FALSE)), "OUT OF STOCK", VLOOKUP(D1056,'[2]stock-take'!$G:$K,4,FALSE)))</f>
        <v xml:space="preserve"> </v>
      </c>
      <c r="J1056" s="39">
        <f>IF(ISNA(VLOOKUP(D1056,'[2]stock-take'!$G:$K,3,FALSE)), 0, VLOOKUP(D1056,'[2]stock-take'!$G:$K,3,FALSE))</f>
        <v>0</v>
      </c>
      <c r="K1056" s="49" t="str">
        <f>IF(F1056="", " ", IF(ISNA(VLOOKUP(D1056,'[2]stock-take'!$M:$Q,4,FALSE)), "OUT OF STOCK", VLOOKUP(D1056,'[2]stock-take'!$M:$Q,4,FALSE)))</f>
        <v xml:space="preserve"> </v>
      </c>
      <c r="L1056" s="47">
        <f>IF(ISNA(VLOOKUP(D1056,'[2]stock-take'!$M:$Q,3,FALSE)), 0, VLOOKUP(D1056,'[2]stock-take'!$M:$Q,3,FALSE))</f>
        <v>0</v>
      </c>
      <c r="M1056" s="48" t="str">
        <f t="shared" si="49"/>
        <v xml:space="preserve"> </v>
      </c>
      <c r="N1056" s="39" t="str">
        <f t="shared" si="50"/>
        <v xml:space="preserve"> </v>
      </c>
    </row>
    <row r="1057" spans="1:14">
      <c r="A1057" s="37">
        <f t="shared" si="48"/>
        <v>1046</v>
      </c>
      <c r="G1057" s="48" t="str">
        <f>IF(F1057=""," ",IF(ISNA(VLOOKUP(D1057,'[2]stock-take'!$A:$E,4,FALSE)), "OUT OF STOCK", VLOOKUP(D1057,'[2]stock-take'!$A:$E,4,FALSE)))</f>
        <v xml:space="preserve"> </v>
      </c>
      <c r="H1057" s="48">
        <f>IF(ISNA(VLOOKUP(D1057,'[2]stock-take'!$A:$E,3,FALSE)), 0, VLOOKUP(D1057,'[2]stock-take'!$A:$E,3,FALSE))</f>
        <v>0</v>
      </c>
      <c r="I1057" s="48" t="str">
        <f>IF(F1057="", " ",IF(ISNA(VLOOKUP(D1057,'[2]stock-take'!$G:$K,4,FALSE)), "OUT OF STOCK", VLOOKUP(D1057,'[2]stock-take'!$G:$K,4,FALSE)))</f>
        <v xml:space="preserve"> </v>
      </c>
      <c r="J1057" s="39">
        <f>IF(ISNA(VLOOKUP(D1057,'[2]stock-take'!$G:$K,3,FALSE)), 0, VLOOKUP(D1057,'[2]stock-take'!$G:$K,3,FALSE))</f>
        <v>0</v>
      </c>
      <c r="K1057" s="49" t="str">
        <f>IF(F1057="", " ", IF(ISNA(VLOOKUP(D1057,'[2]stock-take'!$M:$Q,4,FALSE)), "OUT OF STOCK", VLOOKUP(D1057,'[2]stock-take'!$M:$Q,4,FALSE)))</f>
        <v xml:space="preserve"> </v>
      </c>
      <c r="L1057" s="47">
        <f>IF(ISNA(VLOOKUP(D1057,'[2]stock-take'!$M:$Q,3,FALSE)), 0, VLOOKUP(D1057,'[2]stock-take'!$M:$Q,3,FALSE))</f>
        <v>0</v>
      </c>
      <c r="M1057" s="48" t="str">
        <f t="shared" si="49"/>
        <v xml:space="preserve"> </v>
      </c>
      <c r="N1057" s="39" t="str">
        <f t="shared" si="50"/>
        <v xml:space="preserve"> </v>
      </c>
    </row>
    <row r="1058" spans="1:14">
      <c r="A1058" s="37">
        <f t="shared" si="48"/>
        <v>1047</v>
      </c>
      <c r="G1058" s="48" t="str">
        <f>IF(F1058=""," ",IF(ISNA(VLOOKUP(D1058,'[2]stock-take'!$A:$E,4,FALSE)), "OUT OF STOCK", VLOOKUP(D1058,'[2]stock-take'!$A:$E,4,FALSE)))</f>
        <v xml:space="preserve"> </v>
      </c>
      <c r="H1058" s="48">
        <f>IF(ISNA(VLOOKUP(D1058,'[2]stock-take'!$A:$E,3,FALSE)), 0, VLOOKUP(D1058,'[2]stock-take'!$A:$E,3,FALSE))</f>
        <v>0</v>
      </c>
      <c r="I1058" s="48" t="str">
        <f>IF(F1058="", " ",IF(ISNA(VLOOKUP(D1058,'[2]stock-take'!$G:$K,4,FALSE)), "OUT OF STOCK", VLOOKUP(D1058,'[2]stock-take'!$G:$K,4,FALSE)))</f>
        <v xml:space="preserve"> </v>
      </c>
      <c r="J1058" s="39">
        <f>IF(ISNA(VLOOKUP(D1058,'[2]stock-take'!$G:$K,3,FALSE)), 0, VLOOKUP(D1058,'[2]stock-take'!$G:$K,3,FALSE))</f>
        <v>0</v>
      </c>
      <c r="K1058" s="49" t="str">
        <f>IF(F1058="", " ", IF(ISNA(VLOOKUP(D1058,'[2]stock-take'!$M:$Q,4,FALSE)), "OUT OF STOCK", VLOOKUP(D1058,'[2]stock-take'!$M:$Q,4,FALSE)))</f>
        <v xml:space="preserve"> </v>
      </c>
      <c r="L1058" s="47">
        <f>IF(ISNA(VLOOKUP(D1058,'[2]stock-take'!$M:$Q,3,FALSE)), 0, VLOOKUP(D1058,'[2]stock-take'!$M:$Q,3,FALSE))</f>
        <v>0</v>
      </c>
      <c r="M1058" s="48" t="str">
        <f t="shared" si="49"/>
        <v xml:space="preserve"> </v>
      </c>
      <c r="N1058" s="39" t="str">
        <f t="shared" si="50"/>
        <v xml:space="preserve"> </v>
      </c>
    </row>
    <row r="1059" spans="1:14">
      <c r="A1059" s="37">
        <f t="shared" si="48"/>
        <v>1048</v>
      </c>
      <c r="G1059" s="48" t="str">
        <f>IF(F1059=""," ",IF(ISNA(VLOOKUP(D1059,'[2]stock-take'!$A:$E,4,FALSE)), "OUT OF STOCK", VLOOKUP(D1059,'[2]stock-take'!$A:$E,4,FALSE)))</f>
        <v xml:space="preserve"> </v>
      </c>
      <c r="H1059" s="48">
        <f>IF(ISNA(VLOOKUP(D1059,'[2]stock-take'!$A:$E,3,FALSE)), 0, VLOOKUP(D1059,'[2]stock-take'!$A:$E,3,FALSE))</f>
        <v>0</v>
      </c>
      <c r="I1059" s="48" t="str">
        <f>IF(F1059="", " ",IF(ISNA(VLOOKUP(D1059,'[2]stock-take'!$G:$K,4,FALSE)), "OUT OF STOCK", VLOOKUP(D1059,'[2]stock-take'!$G:$K,4,FALSE)))</f>
        <v xml:space="preserve"> </v>
      </c>
      <c r="J1059" s="39">
        <f>IF(ISNA(VLOOKUP(D1059,'[2]stock-take'!$G:$K,3,FALSE)), 0, VLOOKUP(D1059,'[2]stock-take'!$G:$K,3,FALSE))</f>
        <v>0</v>
      </c>
      <c r="K1059" s="49" t="str">
        <f>IF(F1059="", " ", IF(ISNA(VLOOKUP(D1059,'[2]stock-take'!$M:$Q,4,FALSE)), "OUT OF STOCK", VLOOKUP(D1059,'[2]stock-take'!$M:$Q,4,FALSE)))</f>
        <v xml:space="preserve"> </v>
      </c>
      <c r="L1059" s="47">
        <f>IF(ISNA(VLOOKUP(D1059,'[2]stock-take'!$M:$Q,3,FALSE)), 0, VLOOKUP(D1059,'[2]stock-take'!$M:$Q,3,FALSE))</f>
        <v>0</v>
      </c>
      <c r="M1059" s="48" t="str">
        <f t="shared" si="49"/>
        <v xml:space="preserve"> </v>
      </c>
      <c r="N1059" s="39" t="str">
        <f t="shared" si="50"/>
        <v xml:space="preserve"> </v>
      </c>
    </row>
    <row r="1060" spans="1:14">
      <c r="A1060" s="37">
        <f t="shared" si="48"/>
        <v>1049</v>
      </c>
      <c r="G1060" s="48" t="str">
        <f>IF(F1060=""," ",IF(ISNA(VLOOKUP(D1060,'[2]stock-take'!$A:$E,4,FALSE)), "OUT OF STOCK", VLOOKUP(D1060,'[2]stock-take'!$A:$E,4,FALSE)))</f>
        <v xml:space="preserve"> </v>
      </c>
      <c r="H1060" s="48">
        <f>IF(ISNA(VLOOKUP(D1060,'[2]stock-take'!$A:$E,3,FALSE)), 0, VLOOKUP(D1060,'[2]stock-take'!$A:$E,3,FALSE))</f>
        <v>0</v>
      </c>
      <c r="I1060" s="48" t="str">
        <f>IF(F1060="", " ",IF(ISNA(VLOOKUP(D1060,'[2]stock-take'!$G:$K,4,FALSE)), "OUT OF STOCK", VLOOKUP(D1060,'[2]stock-take'!$G:$K,4,FALSE)))</f>
        <v xml:space="preserve"> </v>
      </c>
      <c r="J1060" s="39">
        <f>IF(ISNA(VLOOKUP(D1060,'[2]stock-take'!$G:$K,3,FALSE)), 0, VLOOKUP(D1060,'[2]stock-take'!$G:$K,3,FALSE))</f>
        <v>0</v>
      </c>
      <c r="K1060" s="49" t="str">
        <f>IF(F1060="", " ", IF(ISNA(VLOOKUP(D1060,'[2]stock-take'!$M:$Q,4,FALSE)), "OUT OF STOCK", VLOOKUP(D1060,'[2]stock-take'!$M:$Q,4,FALSE)))</f>
        <v xml:space="preserve"> </v>
      </c>
      <c r="L1060" s="47">
        <f>IF(ISNA(VLOOKUP(D1060,'[2]stock-take'!$M:$Q,3,FALSE)), 0, VLOOKUP(D1060,'[2]stock-take'!$M:$Q,3,FALSE))</f>
        <v>0</v>
      </c>
      <c r="M1060" s="48" t="str">
        <f t="shared" si="49"/>
        <v xml:space="preserve"> </v>
      </c>
      <c r="N1060" s="39" t="str">
        <f t="shared" si="50"/>
        <v xml:space="preserve"> </v>
      </c>
    </row>
    <row r="1061" spans="1:14">
      <c r="A1061" s="37">
        <f t="shared" si="48"/>
        <v>1050</v>
      </c>
      <c r="G1061" s="48" t="str">
        <f>IF(F1061=""," ",IF(ISNA(VLOOKUP(D1061,'[2]stock-take'!$A:$E,4,FALSE)), "OUT OF STOCK", VLOOKUP(D1061,'[2]stock-take'!$A:$E,4,FALSE)))</f>
        <v xml:space="preserve"> </v>
      </c>
      <c r="H1061" s="48">
        <f>IF(ISNA(VLOOKUP(D1061,'[2]stock-take'!$A:$E,3,FALSE)), 0, VLOOKUP(D1061,'[2]stock-take'!$A:$E,3,FALSE))</f>
        <v>0</v>
      </c>
      <c r="I1061" s="48" t="str">
        <f>IF(F1061="", " ",IF(ISNA(VLOOKUP(D1061,'[2]stock-take'!$G:$K,4,FALSE)), "OUT OF STOCK", VLOOKUP(D1061,'[2]stock-take'!$G:$K,4,FALSE)))</f>
        <v xml:space="preserve"> </v>
      </c>
      <c r="J1061" s="39">
        <f>IF(ISNA(VLOOKUP(D1061,'[2]stock-take'!$G:$K,3,FALSE)), 0, VLOOKUP(D1061,'[2]stock-take'!$G:$K,3,FALSE))</f>
        <v>0</v>
      </c>
      <c r="K1061" s="49" t="str">
        <f>IF(F1061="", " ", IF(ISNA(VLOOKUP(D1061,'[2]stock-take'!$M:$Q,4,FALSE)), "OUT OF STOCK", VLOOKUP(D1061,'[2]stock-take'!$M:$Q,4,FALSE)))</f>
        <v xml:space="preserve"> </v>
      </c>
      <c r="L1061" s="47">
        <f>IF(ISNA(VLOOKUP(D1061,'[2]stock-take'!$M:$Q,3,FALSE)), 0, VLOOKUP(D1061,'[2]stock-take'!$M:$Q,3,FALSE))</f>
        <v>0</v>
      </c>
      <c r="M1061" s="48" t="str">
        <f t="shared" si="49"/>
        <v xml:space="preserve"> </v>
      </c>
      <c r="N1061" s="39" t="str">
        <f t="shared" si="50"/>
        <v xml:space="preserve"> </v>
      </c>
    </row>
    <row r="1062" spans="1:14">
      <c r="A1062" s="37">
        <f t="shared" si="48"/>
        <v>1051</v>
      </c>
      <c r="G1062" s="48" t="str">
        <f>IF(F1062=""," ",IF(ISNA(VLOOKUP(D1062,'[2]stock-take'!$A:$E,4,FALSE)), "OUT OF STOCK", VLOOKUP(D1062,'[2]stock-take'!$A:$E,4,FALSE)))</f>
        <v xml:space="preserve"> </v>
      </c>
      <c r="H1062" s="48">
        <f>IF(ISNA(VLOOKUP(D1062,'[2]stock-take'!$A:$E,3,FALSE)), 0, VLOOKUP(D1062,'[2]stock-take'!$A:$E,3,FALSE))</f>
        <v>0</v>
      </c>
      <c r="I1062" s="48" t="str">
        <f>IF(F1062="", " ",IF(ISNA(VLOOKUP(D1062,'[2]stock-take'!$G:$K,4,FALSE)), "OUT OF STOCK", VLOOKUP(D1062,'[2]stock-take'!$G:$K,4,FALSE)))</f>
        <v xml:space="preserve"> </v>
      </c>
      <c r="J1062" s="39">
        <f>IF(ISNA(VLOOKUP(D1062,'[2]stock-take'!$G:$K,3,FALSE)), 0, VLOOKUP(D1062,'[2]stock-take'!$G:$K,3,FALSE))</f>
        <v>0</v>
      </c>
      <c r="K1062" s="49" t="str">
        <f>IF(F1062="", " ", IF(ISNA(VLOOKUP(D1062,'[2]stock-take'!$M:$Q,4,FALSE)), "OUT OF STOCK", VLOOKUP(D1062,'[2]stock-take'!$M:$Q,4,FALSE)))</f>
        <v xml:space="preserve"> </v>
      </c>
      <c r="L1062" s="47">
        <f>IF(ISNA(VLOOKUP(D1062,'[2]stock-take'!$M:$Q,3,FALSE)), 0, VLOOKUP(D1062,'[2]stock-take'!$M:$Q,3,FALSE))</f>
        <v>0</v>
      </c>
      <c r="M1062" s="48" t="str">
        <f t="shared" si="49"/>
        <v xml:space="preserve"> </v>
      </c>
      <c r="N1062" s="39" t="str">
        <f t="shared" si="50"/>
        <v xml:space="preserve"> </v>
      </c>
    </row>
    <row r="1063" spans="1:14">
      <c r="A1063" s="37">
        <f t="shared" si="48"/>
        <v>1052</v>
      </c>
      <c r="G1063" s="48" t="str">
        <f>IF(F1063=""," ",IF(ISNA(VLOOKUP(D1063,'[2]stock-take'!$A:$E,4,FALSE)), "OUT OF STOCK", VLOOKUP(D1063,'[2]stock-take'!$A:$E,4,FALSE)))</f>
        <v xml:space="preserve"> </v>
      </c>
      <c r="H1063" s="48">
        <f>IF(ISNA(VLOOKUP(D1063,'[2]stock-take'!$A:$E,3,FALSE)), 0, VLOOKUP(D1063,'[2]stock-take'!$A:$E,3,FALSE))</f>
        <v>0</v>
      </c>
      <c r="I1063" s="48" t="str">
        <f>IF(F1063="", " ",IF(ISNA(VLOOKUP(D1063,'[2]stock-take'!$G:$K,4,FALSE)), "OUT OF STOCK", VLOOKUP(D1063,'[2]stock-take'!$G:$K,4,FALSE)))</f>
        <v xml:space="preserve"> </v>
      </c>
      <c r="J1063" s="39">
        <f>IF(ISNA(VLOOKUP(D1063,'[2]stock-take'!$G:$K,3,FALSE)), 0, VLOOKUP(D1063,'[2]stock-take'!$G:$K,3,FALSE))</f>
        <v>0</v>
      </c>
      <c r="K1063" s="49" t="str">
        <f>IF(F1063="", " ", IF(ISNA(VLOOKUP(D1063,'[2]stock-take'!$M:$Q,4,FALSE)), "OUT OF STOCK", VLOOKUP(D1063,'[2]stock-take'!$M:$Q,4,FALSE)))</f>
        <v xml:space="preserve"> </v>
      </c>
      <c r="L1063" s="47">
        <f>IF(ISNA(VLOOKUP(D1063,'[2]stock-take'!$M:$Q,3,FALSE)), 0, VLOOKUP(D1063,'[2]stock-take'!$M:$Q,3,FALSE))</f>
        <v>0</v>
      </c>
      <c r="M1063" s="48" t="str">
        <f t="shared" si="49"/>
        <v xml:space="preserve"> </v>
      </c>
      <c r="N1063" s="39" t="str">
        <f t="shared" si="50"/>
        <v xml:space="preserve"> </v>
      </c>
    </row>
    <row r="1064" spans="1:14">
      <c r="A1064" s="37">
        <f t="shared" si="48"/>
        <v>1053</v>
      </c>
      <c r="G1064" s="48" t="str">
        <f>IF(F1064=""," ",IF(ISNA(VLOOKUP(D1064,'[2]stock-take'!$A:$E,4,FALSE)), "OUT OF STOCK", VLOOKUP(D1064,'[2]stock-take'!$A:$E,4,FALSE)))</f>
        <v xml:space="preserve"> </v>
      </c>
      <c r="H1064" s="48">
        <f>IF(ISNA(VLOOKUP(D1064,'[2]stock-take'!$A:$E,3,FALSE)), 0, VLOOKUP(D1064,'[2]stock-take'!$A:$E,3,FALSE))</f>
        <v>0</v>
      </c>
      <c r="I1064" s="48" t="str">
        <f>IF(F1064="", " ",IF(ISNA(VLOOKUP(D1064,'[2]stock-take'!$G:$K,4,FALSE)), "OUT OF STOCK", VLOOKUP(D1064,'[2]stock-take'!$G:$K,4,FALSE)))</f>
        <v xml:space="preserve"> </v>
      </c>
      <c r="J1064" s="39">
        <f>IF(ISNA(VLOOKUP(D1064,'[2]stock-take'!$G:$K,3,FALSE)), 0, VLOOKUP(D1064,'[2]stock-take'!$G:$K,3,FALSE))</f>
        <v>0</v>
      </c>
      <c r="K1064" s="49" t="str">
        <f>IF(F1064="", " ", IF(ISNA(VLOOKUP(D1064,'[2]stock-take'!$M:$Q,4,FALSE)), "OUT OF STOCK", VLOOKUP(D1064,'[2]stock-take'!$M:$Q,4,FALSE)))</f>
        <v xml:space="preserve"> </v>
      </c>
      <c r="L1064" s="47">
        <f>IF(ISNA(VLOOKUP(D1064,'[2]stock-take'!$M:$Q,3,FALSE)), 0, VLOOKUP(D1064,'[2]stock-take'!$M:$Q,3,FALSE))</f>
        <v>0</v>
      </c>
      <c r="M1064" s="48" t="str">
        <f t="shared" si="49"/>
        <v xml:space="preserve"> </v>
      </c>
      <c r="N1064" s="39" t="str">
        <f t="shared" si="50"/>
        <v xml:space="preserve"> </v>
      </c>
    </row>
    <row r="1065" spans="1:14">
      <c r="A1065" s="37">
        <f t="shared" si="48"/>
        <v>1054</v>
      </c>
      <c r="G1065" s="48" t="str">
        <f>IF(F1065=""," ",IF(ISNA(VLOOKUP(D1065,'[2]stock-take'!$A:$E,4,FALSE)), "OUT OF STOCK", VLOOKUP(D1065,'[2]stock-take'!$A:$E,4,FALSE)))</f>
        <v xml:space="preserve"> </v>
      </c>
      <c r="H1065" s="48">
        <f>IF(ISNA(VLOOKUP(D1065,'[2]stock-take'!$A:$E,3,FALSE)), 0, VLOOKUP(D1065,'[2]stock-take'!$A:$E,3,FALSE))</f>
        <v>0</v>
      </c>
      <c r="I1065" s="48" t="str">
        <f>IF(F1065="", " ",IF(ISNA(VLOOKUP(D1065,'[2]stock-take'!$G:$K,4,FALSE)), "OUT OF STOCK", VLOOKUP(D1065,'[2]stock-take'!$G:$K,4,FALSE)))</f>
        <v xml:space="preserve"> </v>
      </c>
      <c r="J1065" s="39">
        <f>IF(ISNA(VLOOKUP(D1065,'[2]stock-take'!$G:$K,3,FALSE)), 0, VLOOKUP(D1065,'[2]stock-take'!$G:$K,3,FALSE))</f>
        <v>0</v>
      </c>
      <c r="K1065" s="49" t="str">
        <f>IF(F1065="", " ", IF(ISNA(VLOOKUP(D1065,'[2]stock-take'!$M:$Q,4,FALSE)), "OUT OF STOCK", VLOOKUP(D1065,'[2]stock-take'!$M:$Q,4,FALSE)))</f>
        <v xml:space="preserve"> </v>
      </c>
      <c r="L1065" s="47">
        <f>IF(ISNA(VLOOKUP(D1065,'[2]stock-take'!$M:$Q,3,FALSE)), 0, VLOOKUP(D1065,'[2]stock-take'!$M:$Q,3,FALSE))</f>
        <v>0</v>
      </c>
      <c r="M1065" s="48" t="str">
        <f t="shared" si="49"/>
        <v xml:space="preserve"> </v>
      </c>
      <c r="N1065" s="39" t="str">
        <f t="shared" si="50"/>
        <v xml:space="preserve"> </v>
      </c>
    </row>
    <row r="1066" spans="1:14">
      <c r="A1066" s="37">
        <f t="shared" si="48"/>
        <v>1055</v>
      </c>
      <c r="G1066" s="48" t="str">
        <f>IF(F1066=""," ",IF(ISNA(VLOOKUP(D1066,'[2]stock-take'!$A:$E,4,FALSE)), "OUT OF STOCK", VLOOKUP(D1066,'[2]stock-take'!$A:$E,4,FALSE)))</f>
        <v xml:space="preserve"> </v>
      </c>
      <c r="H1066" s="48">
        <f>IF(ISNA(VLOOKUP(D1066,'[2]stock-take'!$A:$E,3,FALSE)), 0, VLOOKUP(D1066,'[2]stock-take'!$A:$E,3,FALSE))</f>
        <v>0</v>
      </c>
      <c r="I1066" s="48" t="str">
        <f>IF(F1066="", " ",IF(ISNA(VLOOKUP(D1066,'[2]stock-take'!$G:$K,4,FALSE)), "OUT OF STOCK", VLOOKUP(D1066,'[2]stock-take'!$G:$K,4,FALSE)))</f>
        <v xml:space="preserve"> </v>
      </c>
      <c r="J1066" s="39">
        <f>IF(ISNA(VLOOKUP(D1066,'[2]stock-take'!$G:$K,3,FALSE)), 0, VLOOKUP(D1066,'[2]stock-take'!$G:$K,3,FALSE))</f>
        <v>0</v>
      </c>
      <c r="K1066" s="49" t="str">
        <f>IF(F1066="", " ", IF(ISNA(VLOOKUP(D1066,'[2]stock-take'!$M:$Q,4,FALSE)), "OUT OF STOCK", VLOOKUP(D1066,'[2]stock-take'!$M:$Q,4,FALSE)))</f>
        <v xml:space="preserve"> </v>
      </c>
      <c r="L1066" s="47">
        <f>IF(ISNA(VLOOKUP(D1066,'[2]stock-take'!$M:$Q,3,FALSE)), 0, VLOOKUP(D1066,'[2]stock-take'!$M:$Q,3,FALSE))</f>
        <v>0</v>
      </c>
      <c r="M1066" s="48" t="str">
        <f t="shared" si="49"/>
        <v xml:space="preserve"> </v>
      </c>
      <c r="N1066" s="39" t="str">
        <f t="shared" si="50"/>
        <v xml:space="preserve"> </v>
      </c>
    </row>
    <row r="1067" spans="1:14">
      <c r="A1067" s="37">
        <f t="shared" si="48"/>
        <v>1056</v>
      </c>
      <c r="G1067" s="48" t="str">
        <f>IF(F1067=""," ",IF(ISNA(VLOOKUP(D1067,'[2]stock-take'!$A:$E,4,FALSE)), "OUT OF STOCK", VLOOKUP(D1067,'[2]stock-take'!$A:$E,4,FALSE)))</f>
        <v xml:space="preserve"> </v>
      </c>
      <c r="H1067" s="48">
        <f>IF(ISNA(VLOOKUP(D1067,'[2]stock-take'!$A:$E,3,FALSE)), 0, VLOOKUP(D1067,'[2]stock-take'!$A:$E,3,FALSE))</f>
        <v>0</v>
      </c>
      <c r="I1067" s="48" t="str">
        <f>IF(F1067="", " ",IF(ISNA(VLOOKUP(D1067,'[2]stock-take'!$G:$K,4,FALSE)), "OUT OF STOCK", VLOOKUP(D1067,'[2]stock-take'!$G:$K,4,FALSE)))</f>
        <v xml:space="preserve"> </v>
      </c>
      <c r="J1067" s="39">
        <f>IF(ISNA(VLOOKUP(D1067,'[2]stock-take'!$G:$K,3,FALSE)), 0, VLOOKUP(D1067,'[2]stock-take'!$G:$K,3,FALSE))</f>
        <v>0</v>
      </c>
      <c r="K1067" s="49" t="str">
        <f>IF(F1067="", " ", IF(ISNA(VLOOKUP(D1067,'[2]stock-take'!$M:$Q,4,FALSE)), "OUT OF STOCK", VLOOKUP(D1067,'[2]stock-take'!$M:$Q,4,FALSE)))</f>
        <v xml:space="preserve"> </v>
      </c>
      <c r="L1067" s="47">
        <f>IF(ISNA(VLOOKUP(D1067,'[2]stock-take'!$M:$Q,3,FALSE)), 0, VLOOKUP(D1067,'[2]stock-take'!$M:$Q,3,FALSE))</f>
        <v>0</v>
      </c>
      <c r="M1067" s="48" t="str">
        <f t="shared" si="49"/>
        <v xml:space="preserve"> </v>
      </c>
      <c r="N1067" s="39" t="str">
        <f t="shared" si="50"/>
        <v xml:space="preserve"> </v>
      </c>
    </row>
    <row r="1068" spans="1:14">
      <c r="A1068" s="37">
        <f t="shared" si="48"/>
        <v>1057</v>
      </c>
      <c r="G1068" s="48" t="str">
        <f>IF(F1068=""," ",IF(ISNA(VLOOKUP(D1068,'[2]stock-take'!$A:$E,4,FALSE)), "OUT OF STOCK", VLOOKUP(D1068,'[2]stock-take'!$A:$E,4,FALSE)))</f>
        <v xml:space="preserve"> </v>
      </c>
      <c r="H1068" s="48">
        <f>IF(ISNA(VLOOKUP(D1068,'[2]stock-take'!$A:$E,3,FALSE)), 0, VLOOKUP(D1068,'[2]stock-take'!$A:$E,3,FALSE))</f>
        <v>0</v>
      </c>
      <c r="I1068" s="48" t="str">
        <f>IF(F1068="", " ",IF(ISNA(VLOOKUP(D1068,'[2]stock-take'!$G:$K,4,FALSE)), "OUT OF STOCK", VLOOKUP(D1068,'[2]stock-take'!$G:$K,4,FALSE)))</f>
        <v xml:space="preserve"> </v>
      </c>
      <c r="J1068" s="39">
        <f>IF(ISNA(VLOOKUP(D1068,'[2]stock-take'!$G:$K,3,FALSE)), 0, VLOOKUP(D1068,'[2]stock-take'!$G:$K,3,FALSE))</f>
        <v>0</v>
      </c>
      <c r="K1068" s="49" t="str">
        <f>IF(F1068="", " ", IF(ISNA(VLOOKUP(D1068,'[2]stock-take'!$M:$Q,4,FALSE)), "OUT OF STOCK", VLOOKUP(D1068,'[2]stock-take'!$M:$Q,4,FALSE)))</f>
        <v xml:space="preserve"> </v>
      </c>
      <c r="L1068" s="47">
        <f>IF(ISNA(VLOOKUP(D1068,'[2]stock-take'!$M:$Q,3,FALSE)), 0, VLOOKUP(D1068,'[2]stock-take'!$M:$Q,3,FALSE))</f>
        <v>0</v>
      </c>
      <c r="M1068" s="48" t="str">
        <f t="shared" si="49"/>
        <v xml:space="preserve"> </v>
      </c>
      <c r="N1068" s="39" t="str">
        <f t="shared" si="50"/>
        <v xml:space="preserve"> </v>
      </c>
    </row>
    <row r="1069" spans="1:14">
      <c r="A1069" s="37">
        <f t="shared" si="48"/>
        <v>1058</v>
      </c>
      <c r="G1069" s="48" t="str">
        <f>IF(F1069=""," ",IF(ISNA(VLOOKUP(D1069,'[2]stock-take'!$A:$E,4,FALSE)), "OUT OF STOCK", VLOOKUP(D1069,'[2]stock-take'!$A:$E,4,FALSE)))</f>
        <v xml:space="preserve"> </v>
      </c>
      <c r="H1069" s="48">
        <f>IF(ISNA(VLOOKUP(D1069,'[2]stock-take'!$A:$E,3,FALSE)), 0, VLOOKUP(D1069,'[2]stock-take'!$A:$E,3,FALSE))</f>
        <v>0</v>
      </c>
      <c r="I1069" s="48" t="str">
        <f>IF(F1069="", " ",IF(ISNA(VLOOKUP(D1069,'[2]stock-take'!$G:$K,4,FALSE)), "OUT OF STOCK", VLOOKUP(D1069,'[2]stock-take'!$G:$K,4,FALSE)))</f>
        <v xml:space="preserve"> </v>
      </c>
      <c r="J1069" s="39">
        <f>IF(ISNA(VLOOKUP(D1069,'[2]stock-take'!$G:$K,3,FALSE)), 0, VLOOKUP(D1069,'[2]stock-take'!$G:$K,3,FALSE))</f>
        <v>0</v>
      </c>
      <c r="K1069" s="49" t="str">
        <f>IF(F1069="", " ", IF(ISNA(VLOOKUP(D1069,'[2]stock-take'!$M:$Q,4,FALSE)), "OUT OF STOCK", VLOOKUP(D1069,'[2]stock-take'!$M:$Q,4,FALSE)))</f>
        <v xml:space="preserve"> </v>
      </c>
      <c r="L1069" s="47">
        <f>IF(ISNA(VLOOKUP(D1069,'[2]stock-take'!$M:$Q,3,FALSE)), 0, VLOOKUP(D1069,'[2]stock-take'!$M:$Q,3,FALSE))</f>
        <v>0</v>
      </c>
      <c r="M1069" s="48" t="str">
        <f t="shared" si="49"/>
        <v xml:space="preserve"> </v>
      </c>
      <c r="N1069" s="39" t="str">
        <f t="shared" si="50"/>
        <v xml:space="preserve"> </v>
      </c>
    </row>
    <row r="1070" spans="1:14">
      <c r="A1070" s="37">
        <f t="shared" si="48"/>
        <v>1059</v>
      </c>
      <c r="G1070" s="48" t="str">
        <f>IF(F1070=""," ",IF(ISNA(VLOOKUP(D1070,'[2]stock-take'!$A:$E,4,FALSE)), "OUT OF STOCK", VLOOKUP(D1070,'[2]stock-take'!$A:$E,4,FALSE)))</f>
        <v xml:space="preserve"> </v>
      </c>
      <c r="H1070" s="48">
        <f>IF(ISNA(VLOOKUP(D1070,'[2]stock-take'!$A:$E,3,FALSE)), 0, VLOOKUP(D1070,'[2]stock-take'!$A:$E,3,FALSE))</f>
        <v>0</v>
      </c>
      <c r="I1070" s="48" t="str">
        <f>IF(F1070="", " ",IF(ISNA(VLOOKUP(D1070,'[2]stock-take'!$G:$K,4,FALSE)), "OUT OF STOCK", VLOOKUP(D1070,'[2]stock-take'!$G:$K,4,FALSE)))</f>
        <v xml:space="preserve"> </v>
      </c>
      <c r="J1070" s="39">
        <f>IF(ISNA(VLOOKUP(D1070,'[2]stock-take'!$G:$K,3,FALSE)), 0, VLOOKUP(D1070,'[2]stock-take'!$G:$K,3,FALSE))</f>
        <v>0</v>
      </c>
      <c r="K1070" s="49" t="str">
        <f>IF(F1070="", " ", IF(ISNA(VLOOKUP(D1070,'[2]stock-take'!$M:$Q,4,FALSE)), "OUT OF STOCK", VLOOKUP(D1070,'[2]stock-take'!$M:$Q,4,FALSE)))</f>
        <v xml:space="preserve"> </v>
      </c>
      <c r="L1070" s="47">
        <f>IF(ISNA(VLOOKUP(D1070,'[2]stock-take'!$M:$Q,3,FALSE)), 0, VLOOKUP(D1070,'[2]stock-take'!$M:$Q,3,FALSE))</f>
        <v>0</v>
      </c>
      <c r="M1070" s="48" t="str">
        <f t="shared" si="49"/>
        <v xml:space="preserve"> </v>
      </c>
      <c r="N1070" s="39" t="str">
        <f t="shared" si="50"/>
        <v xml:space="preserve"> </v>
      </c>
    </row>
    <row r="1071" spans="1:14">
      <c r="A1071" s="37">
        <f t="shared" si="48"/>
        <v>1060</v>
      </c>
      <c r="G1071" s="48" t="str">
        <f>IF(F1071=""," ",IF(ISNA(VLOOKUP(D1071,'[2]stock-take'!$A:$E,4,FALSE)), "OUT OF STOCK", VLOOKUP(D1071,'[2]stock-take'!$A:$E,4,FALSE)))</f>
        <v xml:space="preserve"> </v>
      </c>
      <c r="H1071" s="48">
        <f>IF(ISNA(VLOOKUP(D1071,'[2]stock-take'!$A:$E,3,FALSE)), 0, VLOOKUP(D1071,'[2]stock-take'!$A:$E,3,FALSE))</f>
        <v>0</v>
      </c>
      <c r="I1071" s="48" t="str">
        <f>IF(F1071="", " ",IF(ISNA(VLOOKUP(D1071,'[2]stock-take'!$G:$K,4,FALSE)), "OUT OF STOCK", VLOOKUP(D1071,'[2]stock-take'!$G:$K,4,FALSE)))</f>
        <v xml:space="preserve"> </v>
      </c>
      <c r="J1071" s="39">
        <f>IF(ISNA(VLOOKUP(D1071,'[2]stock-take'!$G:$K,3,FALSE)), 0, VLOOKUP(D1071,'[2]stock-take'!$G:$K,3,FALSE))</f>
        <v>0</v>
      </c>
      <c r="K1071" s="49" t="str">
        <f>IF(F1071="", " ", IF(ISNA(VLOOKUP(D1071,'[2]stock-take'!$M:$Q,4,FALSE)), "OUT OF STOCK", VLOOKUP(D1071,'[2]stock-take'!$M:$Q,4,FALSE)))</f>
        <v xml:space="preserve"> </v>
      </c>
      <c r="L1071" s="47">
        <f>IF(ISNA(VLOOKUP(D1071,'[2]stock-take'!$M:$Q,3,FALSE)), 0, VLOOKUP(D1071,'[2]stock-take'!$M:$Q,3,FALSE))</f>
        <v>0</v>
      </c>
      <c r="M1071" s="48" t="str">
        <f t="shared" si="49"/>
        <v xml:space="preserve"> </v>
      </c>
      <c r="N1071" s="39" t="str">
        <f t="shared" si="50"/>
        <v xml:space="preserve"> </v>
      </c>
    </row>
    <row r="1072" spans="1:14">
      <c r="A1072" s="37">
        <f t="shared" si="48"/>
        <v>1061</v>
      </c>
      <c r="G1072" s="48" t="str">
        <f>IF(F1072=""," ",IF(ISNA(VLOOKUP(D1072,'[2]stock-take'!$A:$E,4,FALSE)), "OUT OF STOCK", VLOOKUP(D1072,'[2]stock-take'!$A:$E,4,FALSE)))</f>
        <v xml:space="preserve"> </v>
      </c>
      <c r="H1072" s="48">
        <f>IF(ISNA(VLOOKUP(D1072,'[2]stock-take'!$A:$E,3,FALSE)), 0, VLOOKUP(D1072,'[2]stock-take'!$A:$E,3,FALSE))</f>
        <v>0</v>
      </c>
      <c r="I1072" s="48" t="str">
        <f>IF(F1072="", " ",IF(ISNA(VLOOKUP(D1072,'[2]stock-take'!$G:$K,4,FALSE)), "OUT OF STOCK", VLOOKUP(D1072,'[2]stock-take'!$G:$K,4,FALSE)))</f>
        <v xml:space="preserve"> </v>
      </c>
      <c r="J1072" s="39">
        <f>IF(ISNA(VLOOKUP(D1072,'[2]stock-take'!$G:$K,3,FALSE)), 0, VLOOKUP(D1072,'[2]stock-take'!$G:$K,3,FALSE))</f>
        <v>0</v>
      </c>
      <c r="K1072" s="49" t="str">
        <f>IF(F1072="", " ", IF(ISNA(VLOOKUP(D1072,'[2]stock-take'!$M:$Q,4,FALSE)), "OUT OF STOCK", VLOOKUP(D1072,'[2]stock-take'!$M:$Q,4,FALSE)))</f>
        <v xml:space="preserve"> </v>
      </c>
      <c r="L1072" s="47">
        <f>IF(ISNA(VLOOKUP(D1072,'[2]stock-take'!$M:$Q,3,FALSE)), 0, VLOOKUP(D1072,'[2]stock-take'!$M:$Q,3,FALSE))</f>
        <v>0</v>
      </c>
      <c r="M1072" s="48" t="str">
        <f t="shared" si="49"/>
        <v xml:space="preserve"> </v>
      </c>
      <c r="N1072" s="39" t="str">
        <f t="shared" si="50"/>
        <v xml:space="preserve"> </v>
      </c>
    </row>
    <row r="1073" spans="1:14">
      <c r="A1073" s="37">
        <f t="shared" si="48"/>
        <v>1062</v>
      </c>
      <c r="G1073" s="48" t="str">
        <f>IF(F1073=""," ",IF(ISNA(VLOOKUP(D1073,'[2]stock-take'!$A:$E,4,FALSE)), "OUT OF STOCK", VLOOKUP(D1073,'[2]stock-take'!$A:$E,4,FALSE)))</f>
        <v xml:space="preserve"> </v>
      </c>
      <c r="H1073" s="48">
        <f>IF(ISNA(VLOOKUP(D1073,'[2]stock-take'!$A:$E,3,FALSE)), 0, VLOOKUP(D1073,'[2]stock-take'!$A:$E,3,FALSE))</f>
        <v>0</v>
      </c>
      <c r="I1073" s="48" t="str">
        <f>IF(F1073="", " ",IF(ISNA(VLOOKUP(D1073,'[2]stock-take'!$G:$K,4,FALSE)), "OUT OF STOCK", VLOOKUP(D1073,'[2]stock-take'!$G:$K,4,FALSE)))</f>
        <v xml:space="preserve"> </v>
      </c>
      <c r="J1073" s="39">
        <f>IF(ISNA(VLOOKUP(D1073,'[2]stock-take'!$G:$K,3,FALSE)), 0, VLOOKUP(D1073,'[2]stock-take'!$G:$K,3,FALSE))</f>
        <v>0</v>
      </c>
      <c r="K1073" s="49" t="str">
        <f>IF(F1073="", " ", IF(ISNA(VLOOKUP(D1073,'[2]stock-take'!$M:$Q,4,FALSE)), "OUT OF STOCK", VLOOKUP(D1073,'[2]stock-take'!$M:$Q,4,FALSE)))</f>
        <v xml:space="preserve"> </v>
      </c>
      <c r="L1073" s="47">
        <f>IF(ISNA(VLOOKUP(D1073,'[2]stock-take'!$M:$Q,3,FALSE)), 0, VLOOKUP(D1073,'[2]stock-take'!$M:$Q,3,FALSE))</f>
        <v>0</v>
      </c>
      <c r="M1073" s="48" t="str">
        <f t="shared" si="49"/>
        <v xml:space="preserve"> </v>
      </c>
      <c r="N1073" s="39" t="str">
        <f t="shared" si="50"/>
        <v xml:space="preserve"> </v>
      </c>
    </row>
    <row r="1074" spans="1:14">
      <c r="A1074" s="37">
        <f t="shared" si="48"/>
        <v>1063</v>
      </c>
      <c r="G1074" s="48" t="str">
        <f>IF(F1074=""," ",IF(ISNA(VLOOKUP(D1074,'[2]stock-take'!$A:$E,4,FALSE)), "OUT OF STOCK", VLOOKUP(D1074,'[2]stock-take'!$A:$E,4,FALSE)))</f>
        <v xml:space="preserve"> </v>
      </c>
      <c r="H1074" s="48">
        <f>IF(ISNA(VLOOKUP(D1074,'[2]stock-take'!$A:$E,3,FALSE)), 0, VLOOKUP(D1074,'[2]stock-take'!$A:$E,3,FALSE))</f>
        <v>0</v>
      </c>
      <c r="I1074" s="48" t="str">
        <f>IF(F1074="", " ",IF(ISNA(VLOOKUP(D1074,'[2]stock-take'!$G:$K,4,FALSE)), "OUT OF STOCK", VLOOKUP(D1074,'[2]stock-take'!$G:$K,4,FALSE)))</f>
        <v xml:space="preserve"> </v>
      </c>
      <c r="J1074" s="39">
        <f>IF(ISNA(VLOOKUP(D1074,'[2]stock-take'!$G:$K,3,FALSE)), 0, VLOOKUP(D1074,'[2]stock-take'!$G:$K,3,FALSE))</f>
        <v>0</v>
      </c>
      <c r="K1074" s="49" t="str">
        <f>IF(F1074="", " ", IF(ISNA(VLOOKUP(D1074,'[2]stock-take'!$M:$Q,4,FALSE)), "OUT OF STOCK", VLOOKUP(D1074,'[2]stock-take'!$M:$Q,4,FALSE)))</f>
        <v xml:space="preserve"> </v>
      </c>
      <c r="L1074" s="47">
        <f>IF(ISNA(VLOOKUP(D1074,'[2]stock-take'!$M:$Q,3,FALSE)), 0, VLOOKUP(D1074,'[2]stock-take'!$M:$Q,3,FALSE))</f>
        <v>0</v>
      </c>
      <c r="M1074" s="48" t="str">
        <f t="shared" si="49"/>
        <v xml:space="preserve"> </v>
      </c>
      <c r="N1074" s="39" t="str">
        <f t="shared" si="50"/>
        <v xml:space="preserve"> </v>
      </c>
    </row>
    <row r="1075" spans="1:14">
      <c r="A1075" s="37">
        <f t="shared" si="48"/>
        <v>1064</v>
      </c>
      <c r="G1075" s="48" t="str">
        <f>IF(F1075=""," ",IF(ISNA(VLOOKUP(D1075,'[2]stock-take'!$A:$E,4,FALSE)), "OUT OF STOCK", VLOOKUP(D1075,'[2]stock-take'!$A:$E,4,FALSE)))</f>
        <v xml:space="preserve"> </v>
      </c>
      <c r="H1075" s="48">
        <f>IF(ISNA(VLOOKUP(D1075,'[2]stock-take'!$A:$E,3,FALSE)), 0, VLOOKUP(D1075,'[2]stock-take'!$A:$E,3,FALSE))</f>
        <v>0</v>
      </c>
      <c r="I1075" s="48" t="str">
        <f>IF(F1075="", " ",IF(ISNA(VLOOKUP(D1075,'[2]stock-take'!$G:$K,4,FALSE)), "OUT OF STOCK", VLOOKUP(D1075,'[2]stock-take'!$G:$K,4,FALSE)))</f>
        <v xml:space="preserve"> </v>
      </c>
      <c r="J1075" s="39">
        <f>IF(ISNA(VLOOKUP(D1075,'[2]stock-take'!$G:$K,3,FALSE)), 0, VLOOKUP(D1075,'[2]stock-take'!$G:$K,3,FALSE))</f>
        <v>0</v>
      </c>
      <c r="K1075" s="49" t="str">
        <f>IF(F1075="", " ", IF(ISNA(VLOOKUP(D1075,'[2]stock-take'!$M:$Q,4,FALSE)), "OUT OF STOCK", VLOOKUP(D1075,'[2]stock-take'!$M:$Q,4,FALSE)))</f>
        <v xml:space="preserve"> </v>
      </c>
      <c r="L1075" s="47">
        <f>IF(ISNA(VLOOKUP(D1075,'[2]stock-take'!$M:$Q,3,FALSE)), 0, VLOOKUP(D1075,'[2]stock-take'!$M:$Q,3,FALSE))</f>
        <v>0</v>
      </c>
      <c r="M1075" s="48" t="str">
        <f t="shared" si="49"/>
        <v xml:space="preserve"> </v>
      </c>
      <c r="N1075" s="39" t="str">
        <f t="shared" si="50"/>
        <v xml:space="preserve"> </v>
      </c>
    </row>
    <row r="1076" spans="1:14">
      <c r="A1076" s="37">
        <f t="shared" si="48"/>
        <v>1065</v>
      </c>
      <c r="G1076" s="48" t="str">
        <f>IF(F1076=""," ",IF(ISNA(VLOOKUP(D1076,'[2]stock-take'!$A:$E,4,FALSE)), "OUT OF STOCK", VLOOKUP(D1076,'[2]stock-take'!$A:$E,4,FALSE)))</f>
        <v xml:space="preserve"> </v>
      </c>
      <c r="H1076" s="48">
        <f>IF(ISNA(VLOOKUP(D1076,'[2]stock-take'!$A:$E,3,FALSE)), 0, VLOOKUP(D1076,'[2]stock-take'!$A:$E,3,FALSE))</f>
        <v>0</v>
      </c>
      <c r="I1076" s="48" t="str">
        <f>IF(F1076="", " ",IF(ISNA(VLOOKUP(D1076,'[2]stock-take'!$G:$K,4,FALSE)), "OUT OF STOCK", VLOOKUP(D1076,'[2]stock-take'!$G:$K,4,FALSE)))</f>
        <v xml:space="preserve"> </v>
      </c>
      <c r="J1076" s="39">
        <f>IF(ISNA(VLOOKUP(D1076,'[2]stock-take'!$G:$K,3,FALSE)), 0, VLOOKUP(D1076,'[2]stock-take'!$G:$K,3,FALSE))</f>
        <v>0</v>
      </c>
      <c r="K1076" s="49" t="str">
        <f>IF(F1076="", " ", IF(ISNA(VLOOKUP(D1076,'[2]stock-take'!$M:$Q,4,FALSE)), "OUT OF STOCK", VLOOKUP(D1076,'[2]stock-take'!$M:$Q,4,FALSE)))</f>
        <v xml:space="preserve"> </v>
      </c>
      <c r="L1076" s="47">
        <f>IF(ISNA(VLOOKUP(D1076,'[2]stock-take'!$M:$Q,3,FALSE)), 0, VLOOKUP(D1076,'[2]stock-take'!$M:$Q,3,FALSE))</f>
        <v>0</v>
      </c>
      <c r="M1076" s="48" t="str">
        <f t="shared" si="49"/>
        <v xml:space="preserve"> </v>
      </c>
      <c r="N1076" s="39" t="str">
        <f t="shared" si="50"/>
        <v xml:space="preserve"> </v>
      </c>
    </row>
    <row r="1077" spans="1:14">
      <c r="A1077" s="37">
        <f t="shared" si="48"/>
        <v>1066</v>
      </c>
      <c r="G1077" s="48" t="str">
        <f>IF(F1077=""," ",IF(ISNA(VLOOKUP(D1077,'[2]stock-take'!$A:$E,4,FALSE)), "OUT OF STOCK", VLOOKUP(D1077,'[2]stock-take'!$A:$E,4,FALSE)))</f>
        <v xml:space="preserve"> </v>
      </c>
      <c r="H1077" s="48">
        <f>IF(ISNA(VLOOKUP(D1077,'[2]stock-take'!$A:$E,3,FALSE)), 0, VLOOKUP(D1077,'[2]stock-take'!$A:$E,3,FALSE))</f>
        <v>0</v>
      </c>
      <c r="I1077" s="48" t="str">
        <f>IF(F1077="", " ",IF(ISNA(VLOOKUP(D1077,'[2]stock-take'!$G:$K,4,FALSE)), "OUT OF STOCK", VLOOKUP(D1077,'[2]stock-take'!$G:$K,4,FALSE)))</f>
        <v xml:space="preserve"> </v>
      </c>
      <c r="J1077" s="39">
        <f>IF(ISNA(VLOOKUP(D1077,'[2]stock-take'!$G:$K,3,FALSE)), 0, VLOOKUP(D1077,'[2]stock-take'!$G:$K,3,FALSE))</f>
        <v>0</v>
      </c>
      <c r="K1077" s="49" t="str">
        <f>IF(F1077="", " ", IF(ISNA(VLOOKUP(D1077,'[2]stock-take'!$M:$Q,4,FALSE)), "OUT OF STOCK", VLOOKUP(D1077,'[2]stock-take'!$M:$Q,4,FALSE)))</f>
        <v xml:space="preserve"> </v>
      </c>
      <c r="L1077" s="47">
        <f>IF(ISNA(VLOOKUP(D1077,'[2]stock-take'!$M:$Q,3,FALSE)), 0, VLOOKUP(D1077,'[2]stock-take'!$M:$Q,3,FALSE))</f>
        <v>0</v>
      </c>
      <c r="M1077" s="48" t="str">
        <f t="shared" si="49"/>
        <v xml:space="preserve"> </v>
      </c>
      <c r="N1077" s="39" t="str">
        <f t="shared" si="50"/>
        <v xml:space="preserve"> </v>
      </c>
    </row>
    <row r="1078" spans="1:14">
      <c r="A1078" s="37">
        <f t="shared" si="48"/>
        <v>1067</v>
      </c>
      <c r="G1078" s="48" t="str">
        <f>IF(F1078=""," ",IF(ISNA(VLOOKUP(D1078,'[2]stock-take'!$A:$E,4,FALSE)), "OUT OF STOCK", VLOOKUP(D1078,'[2]stock-take'!$A:$E,4,FALSE)))</f>
        <v xml:space="preserve"> </v>
      </c>
      <c r="H1078" s="48">
        <f>IF(ISNA(VLOOKUP(D1078,'[2]stock-take'!$A:$E,3,FALSE)), 0, VLOOKUP(D1078,'[2]stock-take'!$A:$E,3,FALSE))</f>
        <v>0</v>
      </c>
      <c r="I1078" s="48" t="str">
        <f>IF(F1078="", " ",IF(ISNA(VLOOKUP(D1078,'[2]stock-take'!$G:$K,4,FALSE)), "OUT OF STOCK", VLOOKUP(D1078,'[2]stock-take'!$G:$K,4,FALSE)))</f>
        <v xml:space="preserve"> </v>
      </c>
      <c r="J1078" s="39">
        <f>IF(ISNA(VLOOKUP(D1078,'[2]stock-take'!$G:$K,3,FALSE)), 0, VLOOKUP(D1078,'[2]stock-take'!$G:$K,3,FALSE))</f>
        <v>0</v>
      </c>
      <c r="K1078" s="49" t="str">
        <f>IF(F1078="", " ", IF(ISNA(VLOOKUP(D1078,'[2]stock-take'!$M:$Q,4,FALSE)), "OUT OF STOCK", VLOOKUP(D1078,'[2]stock-take'!$M:$Q,4,FALSE)))</f>
        <v xml:space="preserve"> </v>
      </c>
      <c r="L1078" s="47">
        <f>IF(ISNA(VLOOKUP(D1078,'[2]stock-take'!$M:$Q,3,FALSE)), 0, VLOOKUP(D1078,'[2]stock-take'!$M:$Q,3,FALSE))</f>
        <v>0</v>
      </c>
      <c r="M1078" s="48" t="str">
        <f t="shared" si="49"/>
        <v xml:space="preserve"> </v>
      </c>
      <c r="N1078" s="39" t="str">
        <f t="shared" si="50"/>
        <v xml:space="preserve"> </v>
      </c>
    </row>
    <row r="1079" spans="1:14">
      <c r="A1079" s="37">
        <f t="shared" si="48"/>
        <v>1068</v>
      </c>
      <c r="G1079" s="48" t="str">
        <f>IF(F1079=""," ",IF(ISNA(VLOOKUP(D1079,'[2]stock-take'!$A:$E,4,FALSE)), "OUT OF STOCK", VLOOKUP(D1079,'[2]stock-take'!$A:$E,4,FALSE)))</f>
        <v xml:space="preserve"> </v>
      </c>
      <c r="H1079" s="48">
        <f>IF(ISNA(VLOOKUP(D1079,'[2]stock-take'!$A:$E,3,FALSE)), 0, VLOOKUP(D1079,'[2]stock-take'!$A:$E,3,FALSE))</f>
        <v>0</v>
      </c>
      <c r="I1079" s="48" t="str">
        <f>IF(F1079="", " ",IF(ISNA(VLOOKUP(D1079,'[2]stock-take'!$G:$K,4,FALSE)), "OUT OF STOCK", VLOOKUP(D1079,'[2]stock-take'!$G:$K,4,FALSE)))</f>
        <v xml:space="preserve"> </v>
      </c>
      <c r="J1079" s="39">
        <f>IF(ISNA(VLOOKUP(D1079,'[2]stock-take'!$G:$K,3,FALSE)), 0, VLOOKUP(D1079,'[2]stock-take'!$G:$K,3,FALSE))</f>
        <v>0</v>
      </c>
      <c r="K1079" s="49" t="str">
        <f>IF(F1079="", " ", IF(ISNA(VLOOKUP(D1079,'[2]stock-take'!$M:$Q,4,FALSE)), "OUT OF STOCK", VLOOKUP(D1079,'[2]stock-take'!$M:$Q,4,FALSE)))</f>
        <v xml:space="preserve"> </v>
      </c>
      <c r="L1079" s="47">
        <f>IF(ISNA(VLOOKUP(D1079,'[2]stock-take'!$M:$Q,3,FALSE)), 0, VLOOKUP(D1079,'[2]stock-take'!$M:$Q,3,FALSE))</f>
        <v>0</v>
      </c>
      <c r="M1079" s="48" t="str">
        <f t="shared" si="49"/>
        <v xml:space="preserve"> </v>
      </c>
      <c r="N1079" s="39" t="str">
        <f t="shared" si="50"/>
        <v xml:space="preserve"> </v>
      </c>
    </row>
    <row r="1080" spans="1:14">
      <c r="A1080" s="37">
        <f t="shared" si="48"/>
        <v>1069</v>
      </c>
      <c r="G1080" s="48" t="str">
        <f>IF(F1080=""," ",IF(ISNA(VLOOKUP(D1080,'[2]stock-take'!$A:$E,4,FALSE)), "OUT OF STOCK", VLOOKUP(D1080,'[2]stock-take'!$A:$E,4,FALSE)))</f>
        <v xml:space="preserve"> </v>
      </c>
      <c r="H1080" s="48">
        <f>IF(ISNA(VLOOKUP(D1080,'[2]stock-take'!$A:$E,3,FALSE)), 0, VLOOKUP(D1080,'[2]stock-take'!$A:$E,3,FALSE))</f>
        <v>0</v>
      </c>
      <c r="I1080" s="48" t="str">
        <f>IF(F1080="", " ",IF(ISNA(VLOOKUP(D1080,'[2]stock-take'!$G:$K,4,FALSE)), "OUT OF STOCK", VLOOKUP(D1080,'[2]stock-take'!$G:$K,4,FALSE)))</f>
        <v xml:space="preserve"> </v>
      </c>
      <c r="J1080" s="39">
        <f>IF(ISNA(VLOOKUP(D1080,'[2]stock-take'!$G:$K,3,FALSE)), 0, VLOOKUP(D1080,'[2]stock-take'!$G:$K,3,FALSE))</f>
        <v>0</v>
      </c>
      <c r="K1080" s="49" t="str">
        <f>IF(F1080="", " ", IF(ISNA(VLOOKUP(D1080,'[2]stock-take'!$M:$Q,4,FALSE)), "OUT OF STOCK", VLOOKUP(D1080,'[2]stock-take'!$M:$Q,4,FALSE)))</f>
        <v xml:space="preserve"> </v>
      </c>
      <c r="L1080" s="47">
        <f>IF(ISNA(VLOOKUP(D1080,'[2]stock-take'!$M:$Q,3,FALSE)), 0, VLOOKUP(D1080,'[2]stock-take'!$M:$Q,3,FALSE))</f>
        <v>0</v>
      </c>
      <c r="M1080" s="48" t="str">
        <f t="shared" si="49"/>
        <v xml:space="preserve"> </v>
      </c>
      <c r="N1080" s="39" t="str">
        <f t="shared" si="50"/>
        <v xml:space="preserve"> </v>
      </c>
    </row>
    <row r="1081" spans="1:14">
      <c r="A1081" s="37">
        <f t="shared" si="48"/>
        <v>1070</v>
      </c>
      <c r="G1081" s="48" t="str">
        <f>IF(F1081=""," ",IF(ISNA(VLOOKUP(D1081,'[2]stock-take'!$A:$E,4,FALSE)), "OUT OF STOCK", VLOOKUP(D1081,'[2]stock-take'!$A:$E,4,FALSE)))</f>
        <v xml:space="preserve"> </v>
      </c>
      <c r="H1081" s="48">
        <f>IF(ISNA(VLOOKUP(D1081,'[2]stock-take'!$A:$E,3,FALSE)), 0, VLOOKUP(D1081,'[2]stock-take'!$A:$E,3,FALSE))</f>
        <v>0</v>
      </c>
      <c r="I1081" s="48" t="str">
        <f>IF(F1081="", " ",IF(ISNA(VLOOKUP(D1081,'[2]stock-take'!$G:$K,4,FALSE)), "OUT OF STOCK", VLOOKUP(D1081,'[2]stock-take'!$G:$K,4,FALSE)))</f>
        <v xml:space="preserve"> </v>
      </c>
      <c r="J1081" s="39">
        <f>IF(ISNA(VLOOKUP(D1081,'[2]stock-take'!$G:$K,3,FALSE)), 0, VLOOKUP(D1081,'[2]stock-take'!$G:$K,3,FALSE))</f>
        <v>0</v>
      </c>
      <c r="K1081" s="49" t="str">
        <f>IF(F1081="", " ", IF(ISNA(VLOOKUP(D1081,'[2]stock-take'!$M:$Q,4,FALSE)), "OUT OF STOCK", VLOOKUP(D1081,'[2]stock-take'!$M:$Q,4,FALSE)))</f>
        <v xml:space="preserve"> </v>
      </c>
      <c r="L1081" s="47">
        <f>IF(ISNA(VLOOKUP(D1081,'[2]stock-take'!$M:$Q,3,FALSE)), 0, VLOOKUP(D1081,'[2]stock-take'!$M:$Q,3,FALSE))</f>
        <v>0</v>
      </c>
      <c r="M1081" s="48" t="str">
        <f t="shared" si="49"/>
        <v xml:space="preserve"> </v>
      </c>
      <c r="N1081" s="39" t="str">
        <f t="shared" si="50"/>
        <v xml:space="preserve"> </v>
      </c>
    </row>
    <row r="1082" spans="1:14">
      <c r="A1082" s="37">
        <f t="shared" si="48"/>
        <v>1071</v>
      </c>
      <c r="G1082" s="48" t="str">
        <f>IF(F1082=""," ",IF(ISNA(VLOOKUP(D1082,'[2]stock-take'!$A:$E,4,FALSE)), "OUT OF STOCK", VLOOKUP(D1082,'[2]stock-take'!$A:$E,4,FALSE)))</f>
        <v xml:space="preserve"> </v>
      </c>
      <c r="H1082" s="48">
        <f>IF(ISNA(VLOOKUP(D1082,'[2]stock-take'!$A:$E,3,FALSE)), 0, VLOOKUP(D1082,'[2]stock-take'!$A:$E,3,FALSE))</f>
        <v>0</v>
      </c>
      <c r="I1082" s="48" t="str">
        <f>IF(F1082="", " ",IF(ISNA(VLOOKUP(D1082,'[2]stock-take'!$G:$K,4,FALSE)), "OUT OF STOCK", VLOOKUP(D1082,'[2]stock-take'!$G:$K,4,FALSE)))</f>
        <v xml:space="preserve"> </v>
      </c>
      <c r="J1082" s="39">
        <f>IF(ISNA(VLOOKUP(D1082,'[2]stock-take'!$G:$K,3,FALSE)), 0, VLOOKUP(D1082,'[2]stock-take'!$G:$K,3,FALSE))</f>
        <v>0</v>
      </c>
      <c r="K1082" s="49" t="str">
        <f>IF(F1082="", " ", IF(ISNA(VLOOKUP(D1082,'[2]stock-take'!$M:$Q,4,FALSE)), "OUT OF STOCK", VLOOKUP(D1082,'[2]stock-take'!$M:$Q,4,FALSE)))</f>
        <v xml:space="preserve"> </v>
      </c>
      <c r="L1082" s="47">
        <f>IF(ISNA(VLOOKUP(D1082,'[2]stock-take'!$M:$Q,3,FALSE)), 0, VLOOKUP(D1082,'[2]stock-take'!$M:$Q,3,FALSE))</f>
        <v>0</v>
      </c>
      <c r="M1082" s="48" t="str">
        <f t="shared" si="49"/>
        <v xml:space="preserve"> </v>
      </c>
      <c r="N1082" s="39" t="str">
        <f t="shared" si="50"/>
        <v xml:space="preserve"> </v>
      </c>
    </row>
    <row r="1083" spans="1:14">
      <c r="A1083" s="37">
        <f t="shared" si="48"/>
        <v>1072</v>
      </c>
      <c r="G1083" s="48" t="str">
        <f>IF(F1083=""," ",IF(ISNA(VLOOKUP(D1083,'[2]stock-take'!$A:$E,4,FALSE)), "OUT OF STOCK", VLOOKUP(D1083,'[2]stock-take'!$A:$E,4,FALSE)))</f>
        <v xml:space="preserve"> </v>
      </c>
      <c r="H1083" s="48">
        <f>IF(ISNA(VLOOKUP(D1083,'[2]stock-take'!$A:$E,3,FALSE)), 0, VLOOKUP(D1083,'[2]stock-take'!$A:$E,3,FALSE))</f>
        <v>0</v>
      </c>
      <c r="I1083" s="48" t="str">
        <f>IF(F1083="", " ",IF(ISNA(VLOOKUP(D1083,'[2]stock-take'!$G:$K,4,FALSE)), "OUT OF STOCK", VLOOKUP(D1083,'[2]stock-take'!$G:$K,4,FALSE)))</f>
        <v xml:space="preserve"> </v>
      </c>
      <c r="J1083" s="39">
        <f>IF(ISNA(VLOOKUP(D1083,'[2]stock-take'!$G:$K,3,FALSE)), 0, VLOOKUP(D1083,'[2]stock-take'!$G:$K,3,FALSE))</f>
        <v>0</v>
      </c>
      <c r="K1083" s="49" t="str">
        <f>IF(F1083="", " ", IF(ISNA(VLOOKUP(D1083,'[2]stock-take'!$M:$Q,4,FALSE)), "OUT OF STOCK", VLOOKUP(D1083,'[2]stock-take'!$M:$Q,4,FALSE)))</f>
        <v xml:space="preserve"> </v>
      </c>
      <c r="L1083" s="47">
        <f>IF(ISNA(VLOOKUP(D1083,'[2]stock-take'!$M:$Q,3,FALSE)), 0, VLOOKUP(D1083,'[2]stock-take'!$M:$Q,3,FALSE))</f>
        <v>0</v>
      </c>
      <c r="M1083" s="48" t="str">
        <f t="shared" si="49"/>
        <v xml:space="preserve"> </v>
      </c>
      <c r="N1083" s="39" t="str">
        <f t="shared" si="50"/>
        <v xml:space="preserve"> </v>
      </c>
    </row>
    <row r="1084" spans="1:14">
      <c r="A1084" s="37">
        <f t="shared" si="48"/>
        <v>1073</v>
      </c>
      <c r="G1084" s="48" t="str">
        <f>IF(F1084=""," ",IF(ISNA(VLOOKUP(D1084,'[2]stock-take'!$A:$E,4,FALSE)), "OUT OF STOCK", VLOOKUP(D1084,'[2]stock-take'!$A:$E,4,FALSE)))</f>
        <v xml:space="preserve"> </v>
      </c>
      <c r="H1084" s="48">
        <f>IF(ISNA(VLOOKUP(D1084,'[2]stock-take'!$A:$E,3,FALSE)), 0, VLOOKUP(D1084,'[2]stock-take'!$A:$E,3,FALSE))</f>
        <v>0</v>
      </c>
      <c r="I1084" s="48" t="str">
        <f>IF(F1084="", " ",IF(ISNA(VLOOKUP(D1084,'[2]stock-take'!$G:$K,4,FALSE)), "OUT OF STOCK", VLOOKUP(D1084,'[2]stock-take'!$G:$K,4,FALSE)))</f>
        <v xml:space="preserve"> </v>
      </c>
      <c r="J1084" s="39">
        <f>IF(ISNA(VLOOKUP(D1084,'[2]stock-take'!$G:$K,3,FALSE)), 0, VLOOKUP(D1084,'[2]stock-take'!$G:$K,3,FALSE))</f>
        <v>0</v>
      </c>
      <c r="K1084" s="49" t="str">
        <f>IF(F1084="", " ", IF(ISNA(VLOOKUP(D1084,'[2]stock-take'!$M:$Q,4,FALSE)), "OUT OF STOCK", VLOOKUP(D1084,'[2]stock-take'!$M:$Q,4,FALSE)))</f>
        <v xml:space="preserve"> </v>
      </c>
      <c r="L1084" s="47">
        <f>IF(ISNA(VLOOKUP(D1084,'[2]stock-take'!$M:$Q,3,FALSE)), 0, VLOOKUP(D1084,'[2]stock-take'!$M:$Q,3,FALSE))</f>
        <v>0</v>
      </c>
      <c r="M1084" s="48" t="str">
        <f t="shared" si="49"/>
        <v xml:space="preserve"> </v>
      </c>
      <c r="N1084" s="39" t="str">
        <f t="shared" si="50"/>
        <v xml:space="preserve"> </v>
      </c>
    </row>
    <row r="1085" spans="1:14">
      <c r="A1085" s="37">
        <f t="shared" si="48"/>
        <v>1074</v>
      </c>
      <c r="G1085" s="48" t="str">
        <f>IF(F1085=""," ",IF(ISNA(VLOOKUP(D1085,'[2]stock-take'!$A:$E,4,FALSE)), "OUT OF STOCK", VLOOKUP(D1085,'[2]stock-take'!$A:$E,4,FALSE)))</f>
        <v xml:space="preserve"> </v>
      </c>
      <c r="H1085" s="48">
        <f>IF(ISNA(VLOOKUP(D1085,'[2]stock-take'!$A:$E,3,FALSE)), 0, VLOOKUP(D1085,'[2]stock-take'!$A:$E,3,FALSE))</f>
        <v>0</v>
      </c>
      <c r="I1085" s="48" t="str">
        <f>IF(F1085="", " ",IF(ISNA(VLOOKUP(D1085,'[2]stock-take'!$G:$K,4,FALSE)), "OUT OF STOCK", VLOOKUP(D1085,'[2]stock-take'!$G:$K,4,FALSE)))</f>
        <v xml:space="preserve"> </v>
      </c>
      <c r="J1085" s="39">
        <f>IF(ISNA(VLOOKUP(D1085,'[2]stock-take'!$G:$K,3,FALSE)), 0, VLOOKUP(D1085,'[2]stock-take'!$G:$K,3,FALSE))</f>
        <v>0</v>
      </c>
      <c r="K1085" s="49" t="str">
        <f>IF(F1085="", " ", IF(ISNA(VLOOKUP(D1085,'[2]stock-take'!$M:$Q,4,FALSE)), "OUT OF STOCK", VLOOKUP(D1085,'[2]stock-take'!$M:$Q,4,FALSE)))</f>
        <v xml:space="preserve"> </v>
      </c>
      <c r="L1085" s="47">
        <f>IF(ISNA(VLOOKUP(D1085,'[2]stock-take'!$M:$Q,3,FALSE)), 0, VLOOKUP(D1085,'[2]stock-take'!$M:$Q,3,FALSE))</f>
        <v>0</v>
      </c>
      <c r="M1085" s="48" t="str">
        <f t="shared" si="49"/>
        <v xml:space="preserve"> </v>
      </c>
      <c r="N1085" s="39" t="str">
        <f t="shared" si="50"/>
        <v xml:space="preserve"> </v>
      </c>
    </row>
    <row r="1086" spans="1:14">
      <c r="A1086" s="37">
        <f t="shared" si="48"/>
        <v>1075</v>
      </c>
      <c r="G1086" s="48" t="str">
        <f>IF(F1086=""," ",IF(ISNA(VLOOKUP(D1086,'[2]stock-take'!$A:$E,4,FALSE)), "OUT OF STOCK", VLOOKUP(D1086,'[2]stock-take'!$A:$E,4,FALSE)))</f>
        <v xml:space="preserve"> </v>
      </c>
      <c r="H1086" s="48">
        <f>IF(ISNA(VLOOKUP(D1086,'[2]stock-take'!$A:$E,3,FALSE)), 0, VLOOKUP(D1086,'[2]stock-take'!$A:$E,3,FALSE))</f>
        <v>0</v>
      </c>
      <c r="I1086" s="48" t="str">
        <f>IF(F1086="", " ",IF(ISNA(VLOOKUP(D1086,'[2]stock-take'!$G:$K,4,FALSE)), "OUT OF STOCK", VLOOKUP(D1086,'[2]stock-take'!$G:$K,4,FALSE)))</f>
        <v xml:space="preserve"> </v>
      </c>
      <c r="J1086" s="39">
        <f>IF(ISNA(VLOOKUP(D1086,'[2]stock-take'!$G:$K,3,FALSE)), 0, VLOOKUP(D1086,'[2]stock-take'!$G:$K,3,FALSE))</f>
        <v>0</v>
      </c>
      <c r="K1086" s="49" t="str">
        <f>IF(F1086="", " ", IF(ISNA(VLOOKUP(D1086,'[2]stock-take'!$M:$Q,4,FALSE)), "OUT OF STOCK", VLOOKUP(D1086,'[2]stock-take'!$M:$Q,4,FALSE)))</f>
        <v xml:space="preserve"> </v>
      </c>
      <c r="L1086" s="47">
        <f>IF(ISNA(VLOOKUP(D1086,'[2]stock-take'!$M:$Q,3,FALSE)), 0, VLOOKUP(D1086,'[2]stock-take'!$M:$Q,3,FALSE))</f>
        <v>0</v>
      </c>
      <c r="M1086" s="48" t="str">
        <f t="shared" si="49"/>
        <v xml:space="preserve"> </v>
      </c>
      <c r="N1086" s="39" t="str">
        <f t="shared" si="50"/>
        <v xml:space="preserve"> </v>
      </c>
    </row>
    <row r="1087" spans="1:14">
      <c r="A1087" s="37">
        <f t="shared" si="48"/>
        <v>1076</v>
      </c>
      <c r="G1087" s="48" t="str">
        <f>IF(F1087=""," ",IF(ISNA(VLOOKUP(D1087,'[2]stock-take'!$A:$E,4,FALSE)), "OUT OF STOCK", VLOOKUP(D1087,'[2]stock-take'!$A:$E,4,FALSE)))</f>
        <v xml:space="preserve"> </v>
      </c>
      <c r="H1087" s="48">
        <f>IF(ISNA(VLOOKUP(D1087,'[2]stock-take'!$A:$E,3,FALSE)), 0, VLOOKUP(D1087,'[2]stock-take'!$A:$E,3,FALSE))</f>
        <v>0</v>
      </c>
      <c r="I1087" s="48" t="str">
        <f>IF(F1087="", " ",IF(ISNA(VLOOKUP(D1087,'[2]stock-take'!$G:$K,4,FALSE)), "OUT OF STOCK", VLOOKUP(D1087,'[2]stock-take'!$G:$K,4,FALSE)))</f>
        <v xml:space="preserve"> </v>
      </c>
      <c r="J1087" s="39">
        <f>IF(ISNA(VLOOKUP(D1087,'[2]stock-take'!$G:$K,3,FALSE)), 0, VLOOKUP(D1087,'[2]stock-take'!$G:$K,3,FALSE))</f>
        <v>0</v>
      </c>
      <c r="K1087" s="49" t="str">
        <f>IF(F1087="", " ", IF(ISNA(VLOOKUP(D1087,'[2]stock-take'!$M:$Q,4,FALSE)), "OUT OF STOCK", VLOOKUP(D1087,'[2]stock-take'!$M:$Q,4,FALSE)))</f>
        <v xml:space="preserve"> </v>
      </c>
      <c r="L1087" s="47">
        <f>IF(ISNA(VLOOKUP(D1087,'[2]stock-take'!$M:$Q,3,FALSE)), 0, VLOOKUP(D1087,'[2]stock-take'!$M:$Q,3,FALSE))</f>
        <v>0</v>
      </c>
      <c r="M1087" s="48" t="str">
        <f t="shared" si="49"/>
        <v xml:space="preserve"> </v>
      </c>
      <c r="N1087" s="39" t="str">
        <f t="shared" si="50"/>
        <v xml:space="preserve"> </v>
      </c>
    </row>
    <row r="1088" spans="1:14">
      <c r="A1088" s="37">
        <f t="shared" si="48"/>
        <v>1077</v>
      </c>
      <c r="G1088" s="48" t="str">
        <f>IF(F1088=""," ",IF(ISNA(VLOOKUP(D1088,'[2]stock-take'!$A:$E,4,FALSE)), "OUT OF STOCK", VLOOKUP(D1088,'[2]stock-take'!$A:$E,4,FALSE)))</f>
        <v xml:space="preserve"> </v>
      </c>
      <c r="H1088" s="48">
        <f>IF(ISNA(VLOOKUP(D1088,'[2]stock-take'!$A:$E,3,FALSE)), 0, VLOOKUP(D1088,'[2]stock-take'!$A:$E,3,FALSE))</f>
        <v>0</v>
      </c>
      <c r="I1088" s="48" t="str">
        <f>IF(F1088="", " ",IF(ISNA(VLOOKUP(D1088,'[2]stock-take'!$G:$K,4,FALSE)), "OUT OF STOCK", VLOOKUP(D1088,'[2]stock-take'!$G:$K,4,FALSE)))</f>
        <v xml:space="preserve"> </v>
      </c>
      <c r="J1088" s="39">
        <f>IF(ISNA(VLOOKUP(D1088,'[2]stock-take'!$G:$K,3,FALSE)), 0, VLOOKUP(D1088,'[2]stock-take'!$G:$K,3,FALSE))</f>
        <v>0</v>
      </c>
      <c r="K1088" s="49" t="str">
        <f>IF(F1088="", " ", IF(ISNA(VLOOKUP(D1088,'[2]stock-take'!$M:$Q,4,FALSE)), "OUT OF STOCK", VLOOKUP(D1088,'[2]stock-take'!$M:$Q,4,FALSE)))</f>
        <v xml:space="preserve"> </v>
      </c>
      <c r="L1088" s="47">
        <f>IF(ISNA(VLOOKUP(D1088,'[2]stock-take'!$M:$Q,3,FALSE)), 0, VLOOKUP(D1088,'[2]stock-take'!$M:$Q,3,FALSE))</f>
        <v>0</v>
      </c>
      <c r="M1088" s="48" t="str">
        <f t="shared" si="49"/>
        <v xml:space="preserve"> </v>
      </c>
      <c r="N1088" s="39" t="str">
        <f t="shared" si="50"/>
        <v xml:space="preserve"> </v>
      </c>
    </row>
    <row r="1089" spans="1:14">
      <c r="A1089" s="37">
        <f t="shared" si="48"/>
        <v>1078</v>
      </c>
      <c r="G1089" s="48" t="str">
        <f>IF(F1089=""," ",IF(ISNA(VLOOKUP(D1089,'[2]stock-take'!$A:$E,4,FALSE)), "OUT OF STOCK", VLOOKUP(D1089,'[2]stock-take'!$A:$E,4,FALSE)))</f>
        <v xml:space="preserve"> </v>
      </c>
      <c r="H1089" s="48">
        <f>IF(ISNA(VLOOKUP(D1089,'[2]stock-take'!$A:$E,3,FALSE)), 0, VLOOKUP(D1089,'[2]stock-take'!$A:$E,3,FALSE))</f>
        <v>0</v>
      </c>
      <c r="I1089" s="48" t="str">
        <f>IF(F1089="", " ",IF(ISNA(VLOOKUP(D1089,'[2]stock-take'!$G:$K,4,FALSE)), "OUT OF STOCK", VLOOKUP(D1089,'[2]stock-take'!$G:$K,4,FALSE)))</f>
        <v xml:space="preserve"> </v>
      </c>
      <c r="J1089" s="39">
        <f>IF(ISNA(VLOOKUP(D1089,'[2]stock-take'!$G:$K,3,FALSE)), 0, VLOOKUP(D1089,'[2]stock-take'!$G:$K,3,FALSE))</f>
        <v>0</v>
      </c>
      <c r="K1089" s="49" t="str">
        <f>IF(F1089="", " ", IF(ISNA(VLOOKUP(D1089,'[2]stock-take'!$M:$Q,4,FALSE)), "OUT OF STOCK", VLOOKUP(D1089,'[2]stock-take'!$M:$Q,4,FALSE)))</f>
        <v xml:space="preserve"> </v>
      </c>
      <c r="L1089" s="47">
        <f>IF(ISNA(VLOOKUP(D1089,'[2]stock-take'!$M:$Q,3,FALSE)), 0, VLOOKUP(D1089,'[2]stock-take'!$M:$Q,3,FALSE))</f>
        <v>0</v>
      </c>
      <c r="M1089" s="48" t="str">
        <f t="shared" si="49"/>
        <v xml:space="preserve"> </v>
      </c>
      <c r="N1089" s="39" t="str">
        <f t="shared" si="50"/>
        <v xml:space="preserve"> </v>
      </c>
    </row>
    <row r="1090" spans="1:14">
      <c r="A1090" s="37">
        <f t="shared" si="48"/>
        <v>1079</v>
      </c>
      <c r="G1090" s="48" t="str">
        <f>IF(F1090=""," ",IF(ISNA(VLOOKUP(D1090,'[2]stock-take'!$A:$E,4,FALSE)), "OUT OF STOCK", VLOOKUP(D1090,'[2]stock-take'!$A:$E,4,FALSE)))</f>
        <v xml:space="preserve"> </v>
      </c>
      <c r="H1090" s="48">
        <f>IF(ISNA(VLOOKUP(D1090,'[2]stock-take'!$A:$E,3,FALSE)), 0, VLOOKUP(D1090,'[2]stock-take'!$A:$E,3,FALSE))</f>
        <v>0</v>
      </c>
      <c r="I1090" s="48" t="str">
        <f>IF(F1090="", " ",IF(ISNA(VLOOKUP(D1090,'[2]stock-take'!$G:$K,4,FALSE)), "OUT OF STOCK", VLOOKUP(D1090,'[2]stock-take'!$G:$K,4,FALSE)))</f>
        <v xml:space="preserve"> </v>
      </c>
      <c r="J1090" s="39">
        <f>IF(ISNA(VLOOKUP(D1090,'[2]stock-take'!$G:$K,3,FALSE)), 0, VLOOKUP(D1090,'[2]stock-take'!$G:$K,3,FALSE))</f>
        <v>0</v>
      </c>
      <c r="K1090" s="49" t="str">
        <f>IF(F1090="", " ", IF(ISNA(VLOOKUP(D1090,'[2]stock-take'!$M:$Q,4,FALSE)), "OUT OF STOCK", VLOOKUP(D1090,'[2]stock-take'!$M:$Q,4,FALSE)))</f>
        <v xml:space="preserve"> </v>
      </c>
      <c r="L1090" s="47">
        <f>IF(ISNA(VLOOKUP(D1090,'[2]stock-take'!$M:$Q,3,FALSE)), 0, VLOOKUP(D1090,'[2]stock-take'!$M:$Q,3,FALSE))</f>
        <v>0</v>
      </c>
      <c r="M1090" s="48" t="str">
        <f t="shared" si="49"/>
        <v xml:space="preserve"> </v>
      </c>
      <c r="N1090" s="39" t="str">
        <f t="shared" si="50"/>
        <v xml:space="preserve"> </v>
      </c>
    </row>
    <row r="1091" spans="1:14">
      <c r="A1091" s="37">
        <f t="shared" si="48"/>
        <v>1080</v>
      </c>
      <c r="G1091" s="48" t="str">
        <f>IF(F1091=""," ",IF(ISNA(VLOOKUP(D1091,'[2]stock-take'!$A:$E,4,FALSE)), "OUT OF STOCK", VLOOKUP(D1091,'[2]stock-take'!$A:$E,4,FALSE)))</f>
        <v xml:space="preserve"> </v>
      </c>
      <c r="H1091" s="48">
        <f>IF(ISNA(VLOOKUP(D1091,'[2]stock-take'!$A:$E,3,FALSE)), 0, VLOOKUP(D1091,'[2]stock-take'!$A:$E,3,FALSE))</f>
        <v>0</v>
      </c>
      <c r="I1091" s="48" t="str">
        <f>IF(F1091="", " ",IF(ISNA(VLOOKUP(D1091,'[2]stock-take'!$G:$K,4,FALSE)), "OUT OF STOCK", VLOOKUP(D1091,'[2]stock-take'!$G:$K,4,FALSE)))</f>
        <v xml:space="preserve"> </v>
      </c>
      <c r="J1091" s="39">
        <f>IF(ISNA(VLOOKUP(D1091,'[2]stock-take'!$G:$K,3,FALSE)), 0, VLOOKUP(D1091,'[2]stock-take'!$G:$K,3,FALSE))</f>
        <v>0</v>
      </c>
      <c r="K1091" s="49" t="str">
        <f>IF(F1091="", " ", IF(ISNA(VLOOKUP(D1091,'[2]stock-take'!$M:$Q,4,FALSE)), "OUT OF STOCK", VLOOKUP(D1091,'[2]stock-take'!$M:$Q,4,FALSE)))</f>
        <v xml:space="preserve"> </v>
      </c>
      <c r="L1091" s="47">
        <f>IF(ISNA(VLOOKUP(D1091,'[2]stock-take'!$M:$Q,3,FALSE)), 0, VLOOKUP(D1091,'[2]stock-take'!$M:$Q,3,FALSE))</f>
        <v>0</v>
      </c>
      <c r="M1091" s="48" t="str">
        <f t="shared" si="49"/>
        <v xml:space="preserve"> </v>
      </c>
      <c r="N1091" s="39" t="str">
        <f t="shared" si="50"/>
        <v xml:space="preserve"> </v>
      </c>
    </row>
    <row r="1092" spans="1:14">
      <c r="A1092" s="37">
        <f t="shared" si="48"/>
        <v>1081</v>
      </c>
      <c r="G1092" s="48" t="str">
        <f>IF(F1092=""," ",IF(ISNA(VLOOKUP(D1092,'[2]stock-take'!$A:$E,4,FALSE)), "OUT OF STOCK", VLOOKUP(D1092,'[2]stock-take'!$A:$E,4,FALSE)))</f>
        <v xml:space="preserve"> </v>
      </c>
      <c r="H1092" s="48">
        <f>IF(ISNA(VLOOKUP(D1092,'[2]stock-take'!$A:$E,3,FALSE)), 0, VLOOKUP(D1092,'[2]stock-take'!$A:$E,3,FALSE))</f>
        <v>0</v>
      </c>
      <c r="I1092" s="48" t="str">
        <f>IF(F1092="", " ",IF(ISNA(VLOOKUP(D1092,'[2]stock-take'!$G:$K,4,FALSE)), "OUT OF STOCK", VLOOKUP(D1092,'[2]stock-take'!$G:$K,4,FALSE)))</f>
        <v xml:space="preserve"> </v>
      </c>
      <c r="J1092" s="39">
        <f>IF(ISNA(VLOOKUP(D1092,'[2]stock-take'!$G:$K,3,FALSE)), 0, VLOOKUP(D1092,'[2]stock-take'!$G:$K,3,FALSE))</f>
        <v>0</v>
      </c>
      <c r="K1092" s="49" t="str">
        <f>IF(F1092="", " ", IF(ISNA(VLOOKUP(D1092,'[2]stock-take'!$M:$Q,4,FALSE)), "OUT OF STOCK", VLOOKUP(D1092,'[2]stock-take'!$M:$Q,4,FALSE)))</f>
        <v xml:space="preserve"> </v>
      </c>
      <c r="L1092" s="47">
        <f>IF(ISNA(VLOOKUP(D1092,'[2]stock-take'!$M:$Q,3,FALSE)), 0, VLOOKUP(D1092,'[2]stock-take'!$M:$Q,3,FALSE))</f>
        <v>0</v>
      </c>
      <c r="M1092" s="48" t="str">
        <f t="shared" si="49"/>
        <v xml:space="preserve"> </v>
      </c>
      <c r="N1092" s="39" t="str">
        <f t="shared" si="50"/>
        <v xml:space="preserve"> </v>
      </c>
    </row>
    <row r="1093" spans="1:14">
      <c r="A1093" s="37">
        <f t="shared" si="48"/>
        <v>1082</v>
      </c>
      <c r="G1093" s="48" t="str">
        <f>IF(F1093=""," ",IF(ISNA(VLOOKUP(D1093,'[2]stock-take'!$A:$E,4,FALSE)), "OUT OF STOCK", VLOOKUP(D1093,'[2]stock-take'!$A:$E,4,FALSE)))</f>
        <v xml:space="preserve"> </v>
      </c>
      <c r="H1093" s="48">
        <f>IF(ISNA(VLOOKUP(D1093,'[2]stock-take'!$A:$E,3,FALSE)), 0, VLOOKUP(D1093,'[2]stock-take'!$A:$E,3,FALSE))</f>
        <v>0</v>
      </c>
      <c r="I1093" s="48" t="str">
        <f>IF(F1093="", " ",IF(ISNA(VLOOKUP(D1093,'[2]stock-take'!$G:$K,4,FALSE)), "OUT OF STOCK", VLOOKUP(D1093,'[2]stock-take'!$G:$K,4,FALSE)))</f>
        <v xml:space="preserve"> </v>
      </c>
      <c r="J1093" s="39">
        <f>IF(ISNA(VLOOKUP(D1093,'[2]stock-take'!$G:$K,3,FALSE)), 0, VLOOKUP(D1093,'[2]stock-take'!$G:$K,3,FALSE))</f>
        <v>0</v>
      </c>
      <c r="K1093" s="49" t="str">
        <f>IF(F1093="", " ", IF(ISNA(VLOOKUP(D1093,'[2]stock-take'!$M:$Q,4,FALSE)), "OUT OF STOCK", VLOOKUP(D1093,'[2]stock-take'!$M:$Q,4,FALSE)))</f>
        <v xml:space="preserve"> </v>
      </c>
      <c r="L1093" s="47">
        <f>IF(ISNA(VLOOKUP(D1093,'[2]stock-take'!$M:$Q,3,FALSE)), 0, VLOOKUP(D1093,'[2]stock-take'!$M:$Q,3,FALSE))</f>
        <v>0</v>
      </c>
      <c r="M1093" s="48" t="str">
        <f t="shared" si="49"/>
        <v xml:space="preserve"> </v>
      </c>
      <c r="N1093" s="39" t="str">
        <f t="shared" si="50"/>
        <v xml:space="preserve"> </v>
      </c>
    </row>
    <row r="1094" spans="1:14">
      <c r="A1094" s="37">
        <f t="shared" si="48"/>
        <v>1083</v>
      </c>
      <c r="G1094" s="48" t="str">
        <f>IF(F1094=""," ",IF(ISNA(VLOOKUP(D1094,'[2]stock-take'!$A:$E,4,FALSE)), "OUT OF STOCK", VLOOKUP(D1094,'[2]stock-take'!$A:$E,4,FALSE)))</f>
        <v xml:space="preserve"> </v>
      </c>
      <c r="H1094" s="48">
        <f>IF(ISNA(VLOOKUP(D1094,'[2]stock-take'!$A:$E,3,FALSE)), 0, VLOOKUP(D1094,'[2]stock-take'!$A:$E,3,FALSE))</f>
        <v>0</v>
      </c>
      <c r="I1094" s="48" t="str">
        <f>IF(F1094="", " ",IF(ISNA(VLOOKUP(D1094,'[2]stock-take'!$G:$K,4,FALSE)), "OUT OF STOCK", VLOOKUP(D1094,'[2]stock-take'!$G:$K,4,FALSE)))</f>
        <v xml:space="preserve"> </v>
      </c>
      <c r="J1094" s="39">
        <f>IF(ISNA(VLOOKUP(D1094,'[2]stock-take'!$G:$K,3,FALSE)), 0, VLOOKUP(D1094,'[2]stock-take'!$G:$K,3,FALSE))</f>
        <v>0</v>
      </c>
      <c r="K1094" s="49" t="str">
        <f>IF(F1094="", " ", IF(ISNA(VLOOKUP(D1094,'[2]stock-take'!$M:$Q,4,FALSE)), "OUT OF STOCK", VLOOKUP(D1094,'[2]stock-take'!$M:$Q,4,FALSE)))</f>
        <v xml:space="preserve"> </v>
      </c>
      <c r="L1094" s="47">
        <f>IF(ISNA(VLOOKUP(D1094,'[2]stock-take'!$M:$Q,3,FALSE)), 0, VLOOKUP(D1094,'[2]stock-take'!$M:$Q,3,FALSE))</f>
        <v>0</v>
      </c>
      <c r="M1094" s="48" t="str">
        <f t="shared" si="49"/>
        <v xml:space="preserve"> </v>
      </c>
      <c r="N1094" s="39" t="str">
        <f t="shared" si="50"/>
        <v xml:space="preserve"> </v>
      </c>
    </row>
    <row r="1095" spans="1:14">
      <c r="A1095" s="37">
        <f t="shared" si="48"/>
        <v>1084</v>
      </c>
      <c r="G1095" s="48" t="str">
        <f>IF(F1095=""," ",IF(ISNA(VLOOKUP(D1095,'[2]stock-take'!$A:$E,4,FALSE)), "OUT OF STOCK", VLOOKUP(D1095,'[2]stock-take'!$A:$E,4,FALSE)))</f>
        <v xml:space="preserve"> </v>
      </c>
      <c r="H1095" s="48">
        <f>IF(ISNA(VLOOKUP(D1095,'[2]stock-take'!$A:$E,3,FALSE)), 0, VLOOKUP(D1095,'[2]stock-take'!$A:$E,3,FALSE))</f>
        <v>0</v>
      </c>
      <c r="I1095" s="48" t="str">
        <f>IF(F1095="", " ",IF(ISNA(VLOOKUP(D1095,'[2]stock-take'!$G:$K,4,FALSE)), "OUT OF STOCK", VLOOKUP(D1095,'[2]stock-take'!$G:$K,4,FALSE)))</f>
        <v xml:space="preserve"> </v>
      </c>
      <c r="J1095" s="39">
        <f>IF(ISNA(VLOOKUP(D1095,'[2]stock-take'!$G:$K,3,FALSE)), 0, VLOOKUP(D1095,'[2]stock-take'!$G:$K,3,FALSE))</f>
        <v>0</v>
      </c>
      <c r="K1095" s="49" t="str">
        <f>IF(F1095="", " ", IF(ISNA(VLOOKUP(D1095,'[2]stock-take'!$M:$Q,4,FALSE)), "OUT OF STOCK", VLOOKUP(D1095,'[2]stock-take'!$M:$Q,4,FALSE)))</f>
        <v xml:space="preserve"> </v>
      </c>
      <c r="L1095" s="47">
        <f>IF(ISNA(VLOOKUP(D1095,'[2]stock-take'!$M:$Q,3,FALSE)), 0, VLOOKUP(D1095,'[2]stock-take'!$M:$Q,3,FALSE))</f>
        <v>0</v>
      </c>
      <c r="M1095" s="48" t="str">
        <f t="shared" si="49"/>
        <v xml:space="preserve"> </v>
      </c>
      <c r="N1095" s="39" t="str">
        <f t="shared" si="50"/>
        <v xml:space="preserve"> </v>
      </c>
    </row>
    <row r="1096" spans="1:14">
      <c r="A1096" s="37">
        <f t="shared" si="48"/>
        <v>1085</v>
      </c>
      <c r="G1096" s="48" t="str">
        <f>IF(F1096=""," ",IF(ISNA(VLOOKUP(D1096,'[2]stock-take'!$A:$E,4,FALSE)), "OUT OF STOCK", VLOOKUP(D1096,'[2]stock-take'!$A:$E,4,FALSE)))</f>
        <v xml:space="preserve"> </v>
      </c>
      <c r="H1096" s="48">
        <f>IF(ISNA(VLOOKUP(D1096,'[2]stock-take'!$A:$E,3,FALSE)), 0, VLOOKUP(D1096,'[2]stock-take'!$A:$E,3,FALSE))</f>
        <v>0</v>
      </c>
      <c r="I1096" s="48" t="str">
        <f>IF(F1096="", " ",IF(ISNA(VLOOKUP(D1096,'[2]stock-take'!$G:$K,4,FALSE)), "OUT OF STOCK", VLOOKUP(D1096,'[2]stock-take'!$G:$K,4,FALSE)))</f>
        <v xml:space="preserve"> </v>
      </c>
      <c r="J1096" s="39">
        <f>IF(ISNA(VLOOKUP(D1096,'[2]stock-take'!$G:$K,3,FALSE)), 0, VLOOKUP(D1096,'[2]stock-take'!$G:$K,3,FALSE))</f>
        <v>0</v>
      </c>
      <c r="K1096" s="49" t="str">
        <f>IF(F1096="", " ", IF(ISNA(VLOOKUP(D1096,'[2]stock-take'!$M:$Q,4,FALSE)), "OUT OF STOCK", VLOOKUP(D1096,'[2]stock-take'!$M:$Q,4,FALSE)))</f>
        <v xml:space="preserve"> </v>
      </c>
      <c r="L1096" s="47">
        <f>IF(ISNA(VLOOKUP(D1096,'[2]stock-take'!$M:$Q,3,FALSE)), 0, VLOOKUP(D1096,'[2]stock-take'!$M:$Q,3,FALSE))</f>
        <v>0</v>
      </c>
      <c r="M1096" s="48" t="str">
        <f t="shared" si="49"/>
        <v xml:space="preserve"> </v>
      </c>
      <c r="N1096" s="39" t="str">
        <f t="shared" si="50"/>
        <v xml:space="preserve"> </v>
      </c>
    </row>
    <row r="1097" spans="1:14">
      <c r="A1097" s="37">
        <f t="shared" si="48"/>
        <v>1086</v>
      </c>
      <c r="G1097" s="48" t="str">
        <f>IF(F1097=""," ",IF(ISNA(VLOOKUP(D1097,'[2]stock-take'!$A:$E,4,FALSE)), "OUT OF STOCK", VLOOKUP(D1097,'[2]stock-take'!$A:$E,4,FALSE)))</f>
        <v xml:space="preserve"> </v>
      </c>
      <c r="H1097" s="48">
        <f>IF(ISNA(VLOOKUP(D1097,'[2]stock-take'!$A:$E,3,FALSE)), 0, VLOOKUP(D1097,'[2]stock-take'!$A:$E,3,FALSE))</f>
        <v>0</v>
      </c>
      <c r="I1097" s="48" t="str">
        <f>IF(F1097="", " ",IF(ISNA(VLOOKUP(D1097,'[2]stock-take'!$G:$K,4,FALSE)), "OUT OF STOCK", VLOOKUP(D1097,'[2]stock-take'!$G:$K,4,FALSE)))</f>
        <v xml:space="preserve"> </v>
      </c>
      <c r="J1097" s="39">
        <f>IF(ISNA(VLOOKUP(D1097,'[2]stock-take'!$G:$K,3,FALSE)), 0, VLOOKUP(D1097,'[2]stock-take'!$G:$K,3,FALSE))</f>
        <v>0</v>
      </c>
      <c r="K1097" s="49" t="str">
        <f>IF(F1097="", " ", IF(ISNA(VLOOKUP(D1097,'[2]stock-take'!$M:$Q,4,FALSE)), "OUT OF STOCK", VLOOKUP(D1097,'[2]stock-take'!$M:$Q,4,FALSE)))</f>
        <v xml:space="preserve"> </v>
      </c>
      <c r="L1097" s="47">
        <f>IF(ISNA(VLOOKUP(D1097,'[2]stock-take'!$M:$Q,3,FALSE)), 0, VLOOKUP(D1097,'[2]stock-take'!$M:$Q,3,FALSE))</f>
        <v>0</v>
      </c>
      <c r="M1097" s="48" t="str">
        <f t="shared" si="49"/>
        <v xml:space="preserve"> </v>
      </c>
      <c r="N1097" s="39" t="str">
        <f t="shared" si="50"/>
        <v xml:space="preserve"> </v>
      </c>
    </row>
    <row r="1098" spans="1:14">
      <c r="A1098" s="37">
        <f t="shared" si="48"/>
        <v>1087</v>
      </c>
      <c r="G1098" s="48" t="str">
        <f>IF(F1098=""," ",IF(ISNA(VLOOKUP(D1098,'[2]stock-take'!$A:$E,4,FALSE)), "OUT OF STOCK", VLOOKUP(D1098,'[2]stock-take'!$A:$E,4,FALSE)))</f>
        <v xml:space="preserve"> </v>
      </c>
      <c r="H1098" s="48">
        <f>IF(ISNA(VLOOKUP(D1098,'[2]stock-take'!$A:$E,3,FALSE)), 0, VLOOKUP(D1098,'[2]stock-take'!$A:$E,3,FALSE))</f>
        <v>0</v>
      </c>
      <c r="I1098" s="48" t="str">
        <f>IF(F1098="", " ",IF(ISNA(VLOOKUP(D1098,'[2]stock-take'!$G:$K,4,FALSE)), "OUT OF STOCK", VLOOKUP(D1098,'[2]stock-take'!$G:$K,4,FALSE)))</f>
        <v xml:space="preserve"> </v>
      </c>
      <c r="J1098" s="39">
        <f>IF(ISNA(VLOOKUP(D1098,'[2]stock-take'!$G:$K,3,FALSE)), 0, VLOOKUP(D1098,'[2]stock-take'!$G:$K,3,FALSE))</f>
        <v>0</v>
      </c>
      <c r="K1098" s="49" t="str">
        <f>IF(F1098="", " ", IF(ISNA(VLOOKUP(D1098,'[2]stock-take'!$M:$Q,4,FALSE)), "OUT OF STOCK", VLOOKUP(D1098,'[2]stock-take'!$M:$Q,4,FALSE)))</f>
        <v xml:space="preserve"> </v>
      </c>
      <c r="L1098" s="47">
        <f>IF(ISNA(VLOOKUP(D1098,'[2]stock-take'!$M:$Q,3,FALSE)), 0, VLOOKUP(D1098,'[2]stock-take'!$M:$Q,3,FALSE))</f>
        <v>0</v>
      </c>
      <c r="M1098" s="48" t="str">
        <f t="shared" si="49"/>
        <v xml:space="preserve"> </v>
      </c>
      <c r="N1098" s="39" t="str">
        <f t="shared" si="50"/>
        <v xml:space="preserve"> </v>
      </c>
    </row>
    <row r="1099" spans="1:14">
      <c r="A1099" s="37">
        <f t="shared" si="48"/>
        <v>1088</v>
      </c>
      <c r="G1099" s="48" t="str">
        <f>IF(F1099=""," ",IF(ISNA(VLOOKUP(D1099,'[2]stock-take'!$A:$E,4,FALSE)), "OUT OF STOCK", VLOOKUP(D1099,'[2]stock-take'!$A:$E,4,FALSE)))</f>
        <v xml:space="preserve"> </v>
      </c>
      <c r="H1099" s="48">
        <f>IF(ISNA(VLOOKUP(D1099,'[2]stock-take'!$A:$E,3,FALSE)), 0, VLOOKUP(D1099,'[2]stock-take'!$A:$E,3,FALSE))</f>
        <v>0</v>
      </c>
      <c r="I1099" s="48" t="str">
        <f>IF(F1099="", " ",IF(ISNA(VLOOKUP(D1099,'[2]stock-take'!$G:$K,4,FALSE)), "OUT OF STOCK", VLOOKUP(D1099,'[2]stock-take'!$G:$K,4,FALSE)))</f>
        <v xml:space="preserve"> </v>
      </c>
      <c r="J1099" s="39">
        <f>IF(ISNA(VLOOKUP(D1099,'[2]stock-take'!$G:$K,3,FALSE)), 0, VLOOKUP(D1099,'[2]stock-take'!$G:$K,3,FALSE))</f>
        <v>0</v>
      </c>
      <c r="K1099" s="49" t="str">
        <f>IF(F1099="", " ", IF(ISNA(VLOOKUP(D1099,'[2]stock-take'!$M:$Q,4,FALSE)), "OUT OF STOCK", VLOOKUP(D1099,'[2]stock-take'!$M:$Q,4,FALSE)))</f>
        <v xml:space="preserve"> </v>
      </c>
      <c r="L1099" s="47">
        <f>IF(ISNA(VLOOKUP(D1099,'[2]stock-take'!$M:$Q,3,FALSE)), 0, VLOOKUP(D1099,'[2]stock-take'!$M:$Q,3,FALSE))</f>
        <v>0</v>
      </c>
      <c r="M1099" s="48" t="str">
        <f t="shared" si="49"/>
        <v xml:space="preserve"> </v>
      </c>
      <c r="N1099" s="39" t="str">
        <f t="shared" si="50"/>
        <v xml:space="preserve"> </v>
      </c>
    </row>
    <row r="1100" spans="1:14">
      <c r="A1100" s="37">
        <f t="shared" ref="A1100:A1163" si="51">ROW(A1100)-11</f>
        <v>1089</v>
      </c>
      <c r="G1100" s="48" t="str">
        <f>IF(F1100=""," ",IF(ISNA(VLOOKUP(D1100,'[2]stock-take'!$A:$E,4,FALSE)), "OUT OF STOCK", VLOOKUP(D1100,'[2]stock-take'!$A:$E,4,FALSE)))</f>
        <v xml:space="preserve"> </v>
      </c>
      <c r="H1100" s="48">
        <f>IF(ISNA(VLOOKUP(D1100,'[2]stock-take'!$A:$E,3,FALSE)), 0, VLOOKUP(D1100,'[2]stock-take'!$A:$E,3,FALSE))</f>
        <v>0</v>
      </c>
      <c r="I1100" s="48" t="str">
        <f>IF(F1100="", " ",IF(ISNA(VLOOKUP(D1100,'[2]stock-take'!$G:$K,4,FALSE)), "OUT OF STOCK", VLOOKUP(D1100,'[2]stock-take'!$G:$K,4,FALSE)))</f>
        <v xml:space="preserve"> </v>
      </c>
      <c r="J1100" s="39">
        <f>IF(ISNA(VLOOKUP(D1100,'[2]stock-take'!$G:$K,3,FALSE)), 0, VLOOKUP(D1100,'[2]stock-take'!$G:$K,3,FALSE))</f>
        <v>0</v>
      </c>
      <c r="K1100" s="49" t="str">
        <f>IF(F1100="", " ", IF(ISNA(VLOOKUP(D1100,'[2]stock-take'!$M:$Q,4,FALSE)), "OUT OF STOCK", VLOOKUP(D1100,'[2]stock-take'!$M:$Q,4,FALSE)))</f>
        <v xml:space="preserve"> </v>
      </c>
      <c r="L1100" s="47">
        <f>IF(ISNA(VLOOKUP(D1100,'[2]stock-take'!$M:$Q,3,FALSE)), 0, VLOOKUP(D1100,'[2]stock-take'!$M:$Q,3,FALSE))</f>
        <v>0</v>
      </c>
      <c r="M1100" s="48" t="str">
        <f t="shared" si="49"/>
        <v xml:space="preserve"> </v>
      </c>
      <c r="N1100" s="39" t="str">
        <f t="shared" si="50"/>
        <v xml:space="preserve"> </v>
      </c>
    </row>
    <row r="1101" spans="1:14">
      <c r="A1101" s="37">
        <f t="shared" si="51"/>
        <v>1090</v>
      </c>
      <c r="G1101" s="48" t="str">
        <f>IF(F1101=""," ",IF(ISNA(VLOOKUP(D1101,'[2]stock-take'!$A:$E,4,FALSE)), "OUT OF STOCK", VLOOKUP(D1101,'[2]stock-take'!$A:$E,4,FALSE)))</f>
        <v xml:space="preserve"> </v>
      </c>
      <c r="H1101" s="48">
        <f>IF(ISNA(VLOOKUP(D1101,'[2]stock-take'!$A:$E,3,FALSE)), 0, VLOOKUP(D1101,'[2]stock-take'!$A:$E,3,FALSE))</f>
        <v>0</v>
      </c>
      <c r="I1101" s="48" t="str">
        <f>IF(F1101="", " ",IF(ISNA(VLOOKUP(D1101,'[2]stock-take'!$G:$K,4,FALSE)), "OUT OF STOCK", VLOOKUP(D1101,'[2]stock-take'!$G:$K,4,FALSE)))</f>
        <v xml:space="preserve"> </v>
      </c>
      <c r="J1101" s="39">
        <f>IF(ISNA(VLOOKUP(D1101,'[2]stock-take'!$G:$K,3,FALSE)), 0, VLOOKUP(D1101,'[2]stock-take'!$G:$K,3,FALSE))</f>
        <v>0</v>
      </c>
      <c r="K1101" s="49" t="str">
        <f>IF(F1101="", " ", IF(ISNA(VLOOKUP(D1101,'[2]stock-take'!$M:$Q,4,FALSE)), "OUT OF STOCK", VLOOKUP(D1101,'[2]stock-take'!$M:$Q,4,FALSE)))</f>
        <v xml:space="preserve"> </v>
      </c>
      <c r="L1101" s="47">
        <f>IF(ISNA(VLOOKUP(D1101,'[2]stock-take'!$M:$Q,3,FALSE)), 0, VLOOKUP(D1101,'[2]stock-take'!$M:$Q,3,FALSE))</f>
        <v>0</v>
      </c>
      <c r="M1101" s="48" t="str">
        <f t="shared" ref="M1101:M1164" si="52">IF(F1101=""," ",IF(H1101&gt;=F1101,"Y",IF(J1101&gt;=F1101,"Y",IF(L1101&gt;=F1101,"Y",IF(SUM(H1101,J1101,L1101)&gt;=F1101,"Y","N")))))</f>
        <v xml:space="preserve"> </v>
      </c>
      <c r="N1101" s="39" t="str">
        <f t="shared" ref="N1101:N1164" si="53">IF(F1101=""," ",IF(H1101&gt;=F1101,"ILOOM",IF(J1101&gt;=F1101,"NO.6",IF(L1101&gt;=F1101,"RMD",IF(SUM(H1101,J1101,L1101)&gt;=F1101,"MULTI","LACK")))))</f>
        <v xml:space="preserve"> </v>
      </c>
    </row>
    <row r="1102" spans="1:14">
      <c r="A1102" s="37">
        <f t="shared" si="51"/>
        <v>1091</v>
      </c>
      <c r="G1102" s="48" t="str">
        <f>IF(F1102=""," ",IF(ISNA(VLOOKUP(D1102,'[2]stock-take'!$A:$E,4,FALSE)), "OUT OF STOCK", VLOOKUP(D1102,'[2]stock-take'!$A:$E,4,FALSE)))</f>
        <v xml:space="preserve"> </v>
      </c>
      <c r="H1102" s="48">
        <f>IF(ISNA(VLOOKUP(D1102,'[2]stock-take'!$A:$E,3,FALSE)), 0, VLOOKUP(D1102,'[2]stock-take'!$A:$E,3,FALSE))</f>
        <v>0</v>
      </c>
      <c r="I1102" s="48" t="str">
        <f>IF(F1102="", " ",IF(ISNA(VLOOKUP(D1102,'[2]stock-take'!$G:$K,4,FALSE)), "OUT OF STOCK", VLOOKUP(D1102,'[2]stock-take'!$G:$K,4,FALSE)))</f>
        <v xml:space="preserve"> </v>
      </c>
      <c r="J1102" s="39">
        <f>IF(ISNA(VLOOKUP(D1102,'[2]stock-take'!$G:$K,3,FALSE)), 0, VLOOKUP(D1102,'[2]stock-take'!$G:$K,3,FALSE))</f>
        <v>0</v>
      </c>
      <c r="K1102" s="49" t="str">
        <f>IF(F1102="", " ", IF(ISNA(VLOOKUP(D1102,'[2]stock-take'!$M:$Q,4,FALSE)), "OUT OF STOCK", VLOOKUP(D1102,'[2]stock-take'!$M:$Q,4,FALSE)))</f>
        <v xml:space="preserve"> </v>
      </c>
      <c r="L1102" s="47">
        <f>IF(ISNA(VLOOKUP(D1102,'[2]stock-take'!$M:$Q,3,FALSE)), 0, VLOOKUP(D1102,'[2]stock-take'!$M:$Q,3,FALSE))</f>
        <v>0</v>
      </c>
      <c r="M1102" s="48" t="str">
        <f t="shared" si="52"/>
        <v xml:space="preserve"> </v>
      </c>
      <c r="N1102" s="39" t="str">
        <f t="shared" si="53"/>
        <v xml:space="preserve"> </v>
      </c>
    </row>
    <row r="1103" spans="1:14">
      <c r="A1103" s="37">
        <f t="shared" si="51"/>
        <v>1092</v>
      </c>
      <c r="G1103" s="48" t="str">
        <f>IF(F1103=""," ",IF(ISNA(VLOOKUP(D1103,'[2]stock-take'!$A:$E,4,FALSE)), "OUT OF STOCK", VLOOKUP(D1103,'[2]stock-take'!$A:$E,4,FALSE)))</f>
        <v xml:space="preserve"> </v>
      </c>
      <c r="H1103" s="48">
        <f>IF(ISNA(VLOOKUP(D1103,'[2]stock-take'!$A:$E,3,FALSE)), 0, VLOOKUP(D1103,'[2]stock-take'!$A:$E,3,FALSE))</f>
        <v>0</v>
      </c>
      <c r="I1103" s="48" t="str">
        <f>IF(F1103="", " ",IF(ISNA(VLOOKUP(D1103,'[2]stock-take'!$G:$K,4,FALSE)), "OUT OF STOCK", VLOOKUP(D1103,'[2]stock-take'!$G:$K,4,FALSE)))</f>
        <v xml:space="preserve"> </v>
      </c>
      <c r="J1103" s="39">
        <f>IF(ISNA(VLOOKUP(D1103,'[2]stock-take'!$G:$K,3,FALSE)), 0, VLOOKUP(D1103,'[2]stock-take'!$G:$K,3,FALSE))</f>
        <v>0</v>
      </c>
      <c r="K1103" s="49" t="str">
        <f>IF(F1103="", " ", IF(ISNA(VLOOKUP(D1103,'[2]stock-take'!$M:$Q,4,FALSE)), "OUT OF STOCK", VLOOKUP(D1103,'[2]stock-take'!$M:$Q,4,FALSE)))</f>
        <v xml:space="preserve"> </v>
      </c>
      <c r="L1103" s="47">
        <f>IF(ISNA(VLOOKUP(D1103,'[2]stock-take'!$M:$Q,3,FALSE)), 0, VLOOKUP(D1103,'[2]stock-take'!$M:$Q,3,FALSE))</f>
        <v>0</v>
      </c>
      <c r="M1103" s="48" t="str">
        <f t="shared" si="52"/>
        <v xml:space="preserve"> </v>
      </c>
      <c r="N1103" s="39" t="str">
        <f t="shared" si="53"/>
        <v xml:space="preserve"> </v>
      </c>
    </row>
    <row r="1104" spans="1:14">
      <c r="A1104" s="37">
        <f t="shared" si="51"/>
        <v>1093</v>
      </c>
      <c r="G1104" s="48" t="str">
        <f>IF(F1104=""," ",IF(ISNA(VLOOKUP(D1104,'[2]stock-take'!$A:$E,4,FALSE)), "OUT OF STOCK", VLOOKUP(D1104,'[2]stock-take'!$A:$E,4,FALSE)))</f>
        <v xml:space="preserve"> </v>
      </c>
      <c r="H1104" s="48">
        <f>IF(ISNA(VLOOKUP(D1104,'[2]stock-take'!$A:$E,3,FALSE)), 0, VLOOKUP(D1104,'[2]stock-take'!$A:$E,3,FALSE))</f>
        <v>0</v>
      </c>
      <c r="I1104" s="48" t="str">
        <f>IF(F1104="", " ",IF(ISNA(VLOOKUP(D1104,'[2]stock-take'!$G:$K,4,FALSE)), "OUT OF STOCK", VLOOKUP(D1104,'[2]stock-take'!$G:$K,4,FALSE)))</f>
        <v xml:space="preserve"> </v>
      </c>
      <c r="J1104" s="39">
        <f>IF(ISNA(VLOOKUP(D1104,'[2]stock-take'!$G:$K,3,FALSE)), 0, VLOOKUP(D1104,'[2]stock-take'!$G:$K,3,FALSE))</f>
        <v>0</v>
      </c>
      <c r="K1104" s="49" t="str">
        <f>IF(F1104="", " ", IF(ISNA(VLOOKUP(D1104,'[2]stock-take'!$M:$Q,4,FALSE)), "OUT OF STOCK", VLOOKUP(D1104,'[2]stock-take'!$M:$Q,4,FALSE)))</f>
        <v xml:space="preserve"> </v>
      </c>
      <c r="L1104" s="47">
        <f>IF(ISNA(VLOOKUP(D1104,'[2]stock-take'!$M:$Q,3,FALSE)), 0, VLOOKUP(D1104,'[2]stock-take'!$M:$Q,3,FALSE))</f>
        <v>0</v>
      </c>
      <c r="M1104" s="48" t="str">
        <f t="shared" si="52"/>
        <v xml:space="preserve"> </v>
      </c>
      <c r="N1104" s="39" t="str">
        <f t="shared" si="53"/>
        <v xml:space="preserve"> </v>
      </c>
    </row>
    <row r="1105" spans="1:14">
      <c r="A1105" s="37">
        <f t="shared" si="51"/>
        <v>1094</v>
      </c>
      <c r="G1105" s="48" t="str">
        <f>IF(F1105=""," ",IF(ISNA(VLOOKUP(D1105,'[2]stock-take'!$A:$E,4,FALSE)), "OUT OF STOCK", VLOOKUP(D1105,'[2]stock-take'!$A:$E,4,FALSE)))</f>
        <v xml:space="preserve"> </v>
      </c>
      <c r="H1105" s="48">
        <f>IF(ISNA(VLOOKUP(D1105,'[2]stock-take'!$A:$E,3,FALSE)), 0, VLOOKUP(D1105,'[2]stock-take'!$A:$E,3,FALSE))</f>
        <v>0</v>
      </c>
      <c r="I1105" s="48" t="str">
        <f>IF(F1105="", " ",IF(ISNA(VLOOKUP(D1105,'[2]stock-take'!$G:$K,4,FALSE)), "OUT OF STOCK", VLOOKUP(D1105,'[2]stock-take'!$G:$K,4,FALSE)))</f>
        <v xml:space="preserve"> </v>
      </c>
      <c r="J1105" s="39">
        <f>IF(ISNA(VLOOKUP(D1105,'[2]stock-take'!$G:$K,3,FALSE)), 0, VLOOKUP(D1105,'[2]stock-take'!$G:$K,3,FALSE))</f>
        <v>0</v>
      </c>
      <c r="K1105" s="49" t="str">
        <f>IF(F1105="", " ", IF(ISNA(VLOOKUP(D1105,'[2]stock-take'!$M:$Q,4,FALSE)), "OUT OF STOCK", VLOOKUP(D1105,'[2]stock-take'!$M:$Q,4,FALSE)))</f>
        <v xml:space="preserve"> </v>
      </c>
      <c r="L1105" s="47">
        <f>IF(ISNA(VLOOKUP(D1105,'[2]stock-take'!$M:$Q,3,FALSE)), 0, VLOOKUP(D1105,'[2]stock-take'!$M:$Q,3,FALSE))</f>
        <v>0</v>
      </c>
      <c r="M1105" s="48" t="str">
        <f t="shared" si="52"/>
        <v xml:space="preserve"> </v>
      </c>
      <c r="N1105" s="39" t="str">
        <f t="shared" si="53"/>
        <v xml:space="preserve"> </v>
      </c>
    </row>
    <row r="1106" spans="1:14">
      <c r="A1106" s="37">
        <f t="shared" si="51"/>
        <v>1095</v>
      </c>
      <c r="G1106" s="48" t="str">
        <f>IF(F1106=""," ",IF(ISNA(VLOOKUP(D1106,'[2]stock-take'!$A:$E,4,FALSE)), "OUT OF STOCK", VLOOKUP(D1106,'[2]stock-take'!$A:$E,4,FALSE)))</f>
        <v xml:space="preserve"> </v>
      </c>
      <c r="H1106" s="48">
        <f>IF(ISNA(VLOOKUP(D1106,'[2]stock-take'!$A:$E,3,FALSE)), 0, VLOOKUP(D1106,'[2]stock-take'!$A:$E,3,FALSE))</f>
        <v>0</v>
      </c>
      <c r="I1106" s="48" t="str">
        <f>IF(F1106="", " ",IF(ISNA(VLOOKUP(D1106,'[2]stock-take'!$G:$K,4,FALSE)), "OUT OF STOCK", VLOOKUP(D1106,'[2]stock-take'!$G:$K,4,FALSE)))</f>
        <v xml:space="preserve"> </v>
      </c>
      <c r="J1106" s="39">
        <f>IF(ISNA(VLOOKUP(D1106,'[2]stock-take'!$G:$K,3,FALSE)), 0, VLOOKUP(D1106,'[2]stock-take'!$G:$K,3,FALSE))</f>
        <v>0</v>
      </c>
      <c r="K1106" s="49" t="str">
        <f>IF(F1106="", " ", IF(ISNA(VLOOKUP(D1106,'[2]stock-take'!$M:$Q,4,FALSE)), "OUT OF STOCK", VLOOKUP(D1106,'[2]stock-take'!$M:$Q,4,FALSE)))</f>
        <v xml:space="preserve"> </v>
      </c>
      <c r="L1106" s="47">
        <f>IF(ISNA(VLOOKUP(D1106,'[2]stock-take'!$M:$Q,3,FALSE)), 0, VLOOKUP(D1106,'[2]stock-take'!$M:$Q,3,FALSE))</f>
        <v>0</v>
      </c>
      <c r="M1106" s="48" t="str">
        <f t="shared" si="52"/>
        <v xml:space="preserve"> </v>
      </c>
      <c r="N1106" s="39" t="str">
        <f t="shared" si="53"/>
        <v xml:space="preserve"> </v>
      </c>
    </row>
    <row r="1107" spans="1:14">
      <c r="A1107" s="37">
        <f t="shared" si="51"/>
        <v>1096</v>
      </c>
      <c r="G1107" s="48" t="str">
        <f>IF(F1107=""," ",IF(ISNA(VLOOKUP(D1107,'[2]stock-take'!$A:$E,4,FALSE)), "OUT OF STOCK", VLOOKUP(D1107,'[2]stock-take'!$A:$E,4,FALSE)))</f>
        <v xml:space="preserve"> </v>
      </c>
      <c r="H1107" s="48">
        <f>IF(ISNA(VLOOKUP(D1107,'[2]stock-take'!$A:$E,3,FALSE)), 0, VLOOKUP(D1107,'[2]stock-take'!$A:$E,3,FALSE))</f>
        <v>0</v>
      </c>
      <c r="I1107" s="48" t="str">
        <f>IF(F1107="", " ",IF(ISNA(VLOOKUP(D1107,'[2]stock-take'!$G:$K,4,FALSE)), "OUT OF STOCK", VLOOKUP(D1107,'[2]stock-take'!$G:$K,4,FALSE)))</f>
        <v xml:space="preserve"> </v>
      </c>
      <c r="J1107" s="39">
        <f>IF(ISNA(VLOOKUP(D1107,'[2]stock-take'!$G:$K,3,FALSE)), 0, VLOOKUP(D1107,'[2]stock-take'!$G:$K,3,FALSE))</f>
        <v>0</v>
      </c>
      <c r="K1107" s="49" t="str">
        <f>IF(F1107="", " ", IF(ISNA(VLOOKUP(D1107,'[2]stock-take'!$M:$Q,4,FALSE)), "OUT OF STOCK", VLOOKUP(D1107,'[2]stock-take'!$M:$Q,4,FALSE)))</f>
        <v xml:space="preserve"> </v>
      </c>
      <c r="L1107" s="47">
        <f>IF(ISNA(VLOOKUP(D1107,'[2]stock-take'!$M:$Q,3,FALSE)), 0, VLOOKUP(D1107,'[2]stock-take'!$M:$Q,3,FALSE))</f>
        <v>0</v>
      </c>
      <c r="M1107" s="48" t="str">
        <f t="shared" si="52"/>
        <v xml:space="preserve"> </v>
      </c>
      <c r="N1107" s="39" t="str">
        <f t="shared" si="53"/>
        <v xml:space="preserve"> </v>
      </c>
    </row>
    <row r="1108" spans="1:14">
      <c r="A1108" s="37">
        <f t="shared" si="51"/>
        <v>1097</v>
      </c>
      <c r="G1108" s="48" t="str">
        <f>IF(F1108=""," ",IF(ISNA(VLOOKUP(D1108,'[2]stock-take'!$A:$E,4,FALSE)), "OUT OF STOCK", VLOOKUP(D1108,'[2]stock-take'!$A:$E,4,FALSE)))</f>
        <v xml:space="preserve"> </v>
      </c>
      <c r="H1108" s="48">
        <f>IF(ISNA(VLOOKUP(D1108,'[2]stock-take'!$A:$E,3,FALSE)), 0, VLOOKUP(D1108,'[2]stock-take'!$A:$E,3,FALSE))</f>
        <v>0</v>
      </c>
      <c r="I1108" s="48" t="str">
        <f>IF(F1108="", " ",IF(ISNA(VLOOKUP(D1108,'[2]stock-take'!$G:$K,4,FALSE)), "OUT OF STOCK", VLOOKUP(D1108,'[2]stock-take'!$G:$K,4,FALSE)))</f>
        <v xml:space="preserve"> </v>
      </c>
      <c r="J1108" s="39">
        <f>IF(ISNA(VLOOKUP(D1108,'[2]stock-take'!$G:$K,3,FALSE)), 0, VLOOKUP(D1108,'[2]stock-take'!$G:$K,3,FALSE))</f>
        <v>0</v>
      </c>
      <c r="K1108" s="49" t="str">
        <f>IF(F1108="", " ", IF(ISNA(VLOOKUP(D1108,'[2]stock-take'!$M:$Q,4,FALSE)), "OUT OF STOCK", VLOOKUP(D1108,'[2]stock-take'!$M:$Q,4,FALSE)))</f>
        <v xml:space="preserve"> </v>
      </c>
      <c r="L1108" s="47">
        <f>IF(ISNA(VLOOKUP(D1108,'[2]stock-take'!$M:$Q,3,FALSE)), 0, VLOOKUP(D1108,'[2]stock-take'!$M:$Q,3,FALSE))</f>
        <v>0</v>
      </c>
      <c r="M1108" s="48" t="str">
        <f t="shared" si="52"/>
        <v xml:space="preserve"> </v>
      </c>
      <c r="N1108" s="39" t="str">
        <f t="shared" si="53"/>
        <v xml:space="preserve"> </v>
      </c>
    </row>
    <row r="1109" spans="1:14">
      <c r="A1109" s="37">
        <f t="shared" si="51"/>
        <v>1098</v>
      </c>
      <c r="G1109" s="48" t="str">
        <f>IF(F1109=""," ",IF(ISNA(VLOOKUP(D1109,'[2]stock-take'!$A:$E,4,FALSE)), "OUT OF STOCK", VLOOKUP(D1109,'[2]stock-take'!$A:$E,4,FALSE)))</f>
        <v xml:space="preserve"> </v>
      </c>
      <c r="H1109" s="48">
        <f>IF(ISNA(VLOOKUP(D1109,'[2]stock-take'!$A:$E,3,FALSE)), 0, VLOOKUP(D1109,'[2]stock-take'!$A:$E,3,FALSE))</f>
        <v>0</v>
      </c>
      <c r="I1109" s="48" t="str">
        <f>IF(F1109="", " ",IF(ISNA(VLOOKUP(D1109,'[2]stock-take'!$G:$K,4,FALSE)), "OUT OF STOCK", VLOOKUP(D1109,'[2]stock-take'!$G:$K,4,FALSE)))</f>
        <v xml:space="preserve"> </v>
      </c>
      <c r="J1109" s="39">
        <f>IF(ISNA(VLOOKUP(D1109,'[2]stock-take'!$G:$K,3,FALSE)), 0, VLOOKUP(D1109,'[2]stock-take'!$G:$K,3,FALSE))</f>
        <v>0</v>
      </c>
      <c r="K1109" s="49" t="str">
        <f>IF(F1109="", " ", IF(ISNA(VLOOKUP(D1109,'[2]stock-take'!$M:$Q,4,FALSE)), "OUT OF STOCK", VLOOKUP(D1109,'[2]stock-take'!$M:$Q,4,FALSE)))</f>
        <v xml:space="preserve"> </v>
      </c>
      <c r="L1109" s="47">
        <f>IF(ISNA(VLOOKUP(D1109,'[2]stock-take'!$M:$Q,3,FALSE)), 0, VLOOKUP(D1109,'[2]stock-take'!$M:$Q,3,FALSE))</f>
        <v>0</v>
      </c>
      <c r="M1109" s="48" t="str">
        <f t="shared" si="52"/>
        <v xml:space="preserve"> </v>
      </c>
      <c r="N1109" s="39" t="str">
        <f t="shared" si="53"/>
        <v xml:space="preserve"> </v>
      </c>
    </row>
    <row r="1110" spans="1:14">
      <c r="A1110" s="37">
        <f t="shared" si="51"/>
        <v>1099</v>
      </c>
      <c r="G1110" s="48" t="str">
        <f>IF(F1110=""," ",IF(ISNA(VLOOKUP(D1110,'[2]stock-take'!$A:$E,4,FALSE)), "OUT OF STOCK", VLOOKUP(D1110,'[2]stock-take'!$A:$E,4,FALSE)))</f>
        <v xml:space="preserve"> </v>
      </c>
      <c r="H1110" s="48">
        <f>IF(ISNA(VLOOKUP(D1110,'[2]stock-take'!$A:$E,3,FALSE)), 0, VLOOKUP(D1110,'[2]stock-take'!$A:$E,3,FALSE))</f>
        <v>0</v>
      </c>
      <c r="I1110" s="48" t="str">
        <f>IF(F1110="", " ",IF(ISNA(VLOOKUP(D1110,'[2]stock-take'!$G:$K,4,FALSE)), "OUT OF STOCK", VLOOKUP(D1110,'[2]stock-take'!$G:$K,4,FALSE)))</f>
        <v xml:space="preserve"> </v>
      </c>
      <c r="J1110" s="39">
        <f>IF(ISNA(VLOOKUP(D1110,'[2]stock-take'!$G:$K,3,FALSE)), 0, VLOOKUP(D1110,'[2]stock-take'!$G:$K,3,FALSE))</f>
        <v>0</v>
      </c>
      <c r="K1110" s="49" t="str">
        <f>IF(F1110="", " ", IF(ISNA(VLOOKUP(D1110,'[2]stock-take'!$M:$Q,4,FALSE)), "OUT OF STOCK", VLOOKUP(D1110,'[2]stock-take'!$M:$Q,4,FALSE)))</f>
        <v xml:space="preserve"> </v>
      </c>
      <c r="L1110" s="47">
        <f>IF(ISNA(VLOOKUP(D1110,'[2]stock-take'!$M:$Q,3,FALSE)), 0, VLOOKUP(D1110,'[2]stock-take'!$M:$Q,3,FALSE))</f>
        <v>0</v>
      </c>
      <c r="M1110" s="48" t="str">
        <f t="shared" si="52"/>
        <v xml:space="preserve"> </v>
      </c>
      <c r="N1110" s="39" t="str">
        <f t="shared" si="53"/>
        <v xml:space="preserve"> </v>
      </c>
    </row>
    <row r="1111" spans="1:14">
      <c r="A1111" s="37">
        <f t="shared" si="51"/>
        <v>1100</v>
      </c>
      <c r="G1111" s="48" t="str">
        <f>IF(F1111=""," ",IF(ISNA(VLOOKUP(D1111,'[2]stock-take'!$A:$E,4,FALSE)), "OUT OF STOCK", VLOOKUP(D1111,'[2]stock-take'!$A:$E,4,FALSE)))</f>
        <v xml:space="preserve"> </v>
      </c>
      <c r="H1111" s="48">
        <f>IF(ISNA(VLOOKUP(D1111,'[2]stock-take'!$A:$E,3,FALSE)), 0, VLOOKUP(D1111,'[2]stock-take'!$A:$E,3,FALSE))</f>
        <v>0</v>
      </c>
      <c r="I1111" s="48" t="str">
        <f>IF(F1111="", " ",IF(ISNA(VLOOKUP(D1111,'[2]stock-take'!$G:$K,4,FALSE)), "OUT OF STOCK", VLOOKUP(D1111,'[2]stock-take'!$G:$K,4,FALSE)))</f>
        <v xml:space="preserve"> </v>
      </c>
      <c r="J1111" s="39">
        <f>IF(ISNA(VLOOKUP(D1111,'[2]stock-take'!$G:$K,3,FALSE)), 0, VLOOKUP(D1111,'[2]stock-take'!$G:$K,3,FALSE))</f>
        <v>0</v>
      </c>
      <c r="K1111" s="49" t="str">
        <f>IF(F1111="", " ", IF(ISNA(VLOOKUP(D1111,'[2]stock-take'!$M:$Q,4,FALSE)), "OUT OF STOCK", VLOOKUP(D1111,'[2]stock-take'!$M:$Q,4,FALSE)))</f>
        <v xml:space="preserve"> </v>
      </c>
      <c r="L1111" s="47">
        <f>IF(ISNA(VLOOKUP(D1111,'[2]stock-take'!$M:$Q,3,FALSE)), 0, VLOOKUP(D1111,'[2]stock-take'!$M:$Q,3,FALSE))</f>
        <v>0</v>
      </c>
      <c r="M1111" s="48" t="str">
        <f t="shared" si="52"/>
        <v xml:space="preserve"> </v>
      </c>
      <c r="N1111" s="39" t="str">
        <f t="shared" si="53"/>
        <v xml:space="preserve"> </v>
      </c>
    </row>
    <row r="1112" spans="1:14">
      <c r="A1112" s="37">
        <f t="shared" si="51"/>
        <v>1101</v>
      </c>
      <c r="G1112" s="48" t="str">
        <f>IF(F1112=""," ",IF(ISNA(VLOOKUP(D1112,'[2]stock-take'!$A:$E,4,FALSE)), "OUT OF STOCK", VLOOKUP(D1112,'[2]stock-take'!$A:$E,4,FALSE)))</f>
        <v xml:space="preserve"> </v>
      </c>
      <c r="H1112" s="48">
        <f>IF(ISNA(VLOOKUP(D1112,'[2]stock-take'!$A:$E,3,FALSE)), 0, VLOOKUP(D1112,'[2]stock-take'!$A:$E,3,FALSE))</f>
        <v>0</v>
      </c>
      <c r="I1112" s="48" t="str">
        <f>IF(F1112="", " ",IF(ISNA(VLOOKUP(D1112,'[2]stock-take'!$G:$K,4,FALSE)), "OUT OF STOCK", VLOOKUP(D1112,'[2]stock-take'!$G:$K,4,FALSE)))</f>
        <v xml:space="preserve"> </v>
      </c>
      <c r="J1112" s="39">
        <f>IF(ISNA(VLOOKUP(D1112,'[2]stock-take'!$G:$K,3,FALSE)), 0, VLOOKUP(D1112,'[2]stock-take'!$G:$K,3,FALSE))</f>
        <v>0</v>
      </c>
      <c r="K1112" s="49" t="str">
        <f>IF(F1112="", " ", IF(ISNA(VLOOKUP(D1112,'[2]stock-take'!$M:$Q,4,FALSE)), "OUT OF STOCK", VLOOKUP(D1112,'[2]stock-take'!$M:$Q,4,FALSE)))</f>
        <v xml:space="preserve"> </v>
      </c>
      <c r="L1112" s="47">
        <f>IF(ISNA(VLOOKUP(D1112,'[2]stock-take'!$M:$Q,3,FALSE)), 0, VLOOKUP(D1112,'[2]stock-take'!$M:$Q,3,FALSE))</f>
        <v>0</v>
      </c>
      <c r="M1112" s="48" t="str">
        <f t="shared" si="52"/>
        <v xml:space="preserve"> </v>
      </c>
      <c r="N1112" s="39" t="str">
        <f t="shared" si="53"/>
        <v xml:space="preserve"> </v>
      </c>
    </row>
    <row r="1113" spans="1:14">
      <c r="A1113" s="37">
        <f t="shared" si="51"/>
        <v>1102</v>
      </c>
      <c r="G1113" s="48" t="str">
        <f>IF(F1113=""," ",IF(ISNA(VLOOKUP(D1113,'[2]stock-take'!$A:$E,4,FALSE)), "OUT OF STOCK", VLOOKUP(D1113,'[2]stock-take'!$A:$E,4,FALSE)))</f>
        <v xml:space="preserve"> </v>
      </c>
      <c r="H1113" s="48">
        <f>IF(ISNA(VLOOKUP(D1113,'[2]stock-take'!$A:$E,3,FALSE)), 0, VLOOKUP(D1113,'[2]stock-take'!$A:$E,3,FALSE))</f>
        <v>0</v>
      </c>
      <c r="I1113" s="48" t="str">
        <f>IF(F1113="", " ",IF(ISNA(VLOOKUP(D1113,'[2]stock-take'!$G:$K,4,FALSE)), "OUT OF STOCK", VLOOKUP(D1113,'[2]stock-take'!$G:$K,4,FALSE)))</f>
        <v xml:space="preserve"> </v>
      </c>
      <c r="J1113" s="39">
        <f>IF(ISNA(VLOOKUP(D1113,'[2]stock-take'!$G:$K,3,FALSE)), 0, VLOOKUP(D1113,'[2]stock-take'!$G:$K,3,FALSE))</f>
        <v>0</v>
      </c>
      <c r="K1113" s="49" t="str">
        <f>IF(F1113="", " ", IF(ISNA(VLOOKUP(D1113,'[2]stock-take'!$M:$Q,4,FALSE)), "OUT OF STOCK", VLOOKUP(D1113,'[2]stock-take'!$M:$Q,4,FALSE)))</f>
        <v xml:space="preserve"> </v>
      </c>
      <c r="L1113" s="47">
        <f>IF(ISNA(VLOOKUP(D1113,'[2]stock-take'!$M:$Q,3,FALSE)), 0, VLOOKUP(D1113,'[2]stock-take'!$M:$Q,3,FALSE))</f>
        <v>0</v>
      </c>
      <c r="M1113" s="48" t="str">
        <f t="shared" si="52"/>
        <v xml:space="preserve"> </v>
      </c>
      <c r="N1113" s="39" t="str">
        <f t="shared" si="53"/>
        <v xml:space="preserve"> </v>
      </c>
    </row>
    <row r="1114" spans="1:14">
      <c r="A1114" s="37">
        <f t="shared" si="51"/>
        <v>1103</v>
      </c>
      <c r="G1114" s="48" t="str">
        <f>IF(F1114=""," ",IF(ISNA(VLOOKUP(D1114,'[2]stock-take'!$A:$E,4,FALSE)), "OUT OF STOCK", VLOOKUP(D1114,'[2]stock-take'!$A:$E,4,FALSE)))</f>
        <v xml:space="preserve"> </v>
      </c>
      <c r="H1114" s="48">
        <f>IF(ISNA(VLOOKUP(D1114,'[2]stock-take'!$A:$E,3,FALSE)), 0, VLOOKUP(D1114,'[2]stock-take'!$A:$E,3,FALSE))</f>
        <v>0</v>
      </c>
      <c r="I1114" s="48" t="str">
        <f>IF(F1114="", " ",IF(ISNA(VLOOKUP(D1114,'[2]stock-take'!$G:$K,4,FALSE)), "OUT OF STOCK", VLOOKUP(D1114,'[2]stock-take'!$G:$K,4,FALSE)))</f>
        <v xml:space="preserve"> </v>
      </c>
      <c r="J1114" s="39">
        <f>IF(ISNA(VLOOKUP(D1114,'[2]stock-take'!$G:$K,3,FALSE)), 0, VLOOKUP(D1114,'[2]stock-take'!$G:$K,3,FALSE))</f>
        <v>0</v>
      </c>
      <c r="K1114" s="49" t="str">
        <f>IF(F1114="", " ", IF(ISNA(VLOOKUP(D1114,'[2]stock-take'!$M:$Q,4,FALSE)), "OUT OF STOCK", VLOOKUP(D1114,'[2]stock-take'!$M:$Q,4,FALSE)))</f>
        <v xml:space="preserve"> </v>
      </c>
      <c r="L1114" s="47">
        <f>IF(ISNA(VLOOKUP(D1114,'[2]stock-take'!$M:$Q,3,FALSE)), 0, VLOOKUP(D1114,'[2]stock-take'!$M:$Q,3,FALSE))</f>
        <v>0</v>
      </c>
      <c r="M1114" s="48" t="str">
        <f t="shared" si="52"/>
        <v xml:space="preserve"> </v>
      </c>
      <c r="N1114" s="39" t="str">
        <f t="shared" si="53"/>
        <v xml:space="preserve"> </v>
      </c>
    </row>
    <row r="1115" spans="1:14">
      <c r="A1115" s="37">
        <f t="shared" si="51"/>
        <v>1104</v>
      </c>
      <c r="G1115" s="48" t="str">
        <f>IF(F1115=""," ",IF(ISNA(VLOOKUP(D1115,'[2]stock-take'!$A:$E,4,FALSE)), "OUT OF STOCK", VLOOKUP(D1115,'[2]stock-take'!$A:$E,4,FALSE)))</f>
        <v xml:space="preserve"> </v>
      </c>
      <c r="H1115" s="48">
        <f>IF(ISNA(VLOOKUP(D1115,'[2]stock-take'!$A:$E,3,FALSE)), 0, VLOOKUP(D1115,'[2]stock-take'!$A:$E,3,FALSE))</f>
        <v>0</v>
      </c>
      <c r="I1115" s="48" t="str">
        <f>IF(F1115="", " ",IF(ISNA(VLOOKUP(D1115,'[2]stock-take'!$G:$K,4,FALSE)), "OUT OF STOCK", VLOOKUP(D1115,'[2]stock-take'!$G:$K,4,FALSE)))</f>
        <v xml:space="preserve"> </v>
      </c>
      <c r="J1115" s="39">
        <f>IF(ISNA(VLOOKUP(D1115,'[2]stock-take'!$G:$K,3,FALSE)), 0, VLOOKUP(D1115,'[2]stock-take'!$G:$K,3,FALSE))</f>
        <v>0</v>
      </c>
      <c r="K1115" s="49" t="str">
        <f>IF(F1115="", " ", IF(ISNA(VLOOKUP(D1115,'[2]stock-take'!$M:$Q,4,FALSE)), "OUT OF STOCK", VLOOKUP(D1115,'[2]stock-take'!$M:$Q,4,FALSE)))</f>
        <v xml:space="preserve"> </v>
      </c>
      <c r="L1115" s="47">
        <f>IF(ISNA(VLOOKUP(D1115,'[2]stock-take'!$M:$Q,3,FALSE)), 0, VLOOKUP(D1115,'[2]stock-take'!$M:$Q,3,FALSE))</f>
        <v>0</v>
      </c>
      <c r="M1115" s="48" t="str">
        <f t="shared" si="52"/>
        <v xml:space="preserve"> </v>
      </c>
      <c r="N1115" s="39" t="str">
        <f t="shared" si="53"/>
        <v xml:space="preserve"> </v>
      </c>
    </row>
    <row r="1116" spans="1:14">
      <c r="A1116" s="37">
        <f t="shared" si="51"/>
        <v>1105</v>
      </c>
      <c r="G1116" s="48" t="str">
        <f>IF(F1116=""," ",IF(ISNA(VLOOKUP(D1116,'[2]stock-take'!$A:$E,4,FALSE)), "OUT OF STOCK", VLOOKUP(D1116,'[2]stock-take'!$A:$E,4,FALSE)))</f>
        <v xml:space="preserve"> </v>
      </c>
      <c r="H1116" s="48">
        <f>IF(ISNA(VLOOKUP(D1116,'[2]stock-take'!$A:$E,3,FALSE)), 0, VLOOKUP(D1116,'[2]stock-take'!$A:$E,3,FALSE))</f>
        <v>0</v>
      </c>
      <c r="I1116" s="48" t="str">
        <f>IF(F1116="", " ",IF(ISNA(VLOOKUP(D1116,'[2]stock-take'!$G:$K,4,FALSE)), "OUT OF STOCK", VLOOKUP(D1116,'[2]stock-take'!$G:$K,4,FALSE)))</f>
        <v xml:space="preserve"> </v>
      </c>
      <c r="J1116" s="39">
        <f>IF(ISNA(VLOOKUP(D1116,'[2]stock-take'!$G:$K,3,FALSE)), 0, VLOOKUP(D1116,'[2]stock-take'!$G:$K,3,FALSE))</f>
        <v>0</v>
      </c>
      <c r="K1116" s="49" t="str">
        <f>IF(F1116="", " ", IF(ISNA(VLOOKUP(D1116,'[2]stock-take'!$M:$Q,4,FALSE)), "OUT OF STOCK", VLOOKUP(D1116,'[2]stock-take'!$M:$Q,4,FALSE)))</f>
        <v xml:space="preserve"> </v>
      </c>
      <c r="L1116" s="47">
        <f>IF(ISNA(VLOOKUP(D1116,'[2]stock-take'!$M:$Q,3,FALSE)), 0, VLOOKUP(D1116,'[2]stock-take'!$M:$Q,3,FALSE))</f>
        <v>0</v>
      </c>
      <c r="M1116" s="48" t="str">
        <f t="shared" si="52"/>
        <v xml:space="preserve"> </v>
      </c>
      <c r="N1116" s="39" t="str">
        <f t="shared" si="53"/>
        <v xml:space="preserve"> </v>
      </c>
    </row>
    <row r="1117" spans="1:14">
      <c r="A1117" s="37">
        <f t="shared" si="51"/>
        <v>1106</v>
      </c>
      <c r="G1117" s="48" t="str">
        <f>IF(F1117=""," ",IF(ISNA(VLOOKUP(D1117,'[2]stock-take'!$A:$E,4,FALSE)), "OUT OF STOCK", VLOOKUP(D1117,'[2]stock-take'!$A:$E,4,FALSE)))</f>
        <v xml:space="preserve"> </v>
      </c>
      <c r="H1117" s="48">
        <f>IF(ISNA(VLOOKUP(D1117,'[2]stock-take'!$A:$E,3,FALSE)), 0, VLOOKUP(D1117,'[2]stock-take'!$A:$E,3,FALSE))</f>
        <v>0</v>
      </c>
      <c r="I1117" s="48" t="str">
        <f>IF(F1117="", " ",IF(ISNA(VLOOKUP(D1117,'[2]stock-take'!$G:$K,4,FALSE)), "OUT OF STOCK", VLOOKUP(D1117,'[2]stock-take'!$G:$K,4,FALSE)))</f>
        <v xml:space="preserve"> </v>
      </c>
      <c r="J1117" s="39">
        <f>IF(ISNA(VLOOKUP(D1117,'[2]stock-take'!$G:$K,3,FALSE)), 0, VLOOKUP(D1117,'[2]stock-take'!$G:$K,3,FALSE))</f>
        <v>0</v>
      </c>
      <c r="K1117" s="49" t="str">
        <f>IF(F1117="", " ", IF(ISNA(VLOOKUP(D1117,'[2]stock-take'!$M:$Q,4,FALSE)), "OUT OF STOCK", VLOOKUP(D1117,'[2]stock-take'!$M:$Q,4,FALSE)))</f>
        <v xml:space="preserve"> </v>
      </c>
      <c r="L1117" s="47">
        <f>IF(ISNA(VLOOKUP(D1117,'[2]stock-take'!$M:$Q,3,FALSE)), 0, VLOOKUP(D1117,'[2]stock-take'!$M:$Q,3,FALSE))</f>
        <v>0</v>
      </c>
      <c r="M1117" s="48" t="str">
        <f t="shared" si="52"/>
        <v xml:space="preserve"> </v>
      </c>
      <c r="N1117" s="39" t="str">
        <f t="shared" si="53"/>
        <v xml:space="preserve"> </v>
      </c>
    </row>
    <row r="1118" spans="1:14">
      <c r="A1118" s="37">
        <f t="shared" si="51"/>
        <v>1107</v>
      </c>
      <c r="G1118" s="48" t="str">
        <f>IF(F1118=""," ",IF(ISNA(VLOOKUP(D1118,'[2]stock-take'!$A:$E,4,FALSE)), "OUT OF STOCK", VLOOKUP(D1118,'[2]stock-take'!$A:$E,4,FALSE)))</f>
        <v xml:space="preserve"> </v>
      </c>
      <c r="H1118" s="48">
        <f>IF(ISNA(VLOOKUP(D1118,'[2]stock-take'!$A:$E,3,FALSE)), 0, VLOOKUP(D1118,'[2]stock-take'!$A:$E,3,FALSE))</f>
        <v>0</v>
      </c>
      <c r="I1118" s="48" t="str">
        <f>IF(F1118="", " ",IF(ISNA(VLOOKUP(D1118,'[2]stock-take'!$G:$K,4,FALSE)), "OUT OF STOCK", VLOOKUP(D1118,'[2]stock-take'!$G:$K,4,FALSE)))</f>
        <v xml:space="preserve"> </v>
      </c>
      <c r="J1118" s="39">
        <f>IF(ISNA(VLOOKUP(D1118,'[2]stock-take'!$G:$K,3,FALSE)), 0, VLOOKUP(D1118,'[2]stock-take'!$G:$K,3,FALSE))</f>
        <v>0</v>
      </c>
      <c r="K1118" s="49" t="str">
        <f>IF(F1118="", " ", IF(ISNA(VLOOKUP(D1118,'[2]stock-take'!$M:$Q,4,FALSE)), "OUT OF STOCK", VLOOKUP(D1118,'[2]stock-take'!$M:$Q,4,FALSE)))</f>
        <v xml:space="preserve"> </v>
      </c>
      <c r="L1118" s="47">
        <f>IF(ISNA(VLOOKUP(D1118,'[2]stock-take'!$M:$Q,3,FALSE)), 0, VLOOKUP(D1118,'[2]stock-take'!$M:$Q,3,FALSE))</f>
        <v>0</v>
      </c>
      <c r="M1118" s="48" t="str">
        <f t="shared" si="52"/>
        <v xml:space="preserve"> </v>
      </c>
      <c r="N1118" s="39" t="str">
        <f t="shared" si="53"/>
        <v xml:space="preserve"> </v>
      </c>
    </row>
    <row r="1119" spans="1:14">
      <c r="A1119" s="37">
        <f t="shared" si="51"/>
        <v>1108</v>
      </c>
      <c r="G1119" s="48" t="str">
        <f>IF(F1119=""," ",IF(ISNA(VLOOKUP(D1119,'[2]stock-take'!$A:$E,4,FALSE)), "OUT OF STOCK", VLOOKUP(D1119,'[2]stock-take'!$A:$E,4,FALSE)))</f>
        <v xml:space="preserve"> </v>
      </c>
      <c r="H1119" s="48">
        <f>IF(ISNA(VLOOKUP(D1119,'[2]stock-take'!$A:$E,3,FALSE)), 0, VLOOKUP(D1119,'[2]stock-take'!$A:$E,3,FALSE))</f>
        <v>0</v>
      </c>
      <c r="I1119" s="48" t="str">
        <f>IF(F1119="", " ",IF(ISNA(VLOOKUP(D1119,'[2]stock-take'!$G:$K,4,FALSE)), "OUT OF STOCK", VLOOKUP(D1119,'[2]stock-take'!$G:$K,4,FALSE)))</f>
        <v xml:space="preserve"> </v>
      </c>
      <c r="J1119" s="39">
        <f>IF(ISNA(VLOOKUP(D1119,'[2]stock-take'!$G:$K,3,FALSE)), 0, VLOOKUP(D1119,'[2]stock-take'!$G:$K,3,FALSE))</f>
        <v>0</v>
      </c>
      <c r="K1119" s="49" t="str">
        <f>IF(F1119="", " ", IF(ISNA(VLOOKUP(D1119,'[2]stock-take'!$M:$Q,4,FALSE)), "OUT OF STOCK", VLOOKUP(D1119,'[2]stock-take'!$M:$Q,4,FALSE)))</f>
        <v xml:space="preserve"> </v>
      </c>
      <c r="L1119" s="47">
        <f>IF(ISNA(VLOOKUP(D1119,'[2]stock-take'!$M:$Q,3,FALSE)), 0, VLOOKUP(D1119,'[2]stock-take'!$M:$Q,3,FALSE))</f>
        <v>0</v>
      </c>
      <c r="M1119" s="48" t="str">
        <f t="shared" si="52"/>
        <v xml:space="preserve"> </v>
      </c>
      <c r="N1119" s="39" t="str">
        <f t="shared" si="53"/>
        <v xml:space="preserve"> </v>
      </c>
    </row>
    <row r="1120" spans="1:14">
      <c r="A1120" s="37">
        <f t="shared" si="51"/>
        <v>1109</v>
      </c>
      <c r="G1120" s="48" t="str">
        <f>IF(F1120=""," ",IF(ISNA(VLOOKUP(D1120,'[2]stock-take'!$A:$E,4,FALSE)), "OUT OF STOCK", VLOOKUP(D1120,'[2]stock-take'!$A:$E,4,FALSE)))</f>
        <v xml:space="preserve"> </v>
      </c>
      <c r="H1120" s="48">
        <f>IF(ISNA(VLOOKUP(D1120,'[2]stock-take'!$A:$E,3,FALSE)), 0, VLOOKUP(D1120,'[2]stock-take'!$A:$E,3,FALSE))</f>
        <v>0</v>
      </c>
      <c r="I1120" s="48" t="str">
        <f>IF(F1120="", " ",IF(ISNA(VLOOKUP(D1120,'[2]stock-take'!$G:$K,4,FALSE)), "OUT OF STOCK", VLOOKUP(D1120,'[2]stock-take'!$G:$K,4,FALSE)))</f>
        <v xml:space="preserve"> </v>
      </c>
      <c r="J1120" s="39">
        <f>IF(ISNA(VLOOKUP(D1120,'[2]stock-take'!$G:$K,3,FALSE)), 0, VLOOKUP(D1120,'[2]stock-take'!$G:$K,3,FALSE))</f>
        <v>0</v>
      </c>
      <c r="K1120" s="49" t="str">
        <f>IF(F1120="", " ", IF(ISNA(VLOOKUP(D1120,'[2]stock-take'!$M:$Q,4,FALSE)), "OUT OF STOCK", VLOOKUP(D1120,'[2]stock-take'!$M:$Q,4,FALSE)))</f>
        <v xml:space="preserve"> </v>
      </c>
      <c r="L1120" s="47">
        <f>IF(ISNA(VLOOKUP(D1120,'[2]stock-take'!$M:$Q,3,FALSE)), 0, VLOOKUP(D1120,'[2]stock-take'!$M:$Q,3,FALSE))</f>
        <v>0</v>
      </c>
      <c r="M1120" s="48" t="str">
        <f t="shared" si="52"/>
        <v xml:space="preserve"> </v>
      </c>
      <c r="N1120" s="39" t="str">
        <f t="shared" si="53"/>
        <v xml:space="preserve"> </v>
      </c>
    </row>
    <row r="1121" spans="1:14">
      <c r="A1121" s="37">
        <f t="shared" si="51"/>
        <v>1110</v>
      </c>
      <c r="G1121" s="48" t="str">
        <f>IF(F1121=""," ",IF(ISNA(VLOOKUP(D1121,'[2]stock-take'!$A:$E,4,FALSE)), "OUT OF STOCK", VLOOKUP(D1121,'[2]stock-take'!$A:$E,4,FALSE)))</f>
        <v xml:space="preserve"> </v>
      </c>
      <c r="H1121" s="48">
        <f>IF(ISNA(VLOOKUP(D1121,'[2]stock-take'!$A:$E,3,FALSE)), 0, VLOOKUP(D1121,'[2]stock-take'!$A:$E,3,FALSE))</f>
        <v>0</v>
      </c>
      <c r="I1121" s="48" t="str">
        <f>IF(F1121="", " ",IF(ISNA(VLOOKUP(D1121,'[2]stock-take'!$G:$K,4,FALSE)), "OUT OF STOCK", VLOOKUP(D1121,'[2]stock-take'!$G:$K,4,FALSE)))</f>
        <v xml:space="preserve"> </v>
      </c>
      <c r="J1121" s="39">
        <f>IF(ISNA(VLOOKUP(D1121,'[2]stock-take'!$G:$K,3,FALSE)), 0, VLOOKUP(D1121,'[2]stock-take'!$G:$K,3,FALSE))</f>
        <v>0</v>
      </c>
      <c r="K1121" s="49" t="str">
        <f>IF(F1121="", " ", IF(ISNA(VLOOKUP(D1121,'[2]stock-take'!$M:$Q,4,FALSE)), "OUT OF STOCK", VLOOKUP(D1121,'[2]stock-take'!$M:$Q,4,FALSE)))</f>
        <v xml:space="preserve"> </v>
      </c>
      <c r="L1121" s="47">
        <f>IF(ISNA(VLOOKUP(D1121,'[2]stock-take'!$M:$Q,3,FALSE)), 0, VLOOKUP(D1121,'[2]stock-take'!$M:$Q,3,FALSE))</f>
        <v>0</v>
      </c>
      <c r="M1121" s="48" t="str">
        <f t="shared" si="52"/>
        <v xml:space="preserve"> </v>
      </c>
      <c r="N1121" s="39" t="str">
        <f t="shared" si="53"/>
        <v xml:space="preserve"> </v>
      </c>
    </row>
    <row r="1122" spans="1:14">
      <c r="A1122" s="37">
        <f t="shared" si="51"/>
        <v>1111</v>
      </c>
      <c r="G1122" s="48" t="str">
        <f>IF(F1122=""," ",IF(ISNA(VLOOKUP(D1122,'[2]stock-take'!$A:$E,4,FALSE)), "OUT OF STOCK", VLOOKUP(D1122,'[2]stock-take'!$A:$E,4,FALSE)))</f>
        <v xml:space="preserve"> </v>
      </c>
      <c r="H1122" s="48">
        <f>IF(ISNA(VLOOKUP(D1122,'[2]stock-take'!$A:$E,3,FALSE)), 0, VLOOKUP(D1122,'[2]stock-take'!$A:$E,3,FALSE))</f>
        <v>0</v>
      </c>
      <c r="I1122" s="48" t="str">
        <f>IF(F1122="", " ",IF(ISNA(VLOOKUP(D1122,'[2]stock-take'!$G:$K,4,FALSE)), "OUT OF STOCK", VLOOKUP(D1122,'[2]stock-take'!$G:$K,4,FALSE)))</f>
        <v xml:space="preserve"> </v>
      </c>
      <c r="J1122" s="39">
        <f>IF(ISNA(VLOOKUP(D1122,'[2]stock-take'!$G:$K,3,FALSE)), 0, VLOOKUP(D1122,'[2]stock-take'!$G:$K,3,FALSE))</f>
        <v>0</v>
      </c>
      <c r="K1122" s="49" t="str">
        <f>IF(F1122="", " ", IF(ISNA(VLOOKUP(D1122,'[2]stock-take'!$M:$Q,4,FALSE)), "OUT OF STOCK", VLOOKUP(D1122,'[2]stock-take'!$M:$Q,4,FALSE)))</f>
        <v xml:space="preserve"> </v>
      </c>
      <c r="L1122" s="47">
        <f>IF(ISNA(VLOOKUP(D1122,'[2]stock-take'!$M:$Q,3,FALSE)), 0, VLOOKUP(D1122,'[2]stock-take'!$M:$Q,3,FALSE))</f>
        <v>0</v>
      </c>
      <c r="M1122" s="48" t="str">
        <f t="shared" si="52"/>
        <v xml:space="preserve"> </v>
      </c>
      <c r="N1122" s="39" t="str">
        <f t="shared" si="53"/>
        <v xml:space="preserve"> </v>
      </c>
    </row>
    <row r="1123" spans="1:14">
      <c r="A1123" s="37">
        <f t="shared" si="51"/>
        <v>1112</v>
      </c>
      <c r="G1123" s="48" t="str">
        <f>IF(F1123=""," ",IF(ISNA(VLOOKUP(D1123,'[2]stock-take'!$A:$E,4,FALSE)), "OUT OF STOCK", VLOOKUP(D1123,'[2]stock-take'!$A:$E,4,FALSE)))</f>
        <v xml:space="preserve"> </v>
      </c>
      <c r="H1123" s="48">
        <f>IF(ISNA(VLOOKUP(D1123,'[2]stock-take'!$A:$E,3,FALSE)), 0, VLOOKUP(D1123,'[2]stock-take'!$A:$E,3,FALSE))</f>
        <v>0</v>
      </c>
      <c r="I1123" s="48" t="str">
        <f>IF(F1123="", " ",IF(ISNA(VLOOKUP(D1123,'[2]stock-take'!$G:$K,4,FALSE)), "OUT OF STOCK", VLOOKUP(D1123,'[2]stock-take'!$G:$K,4,FALSE)))</f>
        <v xml:space="preserve"> </v>
      </c>
      <c r="J1123" s="39">
        <f>IF(ISNA(VLOOKUP(D1123,'[2]stock-take'!$G:$K,3,FALSE)), 0, VLOOKUP(D1123,'[2]stock-take'!$G:$K,3,FALSE))</f>
        <v>0</v>
      </c>
      <c r="K1123" s="49" t="str">
        <f>IF(F1123="", " ", IF(ISNA(VLOOKUP(D1123,'[2]stock-take'!$M:$Q,4,FALSE)), "OUT OF STOCK", VLOOKUP(D1123,'[2]stock-take'!$M:$Q,4,FALSE)))</f>
        <v xml:space="preserve"> </v>
      </c>
      <c r="L1123" s="47">
        <f>IF(ISNA(VLOOKUP(D1123,'[2]stock-take'!$M:$Q,3,FALSE)), 0, VLOOKUP(D1123,'[2]stock-take'!$M:$Q,3,FALSE))</f>
        <v>0</v>
      </c>
      <c r="M1123" s="48" t="str">
        <f t="shared" si="52"/>
        <v xml:space="preserve"> </v>
      </c>
      <c r="N1123" s="39" t="str">
        <f t="shared" si="53"/>
        <v xml:space="preserve"> </v>
      </c>
    </row>
    <row r="1124" spans="1:14">
      <c r="A1124" s="37">
        <f t="shared" si="51"/>
        <v>1113</v>
      </c>
      <c r="G1124" s="48" t="str">
        <f>IF(F1124=""," ",IF(ISNA(VLOOKUP(D1124,'[2]stock-take'!$A:$E,4,FALSE)), "OUT OF STOCK", VLOOKUP(D1124,'[2]stock-take'!$A:$E,4,FALSE)))</f>
        <v xml:space="preserve"> </v>
      </c>
      <c r="H1124" s="48">
        <f>IF(ISNA(VLOOKUP(D1124,'[2]stock-take'!$A:$E,3,FALSE)), 0, VLOOKUP(D1124,'[2]stock-take'!$A:$E,3,FALSE))</f>
        <v>0</v>
      </c>
      <c r="I1124" s="48" t="str">
        <f>IF(F1124="", " ",IF(ISNA(VLOOKUP(D1124,'[2]stock-take'!$G:$K,4,FALSE)), "OUT OF STOCK", VLOOKUP(D1124,'[2]stock-take'!$G:$K,4,FALSE)))</f>
        <v xml:space="preserve"> </v>
      </c>
      <c r="J1124" s="39">
        <f>IF(ISNA(VLOOKUP(D1124,'[2]stock-take'!$G:$K,3,FALSE)), 0, VLOOKUP(D1124,'[2]stock-take'!$G:$K,3,FALSE))</f>
        <v>0</v>
      </c>
      <c r="K1124" s="49" t="str">
        <f>IF(F1124="", " ", IF(ISNA(VLOOKUP(D1124,'[2]stock-take'!$M:$Q,4,FALSE)), "OUT OF STOCK", VLOOKUP(D1124,'[2]stock-take'!$M:$Q,4,FALSE)))</f>
        <v xml:space="preserve"> </v>
      </c>
      <c r="L1124" s="47">
        <f>IF(ISNA(VLOOKUP(D1124,'[2]stock-take'!$M:$Q,3,FALSE)), 0, VLOOKUP(D1124,'[2]stock-take'!$M:$Q,3,FALSE))</f>
        <v>0</v>
      </c>
      <c r="M1124" s="48" t="str">
        <f t="shared" si="52"/>
        <v xml:space="preserve"> </v>
      </c>
      <c r="N1124" s="39" t="str">
        <f t="shared" si="53"/>
        <v xml:space="preserve"> </v>
      </c>
    </row>
    <row r="1125" spans="1:14">
      <c r="A1125" s="37">
        <f t="shared" si="51"/>
        <v>1114</v>
      </c>
      <c r="G1125" s="48" t="str">
        <f>IF(F1125=""," ",IF(ISNA(VLOOKUP(D1125,'[2]stock-take'!$A:$E,4,FALSE)), "OUT OF STOCK", VLOOKUP(D1125,'[2]stock-take'!$A:$E,4,FALSE)))</f>
        <v xml:space="preserve"> </v>
      </c>
      <c r="H1125" s="48">
        <f>IF(ISNA(VLOOKUP(D1125,'[2]stock-take'!$A:$E,3,FALSE)), 0, VLOOKUP(D1125,'[2]stock-take'!$A:$E,3,FALSE))</f>
        <v>0</v>
      </c>
      <c r="I1125" s="48" t="str">
        <f>IF(F1125="", " ",IF(ISNA(VLOOKUP(D1125,'[2]stock-take'!$G:$K,4,FALSE)), "OUT OF STOCK", VLOOKUP(D1125,'[2]stock-take'!$G:$K,4,FALSE)))</f>
        <v xml:space="preserve"> </v>
      </c>
      <c r="J1125" s="39">
        <f>IF(ISNA(VLOOKUP(D1125,'[2]stock-take'!$G:$K,3,FALSE)), 0, VLOOKUP(D1125,'[2]stock-take'!$G:$K,3,FALSE))</f>
        <v>0</v>
      </c>
      <c r="K1125" s="49" t="str">
        <f>IF(F1125="", " ", IF(ISNA(VLOOKUP(D1125,'[2]stock-take'!$M:$Q,4,FALSE)), "OUT OF STOCK", VLOOKUP(D1125,'[2]stock-take'!$M:$Q,4,FALSE)))</f>
        <v xml:space="preserve"> </v>
      </c>
      <c r="L1125" s="47">
        <f>IF(ISNA(VLOOKUP(D1125,'[2]stock-take'!$M:$Q,3,FALSE)), 0, VLOOKUP(D1125,'[2]stock-take'!$M:$Q,3,FALSE))</f>
        <v>0</v>
      </c>
      <c r="M1125" s="48" t="str">
        <f t="shared" si="52"/>
        <v xml:space="preserve"> </v>
      </c>
      <c r="N1125" s="39" t="str">
        <f t="shared" si="53"/>
        <v xml:space="preserve"> </v>
      </c>
    </row>
    <row r="1126" spans="1:14">
      <c r="A1126" s="37">
        <f t="shared" si="51"/>
        <v>1115</v>
      </c>
      <c r="G1126" s="48" t="str">
        <f>IF(F1126=""," ",IF(ISNA(VLOOKUP(D1126,'[2]stock-take'!$A:$E,4,FALSE)), "OUT OF STOCK", VLOOKUP(D1126,'[2]stock-take'!$A:$E,4,FALSE)))</f>
        <v xml:space="preserve"> </v>
      </c>
      <c r="H1126" s="48">
        <f>IF(ISNA(VLOOKUP(D1126,'[2]stock-take'!$A:$E,3,FALSE)), 0, VLOOKUP(D1126,'[2]stock-take'!$A:$E,3,FALSE))</f>
        <v>0</v>
      </c>
      <c r="I1126" s="48" t="str">
        <f>IF(F1126="", " ",IF(ISNA(VLOOKUP(D1126,'[2]stock-take'!$G:$K,4,FALSE)), "OUT OF STOCK", VLOOKUP(D1126,'[2]stock-take'!$G:$K,4,FALSE)))</f>
        <v xml:space="preserve"> </v>
      </c>
      <c r="J1126" s="39">
        <f>IF(ISNA(VLOOKUP(D1126,'[2]stock-take'!$G:$K,3,FALSE)), 0, VLOOKUP(D1126,'[2]stock-take'!$G:$K,3,FALSE))</f>
        <v>0</v>
      </c>
      <c r="K1126" s="49" t="str">
        <f>IF(F1126="", " ", IF(ISNA(VLOOKUP(D1126,'[2]stock-take'!$M:$Q,4,FALSE)), "OUT OF STOCK", VLOOKUP(D1126,'[2]stock-take'!$M:$Q,4,FALSE)))</f>
        <v xml:space="preserve"> </v>
      </c>
      <c r="L1126" s="47">
        <f>IF(ISNA(VLOOKUP(D1126,'[2]stock-take'!$M:$Q,3,FALSE)), 0, VLOOKUP(D1126,'[2]stock-take'!$M:$Q,3,FALSE))</f>
        <v>0</v>
      </c>
      <c r="M1126" s="48" t="str">
        <f t="shared" si="52"/>
        <v xml:space="preserve"> </v>
      </c>
      <c r="N1126" s="39" t="str">
        <f t="shared" si="53"/>
        <v xml:space="preserve"> </v>
      </c>
    </row>
    <row r="1127" spans="1:14">
      <c r="A1127" s="37">
        <f t="shared" si="51"/>
        <v>1116</v>
      </c>
      <c r="G1127" s="48" t="str">
        <f>IF(F1127=""," ",IF(ISNA(VLOOKUP(D1127,'[2]stock-take'!$A:$E,4,FALSE)), "OUT OF STOCK", VLOOKUP(D1127,'[2]stock-take'!$A:$E,4,FALSE)))</f>
        <v xml:space="preserve"> </v>
      </c>
      <c r="H1127" s="48">
        <f>IF(ISNA(VLOOKUP(D1127,'[2]stock-take'!$A:$E,3,FALSE)), 0, VLOOKUP(D1127,'[2]stock-take'!$A:$E,3,FALSE))</f>
        <v>0</v>
      </c>
      <c r="I1127" s="48" t="str">
        <f>IF(F1127="", " ",IF(ISNA(VLOOKUP(D1127,'[2]stock-take'!$G:$K,4,FALSE)), "OUT OF STOCK", VLOOKUP(D1127,'[2]stock-take'!$G:$K,4,FALSE)))</f>
        <v xml:space="preserve"> </v>
      </c>
      <c r="J1127" s="39">
        <f>IF(ISNA(VLOOKUP(D1127,'[2]stock-take'!$G:$K,3,FALSE)), 0, VLOOKUP(D1127,'[2]stock-take'!$G:$K,3,FALSE))</f>
        <v>0</v>
      </c>
      <c r="K1127" s="49" t="str">
        <f>IF(F1127="", " ", IF(ISNA(VLOOKUP(D1127,'[2]stock-take'!$M:$Q,4,FALSE)), "OUT OF STOCK", VLOOKUP(D1127,'[2]stock-take'!$M:$Q,4,FALSE)))</f>
        <v xml:space="preserve"> </v>
      </c>
      <c r="L1127" s="47">
        <f>IF(ISNA(VLOOKUP(D1127,'[2]stock-take'!$M:$Q,3,FALSE)), 0, VLOOKUP(D1127,'[2]stock-take'!$M:$Q,3,FALSE))</f>
        <v>0</v>
      </c>
      <c r="M1127" s="48" t="str">
        <f t="shared" si="52"/>
        <v xml:space="preserve"> </v>
      </c>
      <c r="N1127" s="39" t="str">
        <f t="shared" si="53"/>
        <v xml:space="preserve"> </v>
      </c>
    </row>
    <row r="1128" spans="1:14">
      <c r="A1128" s="37">
        <f t="shared" si="51"/>
        <v>1117</v>
      </c>
      <c r="G1128" s="48" t="str">
        <f>IF(F1128=""," ",IF(ISNA(VLOOKUP(D1128,'[2]stock-take'!$A:$E,4,FALSE)), "OUT OF STOCK", VLOOKUP(D1128,'[2]stock-take'!$A:$E,4,FALSE)))</f>
        <v xml:space="preserve"> </v>
      </c>
      <c r="H1128" s="48">
        <f>IF(ISNA(VLOOKUP(D1128,'[2]stock-take'!$A:$E,3,FALSE)), 0, VLOOKUP(D1128,'[2]stock-take'!$A:$E,3,FALSE))</f>
        <v>0</v>
      </c>
      <c r="I1128" s="48" t="str">
        <f>IF(F1128="", " ",IF(ISNA(VLOOKUP(D1128,'[2]stock-take'!$G:$K,4,FALSE)), "OUT OF STOCK", VLOOKUP(D1128,'[2]stock-take'!$G:$K,4,FALSE)))</f>
        <v xml:space="preserve"> </v>
      </c>
      <c r="J1128" s="39">
        <f>IF(ISNA(VLOOKUP(D1128,'[2]stock-take'!$G:$K,3,FALSE)), 0, VLOOKUP(D1128,'[2]stock-take'!$G:$K,3,FALSE))</f>
        <v>0</v>
      </c>
      <c r="K1128" s="49" t="str">
        <f>IF(F1128="", " ", IF(ISNA(VLOOKUP(D1128,'[2]stock-take'!$M:$Q,4,FALSE)), "OUT OF STOCK", VLOOKUP(D1128,'[2]stock-take'!$M:$Q,4,FALSE)))</f>
        <v xml:space="preserve"> </v>
      </c>
      <c r="L1128" s="47">
        <f>IF(ISNA(VLOOKUP(D1128,'[2]stock-take'!$M:$Q,3,FALSE)), 0, VLOOKUP(D1128,'[2]stock-take'!$M:$Q,3,FALSE))</f>
        <v>0</v>
      </c>
      <c r="M1128" s="48" t="str">
        <f t="shared" si="52"/>
        <v xml:space="preserve"> </v>
      </c>
      <c r="N1128" s="39" t="str">
        <f t="shared" si="53"/>
        <v xml:space="preserve"> </v>
      </c>
    </row>
    <row r="1129" spans="1:14">
      <c r="A1129" s="37">
        <f t="shared" si="51"/>
        <v>1118</v>
      </c>
      <c r="G1129" s="48" t="str">
        <f>IF(F1129=""," ",IF(ISNA(VLOOKUP(D1129,'[2]stock-take'!$A:$E,4,FALSE)), "OUT OF STOCK", VLOOKUP(D1129,'[2]stock-take'!$A:$E,4,FALSE)))</f>
        <v xml:space="preserve"> </v>
      </c>
      <c r="H1129" s="48">
        <f>IF(ISNA(VLOOKUP(D1129,'[2]stock-take'!$A:$E,3,FALSE)), 0, VLOOKUP(D1129,'[2]stock-take'!$A:$E,3,FALSE))</f>
        <v>0</v>
      </c>
      <c r="I1129" s="48" t="str">
        <f>IF(F1129="", " ",IF(ISNA(VLOOKUP(D1129,'[2]stock-take'!$G:$K,4,FALSE)), "OUT OF STOCK", VLOOKUP(D1129,'[2]stock-take'!$G:$K,4,FALSE)))</f>
        <v xml:space="preserve"> </v>
      </c>
      <c r="J1129" s="39">
        <f>IF(ISNA(VLOOKUP(D1129,'[2]stock-take'!$G:$K,3,FALSE)), 0, VLOOKUP(D1129,'[2]stock-take'!$G:$K,3,FALSE))</f>
        <v>0</v>
      </c>
      <c r="K1129" s="49" t="str">
        <f>IF(F1129="", " ", IF(ISNA(VLOOKUP(D1129,'[2]stock-take'!$M:$Q,4,FALSE)), "OUT OF STOCK", VLOOKUP(D1129,'[2]stock-take'!$M:$Q,4,FALSE)))</f>
        <v xml:space="preserve"> </v>
      </c>
      <c r="L1129" s="47">
        <f>IF(ISNA(VLOOKUP(D1129,'[2]stock-take'!$M:$Q,3,FALSE)), 0, VLOOKUP(D1129,'[2]stock-take'!$M:$Q,3,FALSE))</f>
        <v>0</v>
      </c>
      <c r="M1129" s="48" t="str">
        <f t="shared" si="52"/>
        <v xml:space="preserve"> </v>
      </c>
      <c r="N1129" s="39" t="str">
        <f t="shared" si="53"/>
        <v xml:space="preserve"> </v>
      </c>
    </row>
    <row r="1130" spans="1:14">
      <c r="A1130" s="37">
        <f t="shared" si="51"/>
        <v>1119</v>
      </c>
      <c r="G1130" s="48" t="str">
        <f>IF(F1130=""," ",IF(ISNA(VLOOKUP(D1130,'[2]stock-take'!$A:$E,4,FALSE)), "OUT OF STOCK", VLOOKUP(D1130,'[2]stock-take'!$A:$E,4,FALSE)))</f>
        <v xml:space="preserve"> </v>
      </c>
      <c r="H1130" s="48">
        <f>IF(ISNA(VLOOKUP(D1130,'[2]stock-take'!$A:$E,3,FALSE)), 0, VLOOKUP(D1130,'[2]stock-take'!$A:$E,3,FALSE))</f>
        <v>0</v>
      </c>
      <c r="I1130" s="48" t="str">
        <f>IF(F1130="", " ",IF(ISNA(VLOOKUP(D1130,'[2]stock-take'!$G:$K,4,FALSE)), "OUT OF STOCK", VLOOKUP(D1130,'[2]stock-take'!$G:$K,4,FALSE)))</f>
        <v xml:space="preserve"> </v>
      </c>
      <c r="J1130" s="39">
        <f>IF(ISNA(VLOOKUP(D1130,'[2]stock-take'!$G:$K,3,FALSE)), 0, VLOOKUP(D1130,'[2]stock-take'!$G:$K,3,FALSE))</f>
        <v>0</v>
      </c>
      <c r="K1130" s="49" t="str">
        <f>IF(F1130="", " ", IF(ISNA(VLOOKUP(D1130,'[2]stock-take'!$M:$Q,4,FALSE)), "OUT OF STOCK", VLOOKUP(D1130,'[2]stock-take'!$M:$Q,4,FALSE)))</f>
        <v xml:space="preserve"> </v>
      </c>
      <c r="L1130" s="47">
        <f>IF(ISNA(VLOOKUP(D1130,'[2]stock-take'!$M:$Q,3,FALSE)), 0, VLOOKUP(D1130,'[2]stock-take'!$M:$Q,3,FALSE))</f>
        <v>0</v>
      </c>
      <c r="M1130" s="48" t="str">
        <f t="shared" si="52"/>
        <v xml:space="preserve"> </v>
      </c>
      <c r="N1130" s="39" t="str">
        <f t="shared" si="53"/>
        <v xml:space="preserve"> </v>
      </c>
    </row>
    <row r="1131" spans="1:14">
      <c r="A1131" s="37">
        <f t="shared" si="51"/>
        <v>1120</v>
      </c>
      <c r="G1131" s="48" t="str">
        <f>IF(F1131=""," ",IF(ISNA(VLOOKUP(D1131,'[2]stock-take'!$A:$E,4,FALSE)), "OUT OF STOCK", VLOOKUP(D1131,'[2]stock-take'!$A:$E,4,FALSE)))</f>
        <v xml:space="preserve"> </v>
      </c>
      <c r="H1131" s="48">
        <f>IF(ISNA(VLOOKUP(D1131,'[2]stock-take'!$A:$E,3,FALSE)), 0, VLOOKUP(D1131,'[2]stock-take'!$A:$E,3,FALSE))</f>
        <v>0</v>
      </c>
      <c r="I1131" s="48" t="str">
        <f>IF(F1131="", " ",IF(ISNA(VLOOKUP(D1131,'[2]stock-take'!$G:$K,4,FALSE)), "OUT OF STOCK", VLOOKUP(D1131,'[2]stock-take'!$G:$K,4,FALSE)))</f>
        <v xml:space="preserve"> </v>
      </c>
      <c r="J1131" s="39">
        <f>IF(ISNA(VLOOKUP(D1131,'[2]stock-take'!$G:$K,3,FALSE)), 0, VLOOKUP(D1131,'[2]stock-take'!$G:$K,3,FALSE))</f>
        <v>0</v>
      </c>
      <c r="K1131" s="49" t="str">
        <f>IF(F1131="", " ", IF(ISNA(VLOOKUP(D1131,'[2]stock-take'!$M:$Q,4,FALSE)), "OUT OF STOCK", VLOOKUP(D1131,'[2]stock-take'!$M:$Q,4,FALSE)))</f>
        <v xml:space="preserve"> </v>
      </c>
      <c r="L1131" s="47">
        <f>IF(ISNA(VLOOKUP(D1131,'[2]stock-take'!$M:$Q,3,FALSE)), 0, VLOOKUP(D1131,'[2]stock-take'!$M:$Q,3,FALSE))</f>
        <v>0</v>
      </c>
      <c r="M1131" s="48" t="str">
        <f t="shared" si="52"/>
        <v xml:space="preserve"> </v>
      </c>
      <c r="N1131" s="39" t="str">
        <f t="shared" si="53"/>
        <v xml:space="preserve"> </v>
      </c>
    </row>
    <row r="1132" spans="1:14">
      <c r="A1132" s="37">
        <f t="shared" si="51"/>
        <v>1121</v>
      </c>
      <c r="G1132" s="48" t="str">
        <f>IF(F1132=""," ",IF(ISNA(VLOOKUP(D1132,'[2]stock-take'!$A:$E,4,FALSE)), "OUT OF STOCK", VLOOKUP(D1132,'[2]stock-take'!$A:$E,4,FALSE)))</f>
        <v xml:space="preserve"> </v>
      </c>
      <c r="H1132" s="48">
        <f>IF(ISNA(VLOOKUP(D1132,'[2]stock-take'!$A:$E,3,FALSE)), 0, VLOOKUP(D1132,'[2]stock-take'!$A:$E,3,FALSE))</f>
        <v>0</v>
      </c>
      <c r="I1132" s="48" t="str">
        <f>IF(F1132="", " ",IF(ISNA(VLOOKUP(D1132,'[2]stock-take'!$G:$K,4,FALSE)), "OUT OF STOCK", VLOOKUP(D1132,'[2]stock-take'!$G:$K,4,FALSE)))</f>
        <v xml:space="preserve"> </v>
      </c>
      <c r="J1132" s="39">
        <f>IF(ISNA(VLOOKUP(D1132,'[2]stock-take'!$G:$K,3,FALSE)), 0, VLOOKUP(D1132,'[2]stock-take'!$G:$K,3,FALSE))</f>
        <v>0</v>
      </c>
      <c r="K1132" s="49" t="str">
        <f>IF(F1132="", " ", IF(ISNA(VLOOKUP(D1132,'[2]stock-take'!$M:$Q,4,FALSE)), "OUT OF STOCK", VLOOKUP(D1132,'[2]stock-take'!$M:$Q,4,FALSE)))</f>
        <v xml:space="preserve"> </v>
      </c>
      <c r="L1132" s="47">
        <f>IF(ISNA(VLOOKUP(D1132,'[2]stock-take'!$M:$Q,3,FALSE)), 0, VLOOKUP(D1132,'[2]stock-take'!$M:$Q,3,FALSE))</f>
        <v>0</v>
      </c>
      <c r="M1132" s="48" t="str">
        <f t="shared" si="52"/>
        <v xml:space="preserve"> </v>
      </c>
      <c r="N1132" s="39" t="str">
        <f t="shared" si="53"/>
        <v xml:space="preserve"> </v>
      </c>
    </row>
    <row r="1133" spans="1:14">
      <c r="A1133" s="37">
        <f t="shared" si="51"/>
        <v>1122</v>
      </c>
      <c r="G1133" s="48" t="str">
        <f>IF(F1133=""," ",IF(ISNA(VLOOKUP(D1133,'[2]stock-take'!$A:$E,4,FALSE)), "OUT OF STOCK", VLOOKUP(D1133,'[2]stock-take'!$A:$E,4,FALSE)))</f>
        <v xml:space="preserve"> </v>
      </c>
      <c r="H1133" s="48">
        <f>IF(ISNA(VLOOKUP(D1133,'[2]stock-take'!$A:$E,3,FALSE)), 0, VLOOKUP(D1133,'[2]stock-take'!$A:$E,3,FALSE))</f>
        <v>0</v>
      </c>
      <c r="I1133" s="48" t="str">
        <f>IF(F1133="", " ",IF(ISNA(VLOOKUP(D1133,'[2]stock-take'!$G:$K,4,FALSE)), "OUT OF STOCK", VLOOKUP(D1133,'[2]stock-take'!$G:$K,4,FALSE)))</f>
        <v xml:space="preserve"> </v>
      </c>
      <c r="J1133" s="39">
        <f>IF(ISNA(VLOOKUP(D1133,'[2]stock-take'!$G:$K,3,FALSE)), 0, VLOOKUP(D1133,'[2]stock-take'!$G:$K,3,FALSE))</f>
        <v>0</v>
      </c>
      <c r="K1133" s="49" t="str">
        <f>IF(F1133="", " ", IF(ISNA(VLOOKUP(D1133,'[2]stock-take'!$M:$Q,4,FALSE)), "OUT OF STOCK", VLOOKUP(D1133,'[2]stock-take'!$M:$Q,4,FALSE)))</f>
        <v xml:space="preserve"> </v>
      </c>
      <c r="L1133" s="47">
        <f>IF(ISNA(VLOOKUP(D1133,'[2]stock-take'!$M:$Q,3,FALSE)), 0, VLOOKUP(D1133,'[2]stock-take'!$M:$Q,3,FALSE))</f>
        <v>0</v>
      </c>
      <c r="M1133" s="48" t="str">
        <f t="shared" si="52"/>
        <v xml:space="preserve"> </v>
      </c>
      <c r="N1133" s="39" t="str">
        <f t="shared" si="53"/>
        <v xml:space="preserve"> </v>
      </c>
    </row>
    <row r="1134" spans="1:14">
      <c r="A1134" s="37">
        <f t="shared" si="51"/>
        <v>1123</v>
      </c>
      <c r="G1134" s="48" t="str">
        <f>IF(F1134=""," ",IF(ISNA(VLOOKUP(D1134,'[2]stock-take'!$A:$E,4,FALSE)), "OUT OF STOCK", VLOOKUP(D1134,'[2]stock-take'!$A:$E,4,FALSE)))</f>
        <v xml:space="preserve"> </v>
      </c>
      <c r="H1134" s="48">
        <f>IF(ISNA(VLOOKUP(D1134,'[2]stock-take'!$A:$E,3,FALSE)), 0, VLOOKUP(D1134,'[2]stock-take'!$A:$E,3,FALSE))</f>
        <v>0</v>
      </c>
      <c r="I1134" s="48" t="str">
        <f>IF(F1134="", " ",IF(ISNA(VLOOKUP(D1134,'[2]stock-take'!$G:$K,4,FALSE)), "OUT OF STOCK", VLOOKUP(D1134,'[2]stock-take'!$G:$K,4,FALSE)))</f>
        <v xml:space="preserve"> </v>
      </c>
      <c r="J1134" s="39">
        <f>IF(ISNA(VLOOKUP(D1134,'[2]stock-take'!$G:$K,3,FALSE)), 0, VLOOKUP(D1134,'[2]stock-take'!$G:$K,3,FALSE))</f>
        <v>0</v>
      </c>
      <c r="K1134" s="49" t="str">
        <f>IF(F1134="", " ", IF(ISNA(VLOOKUP(D1134,'[2]stock-take'!$M:$Q,4,FALSE)), "OUT OF STOCK", VLOOKUP(D1134,'[2]stock-take'!$M:$Q,4,FALSE)))</f>
        <v xml:space="preserve"> </v>
      </c>
      <c r="L1134" s="47">
        <f>IF(ISNA(VLOOKUP(D1134,'[2]stock-take'!$M:$Q,3,FALSE)), 0, VLOOKUP(D1134,'[2]stock-take'!$M:$Q,3,FALSE))</f>
        <v>0</v>
      </c>
      <c r="M1134" s="48" t="str">
        <f t="shared" si="52"/>
        <v xml:space="preserve"> </v>
      </c>
      <c r="N1134" s="39" t="str">
        <f t="shared" si="53"/>
        <v xml:space="preserve"> </v>
      </c>
    </row>
    <row r="1135" spans="1:14">
      <c r="A1135" s="37">
        <f t="shared" si="51"/>
        <v>1124</v>
      </c>
      <c r="G1135" s="48" t="str">
        <f>IF(F1135=""," ",IF(ISNA(VLOOKUP(D1135,'[2]stock-take'!$A:$E,4,FALSE)), "OUT OF STOCK", VLOOKUP(D1135,'[2]stock-take'!$A:$E,4,FALSE)))</f>
        <v xml:space="preserve"> </v>
      </c>
      <c r="H1135" s="48">
        <f>IF(ISNA(VLOOKUP(D1135,'[2]stock-take'!$A:$E,3,FALSE)), 0, VLOOKUP(D1135,'[2]stock-take'!$A:$E,3,FALSE))</f>
        <v>0</v>
      </c>
      <c r="I1135" s="48" t="str">
        <f>IF(F1135="", " ",IF(ISNA(VLOOKUP(D1135,'[2]stock-take'!$G:$K,4,FALSE)), "OUT OF STOCK", VLOOKUP(D1135,'[2]stock-take'!$G:$K,4,FALSE)))</f>
        <v xml:space="preserve"> </v>
      </c>
      <c r="J1135" s="39">
        <f>IF(ISNA(VLOOKUP(D1135,'[2]stock-take'!$G:$K,3,FALSE)), 0, VLOOKUP(D1135,'[2]stock-take'!$G:$K,3,FALSE))</f>
        <v>0</v>
      </c>
      <c r="K1135" s="49" t="str">
        <f>IF(F1135="", " ", IF(ISNA(VLOOKUP(D1135,'[2]stock-take'!$M:$Q,4,FALSE)), "OUT OF STOCK", VLOOKUP(D1135,'[2]stock-take'!$M:$Q,4,FALSE)))</f>
        <v xml:space="preserve"> </v>
      </c>
      <c r="L1135" s="47">
        <f>IF(ISNA(VLOOKUP(D1135,'[2]stock-take'!$M:$Q,3,FALSE)), 0, VLOOKUP(D1135,'[2]stock-take'!$M:$Q,3,FALSE))</f>
        <v>0</v>
      </c>
      <c r="M1135" s="48" t="str">
        <f t="shared" si="52"/>
        <v xml:space="preserve"> </v>
      </c>
      <c r="N1135" s="39" t="str">
        <f t="shared" si="53"/>
        <v xml:space="preserve"> </v>
      </c>
    </row>
    <row r="1136" spans="1:14">
      <c r="A1136" s="37">
        <f t="shared" si="51"/>
        <v>1125</v>
      </c>
      <c r="G1136" s="48" t="str">
        <f>IF(F1136=""," ",IF(ISNA(VLOOKUP(D1136,'[2]stock-take'!$A:$E,4,FALSE)), "OUT OF STOCK", VLOOKUP(D1136,'[2]stock-take'!$A:$E,4,FALSE)))</f>
        <v xml:space="preserve"> </v>
      </c>
      <c r="H1136" s="48">
        <f>IF(ISNA(VLOOKUP(D1136,'[2]stock-take'!$A:$E,3,FALSE)), 0, VLOOKUP(D1136,'[2]stock-take'!$A:$E,3,FALSE))</f>
        <v>0</v>
      </c>
      <c r="I1136" s="48" t="str">
        <f>IF(F1136="", " ",IF(ISNA(VLOOKUP(D1136,'[2]stock-take'!$G:$K,4,FALSE)), "OUT OF STOCK", VLOOKUP(D1136,'[2]stock-take'!$G:$K,4,FALSE)))</f>
        <v xml:space="preserve"> </v>
      </c>
      <c r="J1136" s="39">
        <f>IF(ISNA(VLOOKUP(D1136,'[2]stock-take'!$G:$K,3,FALSE)), 0, VLOOKUP(D1136,'[2]stock-take'!$G:$K,3,FALSE))</f>
        <v>0</v>
      </c>
      <c r="K1136" s="49" t="str">
        <f>IF(F1136="", " ", IF(ISNA(VLOOKUP(D1136,'[2]stock-take'!$M:$Q,4,FALSE)), "OUT OF STOCK", VLOOKUP(D1136,'[2]stock-take'!$M:$Q,4,FALSE)))</f>
        <v xml:space="preserve"> </v>
      </c>
      <c r="L1136" s="47">
        <f>IF(ISNA(VLOOKUP(D1136,'[2]stock-take'!$M:$Q,3,FALSE)), 0, VLOOKUP(D1136,'[2]stock-take'!$M:$Q,3,FALSE))</f>
        <v>0</v>
      </c>
      <c r="M1136" s="48" t="str">
        <f t="shared" si="52"/>
        <v xml:space="preserve"> </v>
      </c>
      <c r="N1136" s="39" t="str">
        <f t="shared" si="53"/>
        <v xml:space="preserve"> </v>
      </c>
    </row>
    <row r="1137" spans="1:14">
      <c r="A1137" s="37">
        <f t="shared" si="51"/>
        <v>1126</v>
      </c>
      <c r="G1137" s="48" t="str">
        <f>IF(F1137=""," ",IF(ISNA(VLOOKUP(D1137,'[2]stock-take'!$A:$E,4,FALSE)), "OUT OF STOCK", VLOOKUP(D1137,'[2]stock-take'!$A:$E,4,FALSE)))</f>
        <v xml:space="preserve"> </v>
      </c>
      <c r="H1137" s="48">
        <f>IF(ISNA(VLOOKUP(D1137,'[2]stock-take'!$A:$E,3,FALSE)), 0, VLOOKUP(D1137,'[2]stock-take'!$A:$E,3,FALSE))</f>
        <v>0</v>
      </c>
      <c r="I1137" s="48" t="str">
        <f>IF(F1137="", " ",IF(ISNA(VLOOKUP(D1137,'[2]stock-take'!$G:$K,4,FALSE)), "OUT OF STOCK", VLOOKUP(D1137,'[2]stock-take'!$G:$K,4,FALSE)))</f>
        <v xml:space="preserve"> </v>
      </c>
      <c r="J1137" s="39">
        <f>IF(ISNA(VLOOKUP(D1137,'[2]stock-take'!$G:$K,3,FALSE)), 0, VLOOKUP(D1137,'[2]stock-take'!$G:$K,3,FALSE))</f>
        <v>0</v>
      </c>
      <c r="K1137" s="49" t="str">
        <f>IF(F1137="", " ", IF(ISNA(VLOOKUP(D1137,'[2]stock-take'!$M:$Q,4,FALSE)), "OUT OF STOCK", VLOOKUP(D1137,'[2]stock-take'!$M:$Q,4,FALSE)))</f>
        <v xml:space="preserve"> </v>
      </c>
      <c r="L1137" s="47">
        <f>IF(ISNA(VLOOKUP(D1137,'[2]stock-take'!$M:$Q,3,FALSE)), 0, VLOOKUP(D1137,'[2]stock-take'!$M:$Q,3,FALSE))</f>
        <v>0</v>
      </c>
      <c r="M1137" s="48" t="str">
        <f t="shared" si="52"/>
        <v xml:space="preserve"> </v>
      </c>
      <c r="N1137" s="39" t="str">
        <f t="shared" si="53"/>
        <v xml:space="preserve"> </v>
      </c>
    </row>
    <row r="1138" spans="1:14">
      <c r="A1138" s="37">
        <f t="shared" si="51"/>
        <v>1127</v>
      </c>
      <c r="G1138" s="48" t="str">
        <f>IF(F1138=""," ",IF(ISNA(VLOOKUP(D1138,'[2]stock-take'!$A:$E,4,FALSE)), "OUT OF STOCK", VLOOKUP(D1138,'[2]stock-take'!$A:$E,4,FALSE)))</f>
        <v xml:space="preserve"> </v>
      </c>
      <c r="H1138" s="48">
        <f>IF(ISNA(VLOOKUP(D1138,'[2]stock-take'!$A:$E,3,FALSE)), 0, VLOOKUP(D1138,'[2]stock-take'!$A:$E,3,FALSE))</f>
        <v>0</v>
      </c>
      <c r="I1138" s="48" t="str">
        <f>IF(F1138="", " ",IF(ISNA(VLOOKUP(D1138,'[2]stock-take'!$G:$K,4,FALSE)), "OUT OF STOCK", VLOOKUP(D1138,'[2]stock-take'!$G:$K,4,FALSE)))</f>
        <v xml:space="preserve"> </v>
      </c>
      <c r="J1138" s="39">
        <f>IF(ISNA(VLOOKUP(D1138,'[2]stock-take'!$G:$K,3,FALSE)), 0, VLOOKUP(D1138,'[2]stock-take'!$G:$K,3,FALSE))</f>
        <v>0</v>
      </c>
      <c r="K1138" s="49" t="str">
        <f>IF(F1138="", " ", IF(ISNA(VLOOKUP(D1138,'[2]stock-take'!$M:$Q,4,FALSE)), "OUT OF STOCK", VLOOKUP(D1138,'[2]stock-take'!$M:$Q,4,FALSE)))</f>
        <v xml:space="preserve"> </v>
      </c>
      <c r="L1138" s="47">
        <f>IF(ISNA(VLOOKUP(D1138,'[2]stock-take'!$M:$Q,3,FALSE)), 0, VLOOKUP(D1138,'[2]stock-take'!$M:$Q,3,FALSE))</f>
        <v>0</v>
      </c>
      <c r="M1138" s="48" t="str">
        <f t="shared" si="52"/>
        <v xml:space="preserve"> </v>
      </c>
      <c r="N1138" s="39" t="str">
        <f t="shared" si="53"/>
        <v xml:space="preserve"> </v>
      </c>
    </row>
    <row r="1139" spans="1:14">
      <c r="A1139" s="37">
        <f t="shared" si="51"/>
        <v>1128</v>
      </c>
      <c r="G1139" s="48" t="str">
        <f>IF(F1139=""," ",IF(ISNA(VLOOKUP(D1139,'[2]stock-take'!$A:$E,4,FALSE)), "OUT OF STOCK", VLOOKUP(D1139,'[2]stock-take'!$A:$E,4,FALSE)))</f>
        <v xml:space="preserve"> </v>
      </c>
      <c r="H1139" s="48">
        <f>IF(ISNA(VLOOKUP(D1139,'[2]stock-take'!$A:$E,3,FALSE)), 0, VLOOKUP(D1139,'[2]stock-take'!$A:$E,3,FALSE))</f>
        <v>0</v>
      </c>
      <c r="I1139" s="48" t="str">
        <f>IF(F1139="", " ",IF(ISNA(VLOOKUP(D1139,'[2]stock-take'!$G:$K,4,FALSE)), "OUT OF STOCK", VLOOKUP(D1139,'[2]stock-take'!$G:$K,4,FALSE)))</f>
        <v xml:space="preserve"> </v>
      </c>
      <c r="J1139" s="39">
        <f>IF(ISNA(VLOOKUP(D1139,'[2]stock-take'!$G:$K,3,FALSE)), 0, VLOOKUP(D1139,'[2]stock-take'!$G:$K,3,FALSE))</f>
        <v>0</v>
      </c>
      <c r="K1139" s="49" t="str">
        <f>IF(F1139="", " ", IF(ISNA(VLOOKUP(D1139,'[2]stock-take'!$M:$Q,4,FALSE)), "OUT OF STOCK", VLOOKUP(D1139,'[2]stock-take'!$M:$Q,4,FALSE)))</f>
        <v xml:space="preserve"> </v>
      </c>
      <c r="L1139" s="47">
        <f>IF(ISNA(VLOOKUP(D1139,'[2]stock-take'!$M:$Q,3,FALSE)), 0, VLOOKUP(D1139,'[2]stock-take'!$M:$Q,3,FALSE))</f>
        <v>0</v>
      </c>
      <c r="M1139" s="48" t="str">
        <f t="shared" si="52"/>
        <v xml:space="preserve"> </v>
      </c>
      <c r="N1139" s="39" t="str">
        <f t="shared" si="53"/>
        <v xml:space="preserve"> </v>
      </c>
    </row>
    <row r="1140" spans="1:14">
      <c r="A1140" s="37">
        <f t="shared" si="51"/>
        <v>1129</v>
      </c>
      <c r="G1140" s="48" t="str">
        <f>IF(F1140=""," ",IF(ISNA(VLOOKUP(D1140,'[2]stock-take'!$A:$E,4,FALSE)), "OUT OF STOCK", VLOOKUP(D1140,'[2]stock-take'!$A:$E,4,FALSE)))</f>
        <v xml:space="preserve"> </v>
      </c>
      <c r="H1140" s="48">
        <f>IF(ISNA(VLOOKUP(D1140,'[2]stock-take'!$A:$E,3,FALSE)), 0, VLOOKUP(D1140,'[2]stock-take'!$A:$E,3,FALSE))</f>
        <v>0</v>
      </c>
      <c r="I1140" s="48" t="str">
        <f>IF(F1140="", " ",IF(ISNA(VLOOKUP(D1140,'[2]stock-take'!$G:$K,4,FALSE)), "OUT OF STOCK", VLOOKUP(D1140,'[2]stock-take'!$G:$K,4,FALSE)))</f>
        <v xml:space="preserve"> </v>
      </c>
      <c r="J1140" s="39">
        <f>IF(ISNA(VLOOKUP(D1140,'[2]stock-take'!$G:$K,3,FALSE)), 0, VLOOKUP(D1140,'[2]stock-take'!$G:$K,3,FALSE))</f>
        <v>0</v>
      </c>
      <c r="K1140" s="49" t="str">
        <f>IF(F1140="", " ", IF(ISNA(VLOOKUP(D1140,'[2]stock-take'!$M:$Q,4,FALSE)), "OUT OF STOCK", VLOOKUP(D1140,'[2]stock-take'!$M:$Q,4,FALSE)))</f>
        <v xml:space="preserve"> </v>
      </c>
      <c r="L1140" s="47">
        <f>IF(ISNA(VLOOKUP(D1140,'[2]stock-take'!$M:$Q,3,FALSE)), 0, VLOOKUP(D1140,'[2]stock-take'!$M:$Q,3,FALSE))</f>
        <v>0</v>
      </c>
      <c r="M1140" s="48" t="str">
        <f t="shared" si="52"/>
        <v xml:space="preserve"> </v>
      </c>
      <c r="N1140" s="39" t="str">
        <f t="shared" si="53"/>
        <v xml:space="preserve"> </v>
      </c>
    </row>
    <row r="1141" spans="1:14">
      <c r="A1141" s="37">
        <f t="shared" si="51"/>
        <v>1130</v>
      </c>
      <c r="G1141" s="48" t="str">
        <f>IF(F1141=""," ",IF(ISNA(VLOOKUP(D1141,'[2]stock-take'!$A:$E,4,FALSE)), "OUT OF STOCK", VLOOKUP(D1141,'[2]stock-take'!$A:$E,4,FALSE)))</f>
        <v xml:space="preserve"> </v>
      </c>
      <c r="H1141" s="48">
        <f>IF(ISNA(VLOOKUP(D1141,'[2]stock-take'!$A:$E,3,FALSE)), 0, VLOOKUP(D1141,'[2]stock-take'!$A:$E,3,FALSE))</f>
        <v>0</v>
      </c>
      <c r="I1141" s="48" t="str">
        <f>IF(F1141="", " ",IF(ISNA(VLOOKUP(D1141,'[2]stock-take'!$G:$K,4,FALSE)), "OUT OF STOCK", VLOOKUP(D1141,'[2]stock-take'!$G:$K,4,FALSE)))</f>
        <v xml:space="preserve"> </v>
      </c>
      <c r="J1141" s="39">
        <f>IF(ISNA(VLOOKUP(D1141,'[2]stock-take'!$G:$K,3,FALSE)), 0, VLOOKUP(D1141,'[2]stock-take'!$G:$K,3,FALSE))</f>
        <v>0</v>
      </c>
      <c r="K1141" s="49" t="str">
        <f>IF(F1141="", " ", IF(ISNA(VLOOKUP(D1141,'[2]stock-take'!$M:$Q,4,FALSE)), "OUT OF STOCK", VLOOKUP(D1141,'[2]stock-take'!$M:$Q,4,FALSE)))</f>
        <v xml:space="preserve"> </v>
      </c>
      <c r="L1141" s="47">
        <f>IF(ISNA(VLOOKUP(D1141,'[2]stock-take'!$M:$Q,3,FALSE)), 0, VLOOKUP(D1141,'[2]stock-take'!$M:$Q,3,FALSE))</f>
        <v>0</v>
      </c>
      <c r="M1141" s="48" t="str">
        <f t="shared" si="52"/>
        <v xml:space="preserve"> </v>
      </c>
      <c r="N1141" s="39" t="str">
        <f t="shared" si="53"/>
        <v xml:space="preserve"> </v>
      </c>
    </row>
    <row r="1142" spans="1:14">
      <c r="A1142" s="37">
        <f t="shared" si="51"/>
        <v>1131</v>
      </c>
      <c r="G1142" s="48" t="str">
        <f>IF(F1142=""," ",IF(ISNA(VLOOKUP(D1142,'[2]stock-take'!$A:$E,4,FALSE)), "OUT OF STOCK", VLOOKUP(D1142,'[2]stock-take'!$A:$E,4,FALSE)))</f>
        <v xml:space="preserve"> </v>
      </c>
      <c r="H1142" s="48">
        <f>IF(ISNA(VLOOKUP(D1142,'[2]stock-take'!$A:$E,3,FALSE)), 0, VLOOKUP(D1142,'[2]stock-take'!$A:$E,3,FALSE))</f>
        <v>0</v>
      </c>
      <c r="I1142" s="48" t="str">
        <f>IF(F1142="", " ",IF(ISNA(VLOOKUP(D1142,'[2]stock-take'!$G:$K,4,FALSE)), "OUT OF STOCK", VLOOKUP(D1142,'[2]stock-take'!$G:$K,4,FALSE)))</f>
        <v xml:space="preserve"> </v>
      </c>
      <c r="J1142" s="39">
        <f>IF(ISNA(VLOOKUP(D1142,'[2]stock-take'!$G:$K,3,FALSE)), 0, VLOOKUP(D1142,'[2]stock-take'!$G:$K,3,FALSE))</f>
        <v>0</v>
      </c>
      <c r="K1142" s="49" t="str">
        <f>IF(F1142="", " ", IF(ISNA(VLOOKUP(D1142,'[2]stock-take'!$M:$Q,4,FALSE)), "OUT OF STOCK", VLOOKUP(D1142,'[2]stock-take'!$M:$Q,4,FALSE)))</f>
        <v xml:space="preserve"> </v>
      </c>
      <c r="L1142" s="47">
        <f>IF(ISNA(VLOOKUP(D1142,'[2]stock-take'!$M:$Q,3,FALSE)), 0, VLOOKUP(D1142,'[2]stock-take'!$M:$Q,3,FALSE))</f>
        <v>0</v>
      </c>
      <c r="M1142" s="48" t="str">
        <f t="shared" si="52"/>
        <v xml:space="preserve"> </v>
      </c>
      <c r="N1142" s="39" t="str">
        <f t="shared" si="53"/>
        <v xml:space="preserve"> </v>
      </c>
    </row>
    <row r="1143" spans="1:14">
      <c r="A1143" s="37">
        <f t="shared" si="51"/>
        <v>1132</v>
      </c>
      <c r="G1143" s="48" t="str">
        <f>IF(F1143=""," ",IF(ISNA(VLOOKUP(D1143,'[2]stock-take'!$A:$E,4,FALSE)), "OUT OF STOCK", VLOOKUP(D1143,'[2]stock-take'!$A:$E,4,FALSE)))</f>
        <v xml:space="preserve"> </v>
      </c>
      <c r="H1143" s="48">
        <f>IF(ISNA(VLOOKUP(D1143,'[2]stock-take'!$A:$E,3,FALSE)), 0, VLOOKUP(D1143,'[2]stock-take'!$A:$E,3,FALSE))</f>
        <v>0</v>
      </c>
      <c r="I1143" s="48" t="str">
        <f>IF(F1143="", " ",IF(ISNA(VLOOKUP(D1143,'[2]stock-take'!$G:$K,4,FALSE)), "OUT OF STOCK", VLOOKUP(D1143,'[2]stock-take'!$G:$K,4,FALSE)))</f>
        <v xml:space="preserve"> </v>
      </c>
      <c r="J1143" s="39">
        <f>IF(ISNA(VLOOKUP(D1143,'[2]stock-take'!$G:$K,3,FALSE)), 0, VLOOKUP(D1143,'[2]stock-take'!$G:$K,3,FALSE))</f>
        <v>0</v>
      </c>
      <c r="K1143" s="49" t="str">
        <f>IF(F1143="", " ", IF(ISNA(VLOOKUP(D1143,'[2]stock-take'!$M:$Q,4,FALSE)), "OUT OF STOCK", VLOOKUP(D1143,'[2]stock-take'!$M:$Q,4,FALSE)))</f>
        <v xml:space="preserve"> </v>
      </c>
      <c r="L1143" s="47">
        <f>IF(ISNA(VLOOKUP(D1143,'[2]stock-take'!$M:$Q,3,FALSE)), 0, VLOOKUP(D1143,'[2]stock-take'!$M:$Q,3,FALSE))</f>
        <v>0</v>
      </c>
      <c r="M1143" s="48" t="str">
        <f t="shared" si="52"/>
        <v xml:space="preserve"> </v>
      </c>
      <c r="N1143" s="39" t="str">
        <f t="shared" si="53"/>
        <v xml:space="preserve"> </v>
      </c>
    </row>
    <row r="1144" spans="1:14">
      <c r="A1144" s="37">
        <f t="shared" si="51"/>
        <v>1133</v>
      </c>
      <c r="G1144" s="48" t="str">
        <f>IF(F1144=""," ",IF(ISNA(VLOOKUP(D1144,'[2]stock-take'!$A:$E,4,FALSE)), "OUT OF STOCK", VLOOKUP(D1144,'[2]stock-take'!$A:$E,4,FALSE)))</f>
        <v xml:space="preserve"> </v>
      </c>
      <c r="H1144" s="48">
        <f>IF(ISNA(VLOOKUP(D1144,'[2]stock-take'!$A:$E,3,FALSE)), 0, VLOOKUP(D1144,'[2]stock-take'!$A:$E,3,FALSE))</f>
        <v>0</v>
      </c>
      <c r="I1144" s="48" t="str">
        <f>IF(F1144="", " ",IF(ISNA(VLOOKUP(D1144,'[2]stock-take'!$G:$K,4,FALSE)), "OUT OF STOCK", VLOOKUP(D1144,'[2]stock-take'!$G:$K,4,FALSE)))</f>
        <v xml:space="preserve"> </v>
      </c>
      <c r="J1144" s="39">
        <f>IF(ISNA(VLOOKUP(D1144,'[2]stock-take'!$G:$K,3,FALSE)), 0, VLOOKUP(D1144,'[2]stock-take'!$G:$K,3,FALSE))</f>
        <v>0</v>
      </c>
      <c r="K1144" s="49" t="str">
        <f>IF(F1144="", " ", IF(ISNA(VLOOKUP(D1144,'[2]stock-take'!$M:$Q,4,FALSE)), "OUT OF STOCK", VLOOKUP(D1144,'[2]stock-take'!$M:$Q,4,FALSE)))</f>
        <v xml:space="preserve"> </v>
      </c>
      <c r="L1144" s="47">
        <f>IF(ISNA(VLOOKUP(D1144,'[2]stock-take'!$M:$Q,3,FALSE)), 0, VLOOKUP(D1144,'[2]stock-take'!$M:$Q,3,FALSE))</f>
        <v>0</v>
      </c>
      <c r="M1144" s="48" t="str">
        <f t="shared" si="52"/>
        <v xml:space="preserve"> </v>
      </c>
      <c r="N1144" s="39" t="str">
        <f t="shared" si="53"/>
        <v xml:space="preserve"> </v>
      </c>
    </row>
    <row r="1145" spans="1:14">
      <c r="A1145" s="37">
        <f t="shared" si="51"/>
        <v>1134</v>
      </c>
      <c r="G1145" s="48" t="str">
        <f>IF(F1145=""," ",IF(ISNA(VLOOKUP(D1145,'[2]stock-take'!$A:$E,4,FALSE)), "OUT OF STOCK", VLOOKUP(D1145,'[2]stock-take'!$A:$E,4,FALSE)))</f>
        <v xml:space="preserve"> </v>
      </c>
      <c r="H1145" s="48">
        <f>IF(ISNA(VLOOKUP(D1145,'[2]stock-take'!$A:$E,3,FALSE)), 0, VLOOKUP(D1145,'[2]stock-take'!$A:$E,3,FALSE))</f>
        <v>0</v>
      </c>
      <c r="I1145" s="48" t="str">
        <f>IF(F1145="", " ",IF(ISNA(VLOOKUP(D1145,'[2]stock-take'!$G:$K,4,FALSE)), "OUT OF STOCK", VLOOKUP(D1145,'[2]stock-take'!$G:$K,4,FALSE)))</f>
        <v xml:space="preserve"> </v>
      </c>
      <c r="J1145" s="39">
        <f>IF(ISNA(VLOOKUP(D1145,'[2]stock-take'!$G:$K,3,FALSE)), 0, VLOOKUP(D1145,'[2]stock-take'!$G:$K,3,FALSE))</f>
        <v>0</v>
      </c>
      <c r="K1145" s="49" t="str">
        <f>IF(F1145="", " ", IF(ISNA(VLOOKUP(D1145,'[2]stock-take'!$M:$Q,4,FALSE)), "OUT OF STOCK", VLOOKUP(D1145,'[2]stock-take'!$M:$Q,4,FALSE)))</f>
        <v xml:space="preserve"> </v>
      </c>
      <c r="L1145" s="47">
        <f>IF(ISNA(VLOOKUP(D1145,'[2]stock-take'!$M:$Q,3,FALSE)), 0, VLOOKUP(D1145,'[2]stock-take'!$M:$Q,3,FALSE))</f>
        <v>0</v>
      </c>
      <c r="M1145" s="48" t="str">
        <f t="shared" si="52"/>
        <v xml:space="preserve"> </v>
      </c>
      <c r="N1145" s="39" t="str">
        <f t="shared" si="53"/>
        <v xml:space="preserve"> </v>
      </c>
    </row>
    <row r="1146" spans="1:14">
      <c r="A1146" s="37">
        <f t="shared" si="51"/>
        <v>1135</v>
      </c>
      <c r="G1146" s="48" t="str">
        <f>IF(F1146=""," ",IF(ISNA(VLOOKUP(D1146,'[2]stock-take'!$A:$E,4,FALSE)), "OUT OF STOCK", VLOOKUP(D1146,'[2]stock-take'!$A:$E,4,FALSE)))</f>
        <v xml:space="preserve"> </v>
      </c>
      <c r="H1146" s="48">
        <f>IF(ISNA(VLOOKUP(D1146,'[2]stock-take'!$A:$E,3,FALSE)), 0, VLOOKUP(D1146,'[2]stock-take'!$A:$E,3,FALSE))</f>
        <v>0</v>
      </c>
      <c r="I1146" s="48" t="str">
        <f>IF(F1146="", " ",IF(ISNA(VLOOKUP(D1146,'[2]stock-take'!$G:$K,4,FALSE)), "OUT OF STOCK", VLOOKUP(D1146,'[2]stock-take'!$G:$K,4,FALSE)))</f>
        <v xml:space="preserve"> </v>
      </c>
      <c r="J1146" s="39">
        <f>IF(ISNA(VLOOKUP(D1146,'[2]stock-take'!$G:$K,3,FALSE)), 0, VLOOKUP(D1146,'[2]stock-take'!$G:$K,3,FALSE))</f>
        <v>0</v>
      </c>
      <c r="K1146" s="49" t="str">
        <f>IF(F1146="", " ", IF(ISNA(VLOOKUP(D1146,'[2]stock-take'!$M:$Q,4,FALSE)), "OUT OF STOCK", VLOOKUP(D1146,'[2]stock-take'!$M:$Q,4,FALSE)))</f>
        <v xml:space="preserve"> </v>
      </c>
      <c r="L1146" s="47">
        <f>IF(ISNA(VLOOKUP(D1146,'[2]stock-take'!$M:$Q,3,FALSE)), 0, VLOOKUP(D1146,'[2]stock-take'!$M:$Q,3,FALSE))</f>
        <v>0</v>
      </c>
      <c r="M1146" s="48" t="str">
        <f t="shared" si="52"/>
        <v xml:space="preserve"> </v>
      </c>
      <c r="N1146" s="39" t="str">
        <f t="shared" si="53"/>
        <v xml:space="preserve"> </v>
      </c>
    </row>
    <row r="1147" spans="1:14">
      <c r="A1147" s="37">
        <f t="shared" si="51"/>
        <v>1136</v>
      </c>
      <c r="G1147" s="48" t="str">
        <f>IF(F1147=""," ",IF(ISNA(VLOOKUP(D1147,'[2]stock-take'!$A:$E,4,FALSE)), "OUT OF STOCK", VLOOKUP(D1147,'[2]stock-take'!$A:$E,4,FALSE)))</f>
        <v xml:space="preserve"> </v>
      </c>
      <c r="H1147" s="48">
        <f>IF(ISNA(VLOOKUP(D1147,'[2]stock-take'!$A:$E,3,FALSE)), 0, VLOOKUP(D1147,'[2]stock-take'!$A:$E,3,FALSE))</f>
        <v>0</v>
      </c>
      <c r="I1147" s="48" t="str">
        <f>IF(F1147="", " ",IF(ISNA(VLOOKUP(D1147,'[2]stock-take'!$G:$K,4,FALSE)), "OUT OF STOCK", VLOOKUP(D1147,'[2]stock-take'!$G:$K,4,FALSE)))</f>
        <v xml:space="preserve"> </v>
      </c>
      <c r="J1147" s="39">
        <f>IF(ISNA(VLOOKUP(D1147,'[2]stock-take'!$G:$K,3,FALSE)), 0, VLOOKUP(D1147,'[2]stock-take'!$G:$K,3,FALSE))</f>
        <v>0</v>
      </c>
      <c r="K1147" s="49" t="str">
        <f>IF(F1147="", " ", IF(ISNA(VLOOKUP(D1147,'[2]stock-take'!$M:$Q,4,FALSE)), "OUT OF STOCK", VLOOKUP(D1147,'[2]stock-take'!$M:$Q,4,FALSE)))</f>
        <v xml:space="preserve"> </v>
      </c>
      <c r="L1147" s="47">
        <f>IF(ISNA(VLOOKUP(D1147,'[2]stock-take'!$M:$Q,3,FALSE)), 0, VLOOKUP(D1147,'[2]stock-take'!$M:$Q,3,FALSE))</f>
        <v>0</v>
      </c>
      <c r="M1147" s="48" t="str">
        <f t="shared" si="52"/>
        <v xml:space="preserve"> </v>
      </c>
      <c r="N1147" s="39" t="str">
        <f t="shared" si="53"/>
        <v xml:space="preserve"> </v>
      </c>
    </row>
    <row r="1148" spans="1:14">
      <c r="A1148" s="37">
        <f t="shared" si="51"/>
        <v>1137</v>
      </c>
      <c r="G1148" s="48" t="str">
        <f>IF(F1148=""," ",IF(ISNA(VLOOKUP(D1148,'[2]stock-take'!$A:$E,4,FALSE)), "OUT OF STOCK", VLOOKUP(D1148,'[2]stock-take'!$A:$E,4,FALSE)))</f>
        <v xml:space="preserve"> </v>
      </c>
      <c r="H1148" s="48">
        <f>IF(ISNA(VLOOKUP(D1148,'[2]stock-take'!$A:$E,3,FALSE)), 0, VLOOKUP(D1148,'[2]stock-take'!$A:$E,3,FALSE))</f>
        <v>0</v>
      </c>
      <c r="I1148" s="48" t="str">
        <f>IF(F1148="", " ",IF(ISNA(VLOOKUP(D1148,'[2]stock-take'!$G:$K,4,FALSE)), "OUT OF STOCK", VLOOKUP(D1148,'[2]stock-take'!$G:$K,4,FALSE)))</f>
        <v xml:space="preserve"> </v>
      </c>
      <c r="J1148" s="39">
        <f>IF(ISNA(VLOOKUP(D1148,'[2]stock-take'!$G:$K,3,FALSE)), 0, VLOOKUP(D1148,'[2]stock-take'!$G:$K,3,FALSE))</f>
        <v>0</v>
      </c>
      <c r="K1148" s="49" t="str">
        <f>IF(F1148="", " ", IF(ISNA(VLOOKUP(D1148,'[2]stock-take'!$M:$Q,4,FALSE)), "OUT OF STOCK", VLOOKUP(D1148,'[2]stock-take'!$M:$Q,4,FALSE)))</f>
        <v xml:space="preserve"> </v>
      </c>
      <c r="L1148" s="47">
        <f>IF(ISNA(VLOOKUP(D1148,'[2]stock-take'!$M:$Q,3,FALSE)), 0, VLOOKUP(D1148,'[2]stock-take'!$M:$Q,3,FALSE))</f>
        <v>0</v>
      </c>
      <c r="M1148" s="48" t="str">
        <f t="shared" si="52"/>
        <v xml:space="preserve"> </v>
      </c>
      <c r="N1148" s="39" t="str">
        <f t="shared" si="53"/>
        <v xml:space="preserve"> </v>
      </c>
    </row>
    <row r="1149" spans="1:14">
      <c r="A1149" s="37">
        <f t="shared" si="51"/>
        <v>1138</v>
      </c>
      <c r="G1149" s="48" t="str">
        <f>IF(F1149=""," ",IF(ISNA(VLOOKUP(D1149,'[2]stock-take'!$A:$E,4,FALSE)), "OUT OF STOCK", VLOOKUP(D1149,'[2]stock-take'!$A:$E,4,FALSE)))</f>
        <v xml:space="preserve"> </v>
      </c>
      <c r="H1149" s="48">
        <f>IF(ISNA(VLOOKUP(D1149,'[2]stock-take'!$A:$E,3,FALSE)), 0, VLOOKUP(D1149,'[2]stock-take'!$A:$E,3,FALSE))</f>
        <v>0</v>
      </c>
      <c r="I1149" s="48" t="str">
        <f>IF(F1149="", " ",IF(ISNA(VLOOKUP(D1149,'[2]stock-take'!$G:$K,4,FALSE)), "OUT OF STOCK", VLOOKUP(D1149,'[2]stock-take'!$G:$K,4,FALSE)))</f>
        <v xml:space="preserve"> </v>
      </c>
      <c r="J1149" s="39">
        <f>IF(ISNA(VLOOKUP(D1149,'[2]stock-take'!$G:$K,3,FALSE)), 0, VLOOKUP(D1149,'[2]stock-take'!$G:$K,3,FALSE))</f>
        <v>0</v>
      </c>
      <c r="K1149" s="49" t="str">
        <f>IF(F1149="", " ", IF(ISNA(VLOOKUP(D1149,'[2]stock-take'!$M:$Q,4,FALSE)), "OUT OF STOCK", VLOOKUP(D1149,'[2]stock-take'!$M:$Q,4,FALSE)))</f>
        <v xml:space="preserve"> </v>
      </c>
      <c r="L1149" s="47">
        <f>IF(ISNA(VLOOKUP(D1149,'[2]stock-take'!$M:$Q,3,FALSE)), 0, VLOOKUP(D1149,'[2]stock-take'!$M:$Q,3,FALSE))</f>
        <v>0</v>
      </c>
      <c r="M1149" s="48" t="str">
        <f t="shared" si="52"/>
        <v xml:space="preserve"> </v>
      </c>
      <c r="N1149" s="39" t="str">
        <f t="shared" si="53"/>
        <v xml:space="preserve"> </v>
      </c>
    </row>
    <row r="1150" spans="1:14">
      <c r="A1150" s="37">
        <f t="shared" si="51"/>
        <v>1139</v>
      </c>
      <c r="G1150" s="48" t="str">
        <f>IF(F1150=""," ",IF(ISNA(VLOOKUP(D1150,'[2]stock-take'!$A:$E,4,FALSE)), "OUT OF STOCK", VLOOKUP(D1150,'[2]stock-take'!$A:$E,4,FALSE)))</f>
        <v xml:space="preserve"> </v>
      </c>
      <c r="H1150" s="48">
        <f>IF(ISNA(VLOOKUP(D1150,'[2]stock-take'!$A:$E,3,FALSE)), 0, VLOOKUP(D1150,'[2]stock-take'!$A:$E,3,FALSE))</f>
        <v>0</v>
      </c>
      <c r="I1150" s="48" t="str">
        <f>IF(F1150="", " ",IF(ISNA(VLOOKUP(D1150,'[2]stock-take'!$G:$K,4,FALSE)), "OUT OF STOCK", VLOOKUP(D1150,'[2]stock-take'!$G:$K,4,FALSE)))</f>
        <v xml:space="preserve"> </v>
      </c>
      <c r="J1150" s="39">
        <f>IF(ISNA(VLOOKUP(D1150,'[2]stock-take'!$G:$K,3,FALSE)), 0, VLOOKUP(D1150,'[2]stock-take'!$G:$K,3,FALSE))</f>
        <v>0</v>
      </c>
      <c r="K1150" s="49" t="str">
        <f>IF(F1150="", " ", IF(ISNA(VLOOKUP(D1150,'[2]stock-take'!$M:$Q,4,FALSE)), "OUT OF STOCK", VLOOKUP(D1150,'[2]stock-take'!$M:$Q,4,FALSE)))</f>
        <v xml:space="preserve"> </v>
      </c>
      <c r="L1150" s="47">
        <f>IF(ISNA(VLOOKUP(D1150,'[2]stock-take'!$M:$Q,3,FALSE)), 0, VLOOKUP(D1150,'[2]stock-take'!$M:$Q,3,FALSE))</f>
        <v>0</v>
      </c>
      <c r="M1150" s="48" t="str">
        <f t="shared" si="52"/>
        <v xml:space="preserve"> </v>
      </c>
      <c r="N1150" s="39" t="str">
        <f t="shared" si="53"/>
        <v xml:space="preserve"> </v>
      </c>
    </row>
    <row r="1151" spans="1:14">
      <c r="A1151" s="37">
        <f t="shared" si="51"/>
        <v>1140</v>
      </c>
      <c r="G1151" s="48" t="str">
        <f>IF(F1151=""," ",IF(ISNA(VLOOKUP(D1151,'[2]stock-take'!$A:$E,4,FALSE)), "OUT OF STOCK", VLOOKUP(D1151,'[2]stock-take'!$A:$E,4,FALSE)))</f>
        <v xml:space="preserve"> </v>
      </c>
      <c r="H1151" s="48">
        <f>IF(ISNA(VLOOKUP(D1151,'[2]stock-take'!$A:$E,3,FALSE)), 0, VLOOKUP(D1151,'[2]stock-take'!$A:$E,3,FALSE))</f>
        <v>0</v>
      </c>
      <c r="I1151" s="48" t="str">
        <f>IF(F1151="", " ",IF(ISNA(VLOOKUP(D1151,'[2]stock-take'!$G:$K,4,FALSE)), "OUT OF STOCK", VLOOKUP(D1151,'[2]stock-take'!$G:$K,4,FALSE)))</f>
        <v xml:space="preserve"> </v>
      </c>
      <c r="J1151" s="39">
        <f>IF(ISNA(VLOOKUP(D1151,'[2]stock-take'!$G:$K,3,FALSE)), 0, VLOOKUP(D1151,'[2]stock-take'!$G:$K,3,FALSE))</f>
        <v>0</v>
      </c>
      <c r="K1151" s="49" t="str">
        <f>IF(F1151="", " ", IF(ISNA(VLOOKUP(D1151,'[2]stock-take'!$M:$Q,4,FALSE)), "OUT OF STOCK", VLOOKUP(D1151,'[2]stock-take'!$M:$Q,4,FALSE)))</f>
        <v xml:space="preserve"> </v>
      </c>
      <c r="L1151" s="47">
        <f>IF(ISNA(VLOOKUP(D1151,'[2]stock-take'!$M:$Q,3,FALSE)), 0, VLOOKUP(D1151,'[2]stock-take'!$M:$Q,3,FALSE))</f>
        <v>0</v>
      </c>
      <c r="M1151" s="48" t="str">
        <f t="shared" si="52"/>
        <v xml:space="preserve"> </v>
      </c>
      <c r="N1151" s="39" t="str">
        <f t="shared" si="53"/>
        <v xml:space="preserve"> </v>
      </c>
    </row>
    <row r="1152" spans="1:14">
      <c r="A1152" s="37">
        <f t="shared" si="51"/>
        <v>1141</v>
      </c>
      <c r="G1152" s="48" t="str">
        <f>IF(F1152=""," ",IF(ISNA(VLOOKUP(D1152,'[2]stock-take'!$A:$E,4,FALSE)), "OUT OF STOCK", VLOOKUP(D1152,'[2]stock-take'!$A:$E,4,FALSE)))</f>
        <v xml:space="preserve"> </v>
      </c>
      <c r="H1152" s="48">
        <f>IF(ISNA(VLOOKUP(D1152,'[2]stock-take'!$A:$E,3,FALSE)), 0, VLOOKUP(D1152,'[2]stock-take'!$A:$E,3,FALSE))</f>
        <v>0</v>
      </c>
      <c r="I1152" s="48" t="str">
        <f>IF(F1152="", " ",IF(ISNA(VLOOKUP(D1152,'[2]stock-take'!$G:$K,4,FALSE)), "OUT OF STOCK", VLOOKUP(D1152,'[2]stock-take'!$G:$K,4,FALSE)))</f>
        <v xml:space="preserve"> </v>
      </c>
      <c r="J1152" s="39">
        <f>IF(ISNA(VLOOKUP(D1152,'[2]stock-take'!$G:$K,3,FALSE)), 0, VLOOKUP(D1152,'[2]stock-take'!$G:$K,3,FALSE))</f>
        <v>0</v>
      </c>
      <c r="K1152" s="49" t="str">
        <f>IF(F1152="", " ", IF(ISNA(VLOOKUP(D1152,'[2]stock-take'!$M:$Q,4,FALSE)), "OUT OF STOCK", VLOOKUP(D1152,'[2]stock-take'!$M:$Q,4,FALSE)))</f>
        <v xml:space="preserve"> </v>
      </c>
      <c r="L1152" s="47">
        <f>IF(ISNA(VLOOKUP(D1152,'[2]stock-take'!$M:$Q,3,FALSE)), 0, VLOOKUP(D1152,'[2]stock-take'!$M:$Q,3,FALSE))</f>
        <v>0</v>
      </c>
      <c r="M1152" s="48" t="str">
        <f t="shared" si="52"/>
        <v xml:space="preserve"> </v>
      </c>
      <c r="N1152" s="39" t="str">
        <f t="shared" si="53"/>
        <v xml:space="preserve"> </v>
      </c>
    </row>
    <row r="1153" spans="1:14">
      <c r="A1153" s="37">
        <f t="shared" si="51"/>
        <v>1142</v>
      </c>
      <c r="G1153" s="48" t="str">
        <f>IF(F1153=""," ",IF(ISNA(VLOOKUP(D1153,'[2]stock-take'!$A:$E,4,FALSE)), "OUT OF STOCK", VLOOKUP(D1153,'[2]stock-take'!$A:$E,4,FALSE)))</f>
        <v xml:space="preserve"> </v>
      </c>
      <c r="H1153" s="48">
        <f>IF(ISNA(VLOOKUP(D1153,'[2]stock-take'!$A:$E,3,FALSE)), 0, VLOOKUP(D1153,'[2]stock-take'!$A:$E,3,FALSE))</f>
        <v>0</v>
      </c>
      <c r="I1153" s="48" t="str">
        <f>IF(F1153="", " ",IF(ISNA(VLOOKUP(D1153,'[2]stock-take'!$G:$K,4,FALSE)), "OUT OF STOCK", VLOOKUP(D1153,'[2]stock-take'!$G:$K,4,FALSE)))</f>
        <v xml:space="preserve"> </v>
      </c>
      <c r="J1153" s="39">
        <f>IF(ISNA(VLOOKUP(D1153,'[2]stock-take'!$G:$K,3,FALSE)), 0, VLOOKUP(D1153,'[2]stock-take'!$G:$K,3,FALSE))</f>
        <v>0</v>
      </c>
      <c r="K1153" s="49" t="str">
        <f>IF(F1153="", " ", IF(ISNA(VLOOKUP(D1153,'[2]stock-take'!$M:$Q,4,FALSE)), "OUT OF STOCK", VLOOKUP(D1153,'[2]stock-take'!$M:$Q,4,FALSE)))</f>
        <v xml:space="preserve"> </v>
      </c>
      <c r="L1153" s="47">
        <f>IF(ISNA(VLOOKUP(D1153,'[2]stock-take'!$M:$Q,3,FALSE)), 0, VLOOKUP(D1153,'[2]stock-take'!$M:$Q,3,FALSE))</f>
        <v>0</v>
      </c>
      <c r="M1153" s="48" t="str">
        <f t="shared" si="52"/>
        <v xml:space="preserve"> </v>
      </c>
      <c r="N1153" s="39" t="str">
        <f t="shared" si="53"/>
        <v xml:space="preserve"> </v>
      </c>
    </row>
    <row r="1154" spans="1:14">
      <c r="A1154" s="37">
        <f t="shared" si="51"/>
        <v>1143</v>
      </c>
      <c r="G1154" s="48" t="str">
        <f>IF(F1154=""," ",IF(ISNA(VLOOKUP(D1154,'[2]stock-take'!$A:$E,4,FALSE)), "OUT OF STOCK", VLOOKUP(D1154,'[2]stock-take'!$A:$E,4,FALSE)))</f>
        <v xml:space="preserve"> </v>
      </c>
      <c r="H1154" s="48">
        <f>IF(ISNA(VLOOKUP(D1154,'[2]stock-take'!$A:$E,3,FALSE)), 0, VLOOKUP(D1154,'[2]stock-take'!$A:$E,3,FALSE))</f>
        <v>0</v>
      </c>
      <c r="I1154" s="48" t="str">
        <f>IF(F1154="", " ",IF(ISNA(VLOOKUP(D1154,'[2]stock-take'!$G:$K,4,FALSE)), "OUT OF STOCK", VLOOKUP(D1154,'[2]stock-take'!$G:$K,4,FALSE)))</f>
        <v xml:space="preserve"> </v>
      </c>
      <c r="J1154" s="39">
        <f>IF(ISNA(VLOOKUP(D1154,'[2]stock-take'!$G:$K,3,FALSE)), 0, VLOOKUP(D1154,'[2]stock-take'!$G:$K,3,FALSE))</f>
        <v>0</v>
      </c>
      <c r="K1154" s="49" t="str">
        <f>IF(F1154="", " ", IF(ISNA(VLOOKUP(D1154,'[2]stock-take'!$M:$Q,4,FALSE)), "OUT OF STOCK", VLOOKUP(D1154,'[2]stock-take'!$M:$Q,4,FALSE)))</f>
        <v xml:space="preserve"> </v>
      </c>
      <c r="L1154" s="47">
        <f>IF(ISNA(VLOOKUP(D1154,'[2]stock-take'!$M:$Q,3,FALSE)), 0, VLOOKUP(D1154,'[2]stock-take'!$M:$Q,3,FALSE))</f>
        <v>0</v>
      </c>
      <c r="M1154" s="48" t="str">
        <f t="shared" si="52"/>
        <v xml:space="preserve"> </v>
      </c>
      <c r="N1154" s="39" t="str">
        <f t="shared" si="53"/>
        <v xml:space="preserve"> </v>
      </c>
    </row>
    <row r="1155" spans="1:14">
      <c r="A1155" s="37">
        <f t="shared" si="51"/>
        <v>1144</v>
      </c>
      <c r="G1155" s="48" t="str">
        <f>IF(F1155=""," ",IF(ISNA(VLOOKUP(D1155,'[2]stock-take'!$A:$E,4,FALSE)), "OUT OF STOCK", VLOOKUP(D1155,'[2]stock-take'!$A:$E,4,FALSE)))</f>
        <v xml:space="preserve"> </v>
      </c>
      <c r="H1155" s="48">
        <f>IF(ISNA(VLOOKUP(D1155,'[2]stock-take'!$A:$E,3,FALSE)), 0, VLOOKUP(D1155,'[2]stock-take'!$A:$E,3,FALSE))</f>
        <v>0</v>
      </c>
      <c r="I1155" s="48" t="str">
        <f>IF(F1155="", " ",IF(ISNA(VLOOKUP(D1155,'[2]stock-take'!$G:$K,4,FALSE)), "OUT OF STOCK", VLOOKUP(D1155,'[2]stock-take'!$G:$K,4,FALSE)))</f>
        <v xml:space="preserve"> </v>
      </c>
      <c r="J1155" s="39">
        <f>IF(ISNA(VLOOKUP(D1155,'[2]stock-take'!$G:$K,3,FALSE)), 0, VLOOKUP(D1155,'[2]stock-take'!$G:$K,3,FALSE))</f>
        <v>0</v>
      </c>
      <c r="K1155" s="49" t="str">
        <f>IF(F1155="", " ", IF(ISNA(VLOOKUP(D1155,'[2]stock-take'!$M:$Q,4,FALSE)), "OUT OF STOCK", VLOOKUP(D1155,'[2]stock-take'!$M:$Q,4,FALSE)))</f>
        <v xml:space="preserve"> </v>
      </c>
      <c r="L1155" s="47">
        <f>IF(ISNA(VLOOKUP(D1155,'[2]stock-take'!$M:$Q,3,FALSE)), 0, VLOOKUP(D1155,'[2]stock-take'!$M:$Q,3,FALSE))</f>
        <v>0</v>
      </c>
      <c r="M1155" s="48" t="str">
        <f t="shared" si="52"/>
        <v xml:space="preserve"> </v>
      </c>
      <c r="N1155" s="39" t="str">
        <f t="shared" si="53"/>
        <v xml:space="preserve"> </v>
      </c>
    </row>
    <row r="1156" spans="1:14">
      <c r="A1156" s="37">
        <f t="shared" si="51"/>
        <v>1145</v>
      </c>
      <c r="G1156" s="48" t="str">
        <f>IF(F1156=""," ",IF(ISNA(VLOOKUP(D1156,'[2]stock-take'!$A:$E,4,FALSE)), "OUT OF STOCK", VLOOKUP(D1156,'[2]stock-take'!$A:$E,4,FALSE)))</f>
        <v xml:space="preserve"> </v>
      </c>
      <c r="H1156" s="48">
        <f>IF(ISNA(VLOOKUP(D1156,'[2]stock-take'!$A:$E,3,FALSE)), 0, VLOOKUP(D1156,'[2]stock-take'!$A:$E,3,FALSE))</f>
        <v>0</v>
      </c>
      <c r="I1156" s="48" t="str">
        <f>IF(F1156="", " ",IF(ISNA(VLOOKUP(D1156,'[2]stock-take'!$G:$K,4,FALSE)), "OUT OF STOCK", VLOOKUP(D1156,'[2]stock-take'!$G:$K,4,FALSE)))</f>
        <v xml:space="preserve"> </v>
      </c>
      <c r="J1156" s="39">
        <f>IF(ISNA(VLOOKUP(D1156,'[2]stock-take'!$G:$K,3,FALSE)), 0, VLOOKUP(D1156,'[2]stock-take'!$G:$K,3,FALSE))</f>
        <v>0</v>
      </c>
      <c r="K1156" s="49" t="str">
        <f>IF(F1156="", " ", IF(ISNA(VLOOKUP(D1156,'[2]stock-take'!$M:$Q,4,FALSE)), "OUT OF STOCK", VLOOKUP(D1156,'[2]stock-take'!$M:$Q,4,FALSE)))</f>
        <v xml:space="preserve"> </v>
      </c>
      <c r="L1156" s="47">
        <f>IF(ISNA(VLOOKUP(D1156,'[2]stock-take'!$M:$Q,3,FALSE)), 0, VLOOKUP(D1156,'[2]stock-take'!$M:$Q,3,FALSE))</f>
        <v>0</v>
      </c>
      <c r="M1156" s="48" t="str">
        <f t="shared" si="52"/>
        <v xml:space="preserve"> </v>
      </c>
      <c r="N1156" s="39" t="str">
        <f t="shared" si="53"/>
        <v xml:space="preserve"> </v>
      </c>
    </row>
    <row r="1157" spans="1:14">
      <c r="A1157" s="37">
        <f t="shared" si="51"/>
        <v>1146</v>
      </c>
      <c r="G1157" s="48" t="str">
        <f>IF(F1157=""," ",IF(ISNA(VLOOKUP(D1157,'[2]stock-take'!$A:$E,4,FALSE)), "OUT OF STOCK", VLOOKUP(D1157,'[2]stock-take'!$A:$E,4,FALSE)))</f>
        <v xml:space="preserve"> </v>
      </c>
      <c r="H1157" s="48">
        <f>IF(ISNA(VLOOKUP(D1157,'[2]stock-take'!$A:$E,3,FALSE)), 0, VLOOKUP(D1157,'[2]stock-take'!$A:$E,3,FALSE))</f>
        <v>0</v>
      </c>
      <c r="I1157" s="48" t="str">
        <f>IF(F1157="", " ",IF(ISNA(VLOOKUP(D1157,'[2]stock-take'!$G:$K,4,FALSE)), "OUT OF STOCK", VLOOKUP(D1157,'[2]stock-take'!$G:$K,4,FALSE)))</f>
        <v xml:space="preserve"> </v>
      </c>
      <c r="J1157" s="39">
        <f>IF(ISNA(VLOOKUP(D1157,'[2]stock-take'!$G:$K,3,FALSE)), 0, VLOOKUP(D1157,'[2]stock-take'!$G:$K,3,FALSE))</f>
        <v>0</v>
      </c>
      <c r="K1157" s="49" t="str">
        <f>IF(F1157="", " ", IF(ISNA(VLOOKUP(D1157,'[2]stock-take'!$M:$Q,4,FALSE)), "OUT OF STOCK", VLOOKUP(D1157,'[2]stock-take'!$M:$Q,4,FALSE)))</f>
        <v xml:space="preserve"> </v>
      </c>
      <c r="L1157" s="47">
        <f>IF(ISNA(VLOOKUP(D1157,'[2]stock-take'!$M:$Q,3,FALSE)), 0, VLOOKUP(D1157,'[2]stock-take'!$M:$Q,3,FALSE))</f>
        <v>0</v>
      </c>
      <c r="M1157" s="48" t="str">
        <f t="shared" si="52"/>
        <v xml:space="preserve"> </v>
      </c>
      <c r="N1157" s="39" t="str">
        <f t="shared" si="53"/>
        <v xml:space="preserve"> </v>
      </c>
    </row>
    <row r="1158" spans="1:14">
      <c r="A1158" s="37">
        <f t="shared" si="51"/>
        <v>1147</v>
      </c>
      <c r="G1158" s="48" t="str">
        <f>IF(F1158=""," ",IF(ISNA(VLOOKUP(D1158,'[2]stock-take'!$A:$E,4,FALSE)), "OUT OF STOCK", VLOOKUP(D1158,'[2]stock-take'!$A:$E,4,FALSE)))</f>
        <v xml:space="preserve"> </v>
      </c>
      <c r="H1158" s="48">
        <f>IF(ISNA(VLOOKUP(D1158,'[2]stock-take'!$A:$E,3,FALSE)), 0, VLOOKUP(D1158,'[2]stock-take'!$A:$E,3,FALSE))</f>
        <v>0</v>
      </c>
      <c r="I1158" s="48" t="str">
        <f>IF(F1158="", " ",IF(ISNA(VLOOKUP(D1158,'[2]stock-take'!$G:$K,4,FALSE)), "OUT OF STOCK", VLOOKUP(D1158,'[2]stock-take'!$G:$K,4,FALSE)))</f>
        <v xml:space="preserve"> </v>
      </c>
      <c r="J1158" s="39">
        <f>IF(ISNA(VLOOKUP(D1158,'[2]stock-take'!$G:$K,3,FALSE)), 0, VLOOKUP(D1158,'[2]stock-take'!$G:$K,3,FALSE))</f>
        <v>0</v>
      </c>
      <c r="K1158" s="49" t="str">
        <f>IF(F1158="", " ", IF(ISNA(VLOOKUP(D1158,'[2]stock-take'!$M:$Q,4,FALSE)), "OUT OF STOCK", VLOOKUP(D1158,'[2]stock-take'!$M:$Q,4,FALSE)))</f>
        <v xml:space="preserve"> </v>
      </c>
      <c r="L1158" s="47">
        <f>IF(ISNA(VLOOKUP(D1158,'[2]stock-take'!$M:$Q,3,FALSE)), 0, VLOOKUP(D1158,'[2]stock-take'!$M:$Q,3,FALSE))</f>
        <v>0</v>
      </c>
      <c r="M1158" s="48" t="str">
        <f t="shared" si="52"/>
        <v xml:space="preserve"> </v>
      </c>
      <c r="N1158" s="39" t="str">
        <f t="shared" si="53"/>
        <v xml:space="preserve"> </v>
      </c>
    </row>
    <row r="1159" spans="1:14">
      <c r="A1159" s="37">
        <f t="shared" si="51"/>
        <v>1148</v>
      </c>
      <c r="G1159" s="48" t="str">
        <f>IF(F1159=""," ",IF(ISNA(VLOOKUP(D1159,'[2]stock-take'!$A:$E,4,FALSE)), "OUT OF STOCK", VLOOKUP(D1159,'[2]stock-take'!$A:$E,4,FALSE)))</f>
        <v xml:space="preserve"> </v>
      </c>
      <c r="H1159" s="48">
        <f>IF(ISNA(VLOOKUP(D1159,'[2]stock-take'!$A:$E,3,FALSE)), 0, VLOOKUP(D1159,'[2]stock-take'!$A:$E,3,FALSE))</f>
        <v>0</v>
      </c>
      <c r="I1159" s="48" t="str">
        <f>IF(F1159="", " ",IF(ISNA(VLOOKUP(D1159,'[2]stock-take'!$G:$K,4,FALSE)), "OUT OF STOCK", VLOOKUP(D1159,'[2]stock-take'!$G:$K,4,FALSE)))</f>
        <v xml:space="preserve"> </v>
      </c>
      <c r="J1159" s="39">
        <f>IF(ISNA(VLOOKUP(D1159,'[2]stock-take'!$G:$K,3,FALSE)), 0, VLOOKUP(D1159,'[2]stock-take'!$G:$K,3,FALSE))</f>
        <v>0</v>
      </c>
      <c r="K1159" s="49" t="str">
        <f>IF(F1159="", " ", IF(ISNA(VLOOKUP(D1159,'[2]stock-take'!$M:$Q,4,FALSE)), "OUT OF STOCK", VLOOKUP(D1159,'[2]stock-take'!$M:$Q,4,FALSE)))</f>
        <v xml:space="preserve"> </v>
      </c>
      <c r="L1159" s="47">
        <f>IF(ISNA(VLOOKUP(D1159,'[2]stock-take'!$M:$Q,3,FALSE)), 0, VLOOKUP(D1159,'[2]stock-take'!$M:$Q,3,FALSE))</f>
        <v>0</v>
      </c>
      <c r="M1159" s="48" t="str">
        <f t="shared" si="52"/>
        <v xml:space="preserve"> </v>
      </c>
      <c r="N1159" s="39" t="str">
        <f t="shared" si="53"/>
        <v xml:space="preserve"> </v>
      </c>
    </row>
    <row r="1160" spans="1:14">
      <c r="A1160" s="37">
        <f t="shared" si="51"/>
        <v>1149</v>
      </c>
      <c r="G1160" s="48" t="str">
        <f>IF(F1160=""," ",IF(ISNA(VLOOKUP(D1160,'[2]stock-take'!$A:$E,4,FALSE)), "OUT OF STOCK", VLOOKUP(D1160,'[2]stock-take'!$A:$E,4,FALSE)))</f>
        <v xml:space="preserve"> </v>
      </c>
      <c r="H1160" s="48">
        <f>IF(ISNA(VLOOKUP(D1160,'[2]stock-take'!$A:$E,3,FALSE)), 0, VLOOKUP(D1160,'[2]stock-take'!$A:$E,3,FALSE))</f>
        <v>0</v>
      </c>
      <c r="I1160" s="48" t="str">
        <f>IF(F1160="", " ",IF(ISNA(VLOOKUP(D1160,'[2]stock-take'!$G:$K,4,FALSE)), "OUT OF STOCK", VLOOKUP(D1160,'[2]stock-take'!$G:$K,4,FALSE)))</f>
        <v xml:space="preserve"> </v>
      </c>
      <c r="J1160" s="39">
        <f>IF(ISNA(VLOOKUP(D1160,'[2]stock-take'!$G:$K,3,FALSE)), 0, VLOOKUP(D1160,'[2]stock-take'!$G:$K,3,FALSE))</f>
        <v>0</v>
      </c>
      <c r="K1160" s="49" t="str">
        <f>IF(F1160="", " ", IF(ISNA(VLOOKUP(D1160,'[2]stock-take'!$M:$Q,4,FALSE)), "OUT OF STOCK", VLOOKUP(D1160,'[2]stock-take'!$M:$Q,4,FALSE)))</f>
        <v xml:space="preserve"> </v>
      </c>
      <c r="L1160" s="47">
        <f>IF(ISNA(VLOOKUP(D1160,'[2]stock-take'!$M:$Q,3,FALSE)), 0, VLOOKUP(D1160,'[2]stock-take'!$M:$Q,3,FALSE))</f>
        <v>0</v>
      </c>
      <c r="M1160" s="48" t="str">
        <f t="shared" si="52"/>
        <v xml:space="preserve"> </v>
      </c>
      <c r="N1160" s="39" t="str">
        <f t="shared" si="53"/>
        <v xml:space="preserve"> </v>
      </c>
    </row>
    <row r="1161" spans="1:14">
      <c r="A1161" s="37">
        <f t="shared" si="51"/>
        <v>1150</v>
      </c>
      <c r="G1161" s="48" t="str">
        <f>IF(F1161=""," ",IF(ISNA(VLOOKUP(D1161,'[2]stock-take'!$A:$E,4,FALSE)), "OUT OF STOCK", VLOOKUP(D1161,'[2]stock-take'!$A:$E,4,FALSE)))</f>
        <v xml:space="preserve"> </v>
      </c>
      <c r="H1161" s="48">
        <f>IF(ISNA(VLOOKUP(D1161,'[2]stock-take'!$A:$E,3,FALSE)), 0, VLOOKUP(D1161,'[2]stock-take'!$A:$E,3,FALSE))</f>
        <v>0</v>
      </c>
      <c r="I1161" s="48" t="str">
        <f>IF(F1161="", " ",IF(ISNA(VLOOKUP(D1161,'[2]stock-take'!$G:$K,4,FALSE)), "OUT OF STOCK", VLOOKUP(D1161,'[2]stock-take'!$G:$K,4,FALSE)))</f>
        <v xml:space="preserve"> </v>
      </c>
      <c r="J1161" s="39">
        <f>IF(ISNA(VLOOKUP(D1161,'[2]stock-take'!$G:$K,3,FALSE)), 0, VLOOKUP(D1161,'[2]stock-take'!$G:$K,3,FALSE))</f>
        <v>0</v>
      </c>
      <c r="K1161" s="49" t="str">
        <f>IF(F1161="", " ", IF(ISNA(VLOOKUP(D1161,'[2]stock-take'!$M:$Q,4,FALSE)), "OUT OF STOCK", VLOOKUP(D1161,'[2]stock-take'!$M:$Q,4,FALSE)))</f>
        <v xml:space="preserve"> </v>
      </c>
      <c r="L1161" s="47">
        <f>IF(ISNA(VLOOKUP(D1161,'[2]stock-take'!$M:$Q,3,FALSE)), 0, VLOOKUP(D1161,'[2]stock-take'!$M:$Q,3,FALSE))</f>
        <v>0</v>
      </c>
      <c r="M1161" s="48" t="str">
        <f t="shared" si="52"/>
        <v xml:space="preserve"> </v>
      </c>
      <c r="N1161" s="39" t="str">
        <f t="shared" si="53"/>
        <v xml:space="preserve"> </v>
      </c>
    </row>
    <row r="1162" spans="1:14">
      <c r="A1162" s="37">
        <f t="shared" si="51"/>
        <v>1151</v>
      </c>
      <c r="G1162" s="48" t="str">
        <f>IF(F1162=""," ",IF(ISNA(VLOOKUP(D1162,'[2]stock-take'!$A:$E,4,FALSE)), "OUT OF STOCK", VLOOKUP(D1162,'[2]stock-take'!$A:$E,4,FALSE)))</f>
        <v xml:space="preserve"> </v>
      </c>
      <c r="H1162" s="48">
        <f>IF(ISNA(VLOOKUP(D1162,'[2]stock-take'!$A:$E,3,FALSE)), 0, VLOOKUP(D1162,'[2]stock-take'!$A:$E,3,FALSE))</f>
        <v>0</v>
      </c>
      <c r="I1162" s="48" t="str">
        <f>IF(F1162="", " ",IF(ISNA(VLOOKUP(D1162,'[2]stock-take'!$G:$K,4,FALSE)), "OUT OF STOCK", VLOOKUP(D1162,'[2]stock-take'!$G:$K,4,FALSE)))</f>
        <v xml:space="preserve"> </v>
      </c>
      <c r="J1162" s="39">
        <f>IF(ISNA(VLOOKUP(D1162,'[2]stock-take'!$G:$K,3,FALSE)), 0, VLOOKUP(D1162,'[2]stock-take'!$G:$K,3,FALSE))</f>
        <v>0</v>
      </c>
      <c r="K1162" s="49" t="str">
        <f>IF(F1162="", " ", IF(ISNA(VLOOKUP(D1162,'[2]stock-take'!$M:$Q,4,FALSE)), "OUT OF STOCK", VLOOKUP(D1162,'[2]stock-take'!$M:$Q,4,FALSE)))</f>
        <v xml:space="preserve"> </v>
      </c>
      <c r="L1162" s="47">
        <f>IF(ISNA(VLOOKUP(D1162,'[2]stock-take'!$M:$Q,3,FALSE)), 0, VLOOKUP(D1162,'[2]stock-take'!$M:$Q,3,FALSE))</f>
        <v>0</v>
      </c>
      <c r="M1162" s="48" t="str">
        <f t="shared" si="52"/>
        <v xml:space="preserve"> </v>
      </c>
      <c r="N1162" s="39" t="str">
        <f t="shared" si="53"/>
        <v xml:space="preserve"> </v>
      </c>
    </row>
    <row r="1163" spans="1:14">
      <c r="A1163" s="37">
        <f t="shared" si="51"/>
        <v>1152</v>
      </c>
      <c r="G1163" s="48" t="str">
        <f>IF(F1163=""," ",IF(ISNA(VLOOKUP(D1163,'[2]stock-take'!$A:$E,4,FALSE)), "OUT OF STOCK", VLOOKUP(D1163,'[2]stock-take'!$A:$E,4,FALSE)))</f>
        <v xml:space="preserve"> </v>
      </c>
      <c r="H1163" s="48">
        <f>IF(ISNA(VLOOKUP(D1163,'[2]stock-take'!$A:$E,3,FALSE)), 0, VLOOKUP(D1163,'[2]stock-take'!$A:$E,3,FALSE))</f>
        <v>0</v>
      </c>
      <c r="I1163" s="48" t="str">
        <f>IF(F1163="", " ",IF(ISNA(VLOOKUP(D1163,'[2]stock-take'!$G:$K,4,FALSE)), "OUT OF STOCK", VLOOKUP(D1163,'[2]stock-take'!$G:$K,4,FALSE)))</f>
        <v xml:space="preserve"> </v>
      </c>
      <c r="J1163" s="39">
        <f>IF(ISNA(VLOOKUP(D1163,'[2]stock-take'!$G:$K,3,FALSE)), 0, VLOOKUP(D1163,'[2]stock-take'!$G:$K,3,FALSE))</f>
        <v>0</v>
      </c>
      <c r="K1163" s="49" t="str">
        <f>IF(F1163="", " ", IF(ISNA(VLOOKUP(D1163,'[2]stock-take'!$M:$Q,4,FALSE)), "OUT OF STOCK", VLOOKUP(D1163,'[2]stock-take'!$M:$Q,4,FALSE)))</f>
        <v xml:space="preserve"> </v>
      </c>
      <c r="L1163" s="47">
        <f>IF(ISNA(VLOOKUP(D1163,'[2]stock-take'!$M:$Q,3,FALSE)), 0, VLOOKUP(D1163,'[2]stock-take'!$M:$Q,3,FALSE))</f>
        <v>0</v>
      </c>
      <c r="M1163" s="48" t="str">
        <f t="shared" si="52"/>
        <v xml:space="preserve"> </v>
      </c>
      <c r="N1163" s="39" t="str">
        <f t="shared" si="53"/>
        <v xml:space="preserve"> </v>
      </c>
    </row>
    <row r="1164" spans="1:14">
      <c r="A1164" s="37">
        <f t="shared" ref="A1164:A1227" si="54">ROW(A1164)-11</f>
        <v>1153</v>
      </c>
      <c r="G1164" s="48" t="str">
        <f>IF(F1164=""," ",IF(ISNA(VLOOKUP(D1164,'[2]stock-take'!$A:$E,4,FALSE)), "OUT OF STOCK", VLOOKUP(D1164,'[2]stock-take'!$A:$E,4,FALSE)))</f>
        <v xml:space="preserve"> </v>
      </c>
      <c r="H1164" s="48">
        <f>IF(ISNA(VLOOKUP(D1164,'[2]stock-take'!$A:$E,3,FALSE)), 0, VLOOKUP(D1164,'[2]stock-take'!$A:$E,3,FALSE))</f>
        <v>0</v>
      </c>
      <c r="I1164" s="48" t="str">
        <f>IF(F1164="", " ",IF(ISNA(VLOOKUP(D1164,'[2]stock-take'!$G:$K,4,FALSE)), "OUT OF STOCK", VLOOKUP(D1164,'[2]stock-take'!$G:$K,4,FALSE)))</f>
        <v xml:space="preserve"> </v>
      </c>
      <c r="J1164" s="39">
        <f>IF(ISNA(VLOOKUP(D1164,'[2]stock-take'!$G:$K,3,FALSE)), 0, VLOOKUP(D1164,'[2]stock-take'!$G:$K,3,FALSE))</f>
        <v>0</v>
      </c>
      <c r="K1164" s="49" t="str">
        <f>IF(F1164="", " ", IF(ISNA(VLOOKUP(D1164,'[2]stock-take'!$M:$Q,4,FALSE)), "OUT OF STOCK", VLOOKUP(D1164,'[2]stock-take'!$M:$Q,4,FALSE)))</f>
        <v xml:space="preserve"> </v>
      </c>
      <c r="L1164" s="47">
        <f>IF(ISNA(VLOOKUP(D1164,'[2]stock-take'!$M:$Q,3,FALSE)), 0, VLOOKUP(D1164,'[2]stock-take'!$M:$Q,3,FALSE))</f>
        <v>0</v>
      </c>
      <c r="M1164" s="48" t="str">
        <f t="shared" si="52"/>
        <v xml:space="preserve"> </v>
      </c>
      <c r="N1164" s="39" t="str">
        <f t="shared" si="53"/>
        <v xml:space="preserve"> </v>
      </c>
    </row>
    <row r="1165" spans="1:14">
      <c r="A1165" s="37">
        <f t="shared" si="54"/>
        <v>1154</v>
      </c>
      <c r="G1165" s="48" t="str">
        <f>IF(F1165=""," ",IF(ISNA(VLOOKUP(D1165,'[2]stock-take'!$A:$E,4,FALSE)), "OUT OF STOCK", VLOOKUP(D1165,'[2]stock-take'!$A:$E,4,FALSE)))</f>
        <v xml:space="preserve"> </v>
      </c>
      <c r="H1165" s="48">
        <f>IF(ISNA(VLOOKUP(D1165,'[2]stock-take'!$A:$E,3,FALSE)), 0, VLOOKUP(D1165,'[2]stock-take'!$A:$E,3,FALSE))</f>
        <v>0</v>
      </c>
      <c r="I1165" s="48" t="str">
        <f>IF(F1165="", " ",IF(ISNA(VLOOKUP(D1165,'[2]stock-take'!$G:$K,4,FALSE)), "OUT OF STOCK", VLOOKUP(D1165,'[2]stock-take'!$G:$K,4,FALSE)))</f>
        <v xml:space="preserve"> </v>
      </c>
      <c r="J1165" s="39">
        <f>IF(ISNA(VLOOKUP(D1165,'[2]stock-take'!$G:$K,3,FALSE)), 0, VLOOKUP(D1165,'[2]stock-take'!$G:$K,3,FALSE))</f>
        <v>0</v>
      </c>
      <c r="K1165" s="49" t="str">
        <f>IF(F1165="", " ", IF(ISNA(VLOOKUP(D1165,'[2]stock-take'!$M:$Q,4,FALSE)), "OUT OF STOCK", VLOOKUP(D1165,'[2]stock-take'!$M:$Q,4,FALSE)))</f>
        <v xml:space="preserve"> </v>
      </c>
      <c r="L1165" s="47">
        <f>IF(ISNA(VLOOKUP(D1165,'[2]stock-take'!$M:$Q,3,FALSE)), 0, VLOOKUP(D1165,'[2]stock-take'!$M:$Q,3,FALSE))</f>
        <v>0</v>
      </c>
      <c r="M1165" s="48" t="str">
        <f t="shared" ref="M1165:M1228" si="55">IF(F1165=""," ",IF(H1165&gt;=F1165,"Y",IF(J1165&gt;=F1165,"Y",IF(L1165&gt;=F1165,"Y",IF(SUM(H1165,J1165,L1165)&gt;=F1165,"Y","N")))))</f>
        <v xml:space="preserve"> </v>
      </c>
      <c r="N1165" s="39" t="str">
        <f t="shared" ref="N1165:N1228" si="56">IF(F1165=""," ",IF(H1165&gt;=F1165,"ILOOM",IF(J1165&gt;=F1165,"NO.6",IF(L1165&gt;=F1165,"RMD",IF(SUM(H1165,J1165,L1165)&gt;=F1165,"MULTI","LACK")))))</f>
        <v xml:space="preserve"> </v>
      </c>
    </row>
    <row r="1166" spans="1:14">
      <c r="A1166" s="37">
        <f t="shared" si="54"/>
        <v>1155</v>
      </c>
      <c r="G1166" s="48" t="str">
        <f>IF(F1166=""," ",IF(ISNA(VLOOKUP(D1166,'[2]stock-take'!$A:$E,4,FALSE)), "OUT OF STOCK", VLOOKUP(D1166,'[2]stock-take'!$A:$E,4,FALSE)))</f>
        <v xml:space="preserve"> </v>
      </c>
      <c r="H1166" s="48">
        <f>IF(ISNA(VLOOKUP(D1166,'[2]stock-take'!$A:$E,3,FALSE)), 0, VLOOKUP(D1166,'[2]stock-take'!$A:$E,3,FALSE))</f>
        <v>0</v>
      </c>
      <c r="I1166" s="48" t="str">
        <f>IF(F1166="", " ",IF(ISNA(VLOOKUP(D1166,'[2]stock-take'!$G:$K,4,FALSE)), "OUT OF STOCK", VLOOKUP(D1166,'[2]stock-take'!$G:$K,4,FALSE)))</f>
        <v xml:space="preserve"> </v>
      </c>
      <c r="J1166" s="39">
        <f>IF(ISNA(VLOOKUP(D1166,'[2]stock-take'!$G:$K,3,FALSE)), 0, VLOOKUP(D1166,'[2]stock-take'!$G:$K,3,FALSE))</f>
        <v>0</v>
      </c>
      <c r="K1166" s="49" t="str">
        <f>IF(F1166="", " ", IF(ISNA(VLOOKUP(D1166,'[2]stock-take'!$M:$Q,4,FALSE)), "OUT OF STOCK", VLOOKUP(D1166,'[2]stock-take'!$M:$Q,4,FALSE)))</f>
        <v xml:space="preserve"> </v>
      </c>
      <c r="L1166" s="47">
        <f>IF(ISNA(VLOOKUP(D1166,'[2]stock-take'!$M:$Q,3,FALSE)), 0, VLOOKUP(D1166,'[2]stock-take'!$M:$Q,3,FALSE))</f>
        <v>0</v>
      </c>
      <c r="M1166" s="48" t="str">
        <f t="shared" si="55"/>
        <v xml:space="preserve"> </v>
      </c>
      <c r="N1166" s="39" t="str">
        <f t="shared" si="56"/>
        <v xml:space="preserve"> </v>
      </c>
    </row>
    <row r="1167" spans="1:14">
      <c r="A1167" s="37">
        <f t="shared" si="54"/>
        <v>1156</v>
      </c>
      <c r="G1167" s="48" t="str">
        <f>IF(F1167=""," ",IF(ISNA(VLOOKUP(D1167,'[2]stock-take'!$A:$E,4,FALSE)), "OUT OF STOCK", VLOOKUP(D1167,'[2]stock-take'!$A:$E,4,FALSE)))</f>
        <v xml:space="preserve"> </v>
      </c>
      <c r="H1167" s="48">
        <f>IF(ISNA(VLOOKUP(D1167,'[2]stock-take'!$A:$E,3,FALSE)), 0, VLOOKUP(D1167,'[2]stock-take'!$A:$E,3,FALSE))</f>
        <v>0</v>
      </c>
      <c r="I1167" s="48" t="str">
        <f>IF(F1167="", " ",IF(ISNA(VLOOKUP(D1167,'[2]stock-take'!$G:$K,4,FALSE)), "OUT OF STOCK", VLOOKUP(D1167,'[2]stock-take'!$G:$K,4,FALSE)))</f>
        <v xml:space="preserve"> </v>
      </c>
      <c r="J1167" s="39">
        <f>IF(ISNA(VLOOKUP(D1167,'[2]stock-take'!$G:$K,3,FALSE)), 0, VLOOKUP(D1167,'[2]stock-take'!$G:$K,3,FALSE))</f>
        <v>0</v>
      </c>
      <c r="K1167" s="49" t="str">
        <f>IF(F1167="", " ", IF(ISNA(VLOOKUP(D1167,'[2]stock-take'!$M:$Q,4,FALSE)), "OUT OF STOCK", VLOOKUP(D1167,'[2]stock-take'!$M:$Q,4,FALSE)))</f>
        <v xml:space="preserve"> </v>
      </c>
      <c r="L1167" s="47">
        <f>IF(ISNA(VLOOKUP(D1167,'[2]stock-take'!$M:$Q,3,FALSE)), 0, VLOOKUP(D1167,'[2]stock-take'!$M:$Q,3,FALSE))</f>
        <v>0</v>
      </c>
      <c r="M1167" s="48" t="str">
        <f t="shared" si="55"/>
        <v xml:space="preserve"> </v>
      </c>
      <c r="N1167" s="39" t="str">
        <f t="shared" si="56"/>
        <v xml:space="preserve"> </v>
      </c>
    </row>
    <row r="1168" spans="1:14">
      <c r="A1168" s="37">
        <f t="shared" si="54"/>
        <v>1157</v>
      </c>
      <c r="G1168" s="48" t="str">
        <f>IF(F1168=""," ",IF(ISNA(VLOOKUP(D1168,'[2]stock-take'!$A:$E,4,FALSE)), "OUT OF STOCK", VLOOKUP(D1168,'[2]stock-take'!$A:$E,4,FALSE)))</f>
        <v xml:space="preserve"> </v>
      </c>
      <c r="H1168" s="48">
        <f>IF(ISNA(VLOOKUP(D1168,'[2]stock-take'!$A:$E,3,FALSE)), 0, VLOOKUP(D1168,'[2]stock-take'!$A:$E,3,FALSE))</f>
        <v>0</v>
      </c>
      <c r="I1168" s="48" t="str">
        <f>IF(F1168="", " ",IF(ISNA(VLOOKUP(D1168,'[2]stock-take'!$G:$K,4,FALSE)), "OUT OF STOCK", VLOOKUP(D1168,'[2]stock-take'!$G:$K,4,FALSE)))</f>
        <v xml:space="preserve"> </v>
      </c>
      <c r="J1168" s="39">
        <f>IF(ISNA(VLOOKUP(D1168,'[2]stock-take'!$G:$K,3,FALSE)), 0, VLOOKUP(D1168,'[2]stock-take'!$G:$K,3,FALSE))</f>
        <v>0</v>
      </c>
      <c r="K1168" s="49" t="str">
        <f>IF(F1168="", " ", IF(ISNA(VLOOKUP(D1168,'[2]stock-take'!$M:$Q,4,FALSE)), "OUT OF STOCK", VLOOKUP(D1168,'[2]stock-take'!$M:$Q,4,FALSE)))</f>
        <v xml:space="preserve"> </v>
      </c>
      <c r="L1168" s="47">
        <f>IF(ISNA(VLOOKUP(D1168,'[2]stock-take'!$M:$Q,3,FALSE)), 0, VLOOKUP(D1168,'[2]stock-take'!$M:$Q,3,FALSE))</f>
        <v>0</v>
      </c>
      <c r="M1168" s="48" t="str">
        <f t="shared" si="55"/>
        <v xml:space="preserve"> </v>
      </c>
      <c r="N1168" s="39" t="str">
        <f t="shared" si="56"/>
        <v xml:space="preserve"> </v>
      </c>
    </row>
    <row r="1169" spans="1:14">
      <c r="A1169" s="37">
        <f t="shared" si="54"/>
        <v>1158</v>
      </c>
      <c r="G1169" s="48" t="str">
        <f>IF(F1169=""," ",IF(ISNA(VLOOKUP(D1169,'[2]stock-take'!$A:$E,4,FALSE)), "OUT OF STOCK", VLOOKUP(D1169,'[2]stock-take'!$A:$E,4,FALSE)))</f>
        <v xml:space="preserve"> </v>
      </c>
      <c r="H1169" s="48">
        <f>IF(ISNA(VLOOKUP(D1169,'[2]stock-take'!$A:$E,3,FALSE)), 0, VLOOKUP(D1169,'[2]stock-take'!$A:$E,3,FALSE))</f>
        <v>0</v>
      </c>
      <c r="I1169" s="48" t="str">
        <f>IF(F1169="", " ",IF(ISNA(VLOOKUP(D1169,'[2]stock-take'!$G:$K,4,FALSE)), "OUT OF STOCK", VLOOKUP(D1169,'[2]stock-take'!$G:$K,4,FALSE)))</f>
        <v xml:space="preserve"> </v>
      </c>
      <c r="J1169" s="39">
        <f>IF(ISNA(VLOOKUP(D1169,'[2]stock-take'!$G:$K,3,FALSE)), 0, VLOOKUP(D1169,'[2]stock-take'!$G:$K,3,FALSE))</f>
        <v>0</v>
      </c>
      <c r="K1169" s="49" t="str">
        <f>IF(F1169="", " ", IF(ISNA(VLOOKUP(D1169,'[2]stock-take'!$M:$Q,4,FALSE)), "OUT OF STOCK", VLOOKUP(D1169,'[2]stock-take'!$M:$Q,4,FALSE)))</f>
        <v xml:space="preserve"> </v>
      </c>
      <c r="L1169" s="47">
        <f>IF(ISNA(VLOOKUP(D1169,'[2]stock-take'!$M:$Q,3,FALSE)), 0, VLOOKUP(D1169,'[2]stock-take'!$M:$Q,3,FALSE))</f>
        <v>0</v>
      </c>
      <c r="M1169" s="48" t="str">
        <f t="shared" si="55"/>
        <v xml:space="preserve"> </v>
      </c>
      <c r="N1169" s="39" t="str">
        <f t="shared" si="56"/>
        <v xml:space="preserve"> </v>
      </c>
    </row>
    <row r="1170" spans="1:14">
      <c r="A1170" s="37">
        <f t="shared" si="54"/>
        <v>1159</v>
      </c>
      <c r="G1170" s="48" t="str">
        <f>IF(F1170=""," ",IF(ISNA(VLOOKUP(D1170,'[2]stock-take'!$A:$E,4,FALSE)), "OUT OF STOCK", VLOOKUP(D1170,'[2]stock-take'!$A:$E,4,FALSE)))</f>
        <v xml:space="preserve"> </v>
      </c>
      <c r="H1170" s="48">
        <f>IF(ISNA(VLOOKUP(D1170,'[2]stock-take'!$A:$E,3,FALSE)), 0, VLOOKUP(D1170,'[2]stock-take'!$A:$E,3,FALSE))</f>
        <v>0</v>
      </c>
      <c r="I1170" s="48" t="str">
        <f>IF(F1170="", " ",IF(ISNA(VLOOKUP(D1170,'[2]stock-take'!$G:$K,4,FALSE)), "OUT OF STOCK", VLOOKUP(D1170,'[2]stock-take'!$G:$K,4,FALSE)))</f>
        <v xml:space="preserve"> </v>
      </c>
      <c r="J1170" s="39">
        <f>IF(ISNA(VLOOKUP(D1170,'[2]stock-take'!$G:$K,3,FALSE)), 0, VLOOKUP(D1170,'[2]stock-take'!$G:$K,3,FALSE))</f>
        <v>0</v>
      </c>
      <c r="K1170" s="49" t="str">
        <f>IF(F1170="", " ", IF(ISNA(VLOOKUP(D1170,'[2]stock-take'!$M:$Q,4,FALSE)), "OUT OF STOCK", VLOOKUP(D1170,'[2]stock-take'!$M:$Q,4,FALSE)))</f>
        <v xml:space="preserve"> </v>
      </c>
      <c r="L1170" s="47">
        <f>IF(ISNA(VLOOKUP(D1170,'[2]stock-take'!$M:$Q,3,FALSE)), 0, VLOOKUP(D1170,'[2]stock-take'!$M:$Q,3,FALSE))</f>
        <v>0</v>
      </c>
      <c r="M1170" s="48" t="str">
        <f t="shared" si="55"/>
        <v xml:space="preserve"> </v>
      </c>
      <c r="N1170" s="39" t="str">
        <f t="shared" si="56"/>
        <v xml:space="preserve"> </v>
      </c>
    </row>
    <row r="1171" spans="1:14">
      <c r="A1171" s="37">
        <f t="shared" si="54"/>
        <v>1160</v>
      </c>
      <c r="G1171" s="48" t="str">
        <f>IF(F1171=""," ",IF(ISNA(VLOOKUP(D1171,'[2]stock-take'!$A:$E,4,FALSE)), "OUT OF STOCK", VLOOKUP(D1171,'[2]stock-take'!$A:$E,4,FALSE)))</f>
        <v xml:space="preserve"> </v>
      </c>
      <c r="H1171" s="48">
        <f>IF(ISNA(VLOOKUP(D1171,'[2]stock-take'!$A:$E,3,FALSE)), 0, VLOOKUP(D1171,'[2]stock-take'!$A:$E,3,FALSE))</f>
        <v>0</v>
      </c>
      <c r="I1171" s="48" t="str">
        <f>IF(F1171="", " ",IF(ISNA(VLOOKUP(D1171,'[2]stock-take'!$G:$K,4,FALSE)), "OUT OF STOCK", VLOOKUP(D1171,'[2]stock-take'!$G:$K,4,FALSE)))</f>
        <v xml:space="preserve"> </v>
      </c>
      <c r="J1171" s="39">
        <f>IF(ISNA(VLOOKUP(D1171,'[2]stock-take'!$G:$K,3,FALSE)), 0, VLOOKUP(D1171,'[2]stock-take'!$G:$K,3,FALSE))</f>
        <v>0</v>
      </c>
      <c r="K1171" s="49" t="str">
        <f>IF(F1171="", " ", IF(ISNA(VLOOKUP(D1171,'[2]stock-take'!$M:$Q,4,FALSE)), "OUT OF STOCK", VLOOKUP(D1171,'[2]stock-take'!$M:$Q,4,FALSE)))</f>
        <v xml:space="preserve"> </v>
      </c>
      <c r="L1171" s="47">
        <f>IF(ISNA(VLOOKUP(D1171,'[2]stock-take'!$M:$Q,3,FALSE)), 0, VLOOKUP(D1171,'[2]stock-take'!$M:$Q,3,FALSE))</f>
        <v>0</v>
      </c>
      <c r="M1171" s="48" t="str">
        <f t="shared" si="55"/>
        <v xml:space="preserve"> </v>
      </c>
      <c r="N1171" s="39" t="str">
        <f t="shared" si="56"/>
        <v xml:space="preserve"> </v>
      </c>
    </row>
    <row r="1172" spans="1:14">
      <c r="A1172" s="37">
        <f t="shared" si="54"/>
        <v>1161</v>
      </c>
      <c r="G1172" s="48" t="str">
        <f>IF(F1172=""," ",IF(ISNA(VLOOKUP(D1172,'[2]stock-take'!$A:$E,4,FALSE)), "OUT OF STOCK", VLOOKUP(D1172,'[2]stock-take'!$A:$E,4,FALSE)))</f>
        <v xml:space="preserve"> </v>
      </c>
      <c r="H1172" s="48">
        <f>IF(ISNA(VLOOKUP(D1172,'[2]stock-take'!$A:$E,3,FALSE)), 0, VLOOKUP(D1172,'[2]stock-take'!$A:$E,3,FALSE))</f>
        <v>0</v>
      </c>
      <c r="I1172" s="48" t="str">
        <f>IF(F1172="", " ",IF(ISNA(VLOOKUP(D1172,'[2]stock-take'!$G:$K,4,FALSE)), "OUT OF STOCK", VLOOKUP(D1172,'[2]stock-take'!$G:$K,4,FALSE)))</f>
        <v xml:space="preserve"> </v>
      </c>
      <c r="J1172" s="39">
        <f>IF(ISNA(VLOOKUP(D1172,'[2]stock-take'!$G:$K,3,FALSE)), 0, VLOOKUP(D1172,'[2]stock-take'!$G:$K,3,FALSE))</f>
        <v>0</v>
      </c>
      <c r="K1172" s="49" t="str">
        <f>IF(F1172="", " ", IF(ISNA(VLOOKUP(D1172,'[2]stock-take'!$M:$Q,4,FALSE)), "OUT OF STOCK", VLOOKUP(D1172,'[2]stock-take'!$M:$Q,4,FALSE)))</f>
        <v xml:space="preserve"> </v>
      </c>
      <c r="L1172" s="47">
        <f>IF(ISNA(VLOOKUP(D1172,'[2]stock-take'!$M:$Q,3,FALSE)), 0, VLOOKUP(D1172,'[2]stock-take'!$M:$Q,3,FALSE))</f>
        <v>0</v>
      </c>
      <c r="M1172" s="48" t="str">
        <f t="shared" si="55"/>
        <v xml:space="preserve"> </v>
      </c>
      <c r="N1172" s="39" t="str">
        <f t="shared" si="56"/>
        <v xml:space="preserve"> </v>
      </c>
    </row>
    <row r="1173" spans="1:14">
      <c r="A1173" s="37">
        <f t="shared" si="54"/>
        <v>1162</v>
      </c>
      <c r="G1173" s="48" t="str">
        <f>IF(F1173=""," ",IF(ISNA(VLOOKUP(D1173,'[2]stock-take'!$A:$E,4,FALSE)), "OUT OF STOCK", VLOOKUP(D1173,'[2]stock-take'!$A:$E,4,FALSE)))</f>
        <v xml:space="preserve"> </v>
      </c>
      <c r="H1173" s="48">
        <f>IF(ISNA(VLOOKUP(D1173,'[2]stock-take'!$A:$E,3,FALSE)), 0, VLOOKUP(D1173,'[2]stock-take'!$A:$E,3,FALSE))</f>
        <v>0</v>
      </c>
      <c r="I1173" s="48" t="str">
        <f>IF(F1173="", " ",IF(ISNA(VLOOKUP(D1173,'[2]stock-take'!$G:$K,4,FALSE)), "OUT OF STOCK", VLOOKUP(D1173,'[2]stock-take'!$G:$K,4,FALSE)))</f>
        <v xml:space="preserve"> </v>
      </c>
      <c r="J1173" s="39">
        <f>IF(ISNA(VLOOKUP(D1173,'[2]stock-take'!$G:$K,3,FALSE)), 0, VLOOKUP(D1173,'[2]stock-take'!$G:$K,3,FALSE))</f>
        <v>0</v>
      </c>
      <c r="K1173" s="49" t="str">
        <f>IF(F1173="", " ", IF(ISNA(VLOOKUP(D1173,'[2]stock-take'!$M:$Q,4,FALSE)), "OUT OF STOCK", VLOOKUP(D1173,'[2]stock-take'!$M:$Q,4,FALSE)))</f>
        <v xml:space="preserve"> </v>
      </c>
      <c r="L1173" s="47">
        <f>IF(ISNA(VLOOKUP(D1173,'[2]stock-take'!$M:$Q,3,FALSE)), 0, VLOOKUP(D1173,'[2]stock-take'!$M:$Q,3,FALSE))</f>
        <v>0</v>
      </c>
      <c r="M1173" s="48" t="str">
        <f t="shared" si="55"/>
        <v xml:space="preserve"> </v>
      </c>
      <c r="N1173" s="39" t="str">
        <f t="shared" si="56"/>
        <v xml:space="preserve"> </v>
      </c>
    </row>
    <row r="1174" spans="1:14">
      <c r="A1174" s="37">
        <f t="shared" si="54"/>
        <v>1163</v>
      </c>
      <c r="G1174" s="48" t="str">
        <f>IF(F1174=""," ",IF(ISNA(VLOOKUP(D1174,'[2]stock-take'!$A:$E,4,FALSE)), "OUT OF STOCK", VLOOKUP(D1174,'[2]stock-take'!$A:$E,4,FALSE)))</f>
        <v xml:space="preserve"> </v>
      </c>
      <c r="H1174" s="48">
        <f>IF(ISNA(VLOOKUP(D1174,'[2]stock-take'!$A:$E,3,FALSE)), 0, VLOOKUP(D1174,'[2]stock-take'!$A:$E,3,FALSE))</f>
        <v>0</v>
      </c>
      <c r="I1174" s="48" t="str">
        <f>IF(F1174="", " ",IF(ISNA(VLOOKUP(D1174,'[2]stock-take'!$G:$K,4,FALSE)), "OUT OF STOCK", VLOOKUP(D1174,'[2]stock-take'!$G:$K,4,FALSE)))</f>
        <v xml:space="preserve"> </v>
      </c>
      <c r="J1174" s="39">
        <f>IF(ISNA(VLOOKUP(D1174,'[2]stock-take'!$G:$K,3,FALSE)), 0, VLOOKUP(D1174,'[2]stock-take'!$G:$K,3,FALSE))</f>
        <v>0</v>
      </c>
      <c r="K1174" s="49" t="str">
        <f>IF(F1174="", " ", IF(ISNA(VLOOKUP(D1174,'[2]stock-take'!$M:$Q,4,FALSE)), "OUT OF STOCK", VLOOKUP(D1174,'[2]stock-take'!$M:$Q,4,FALSE)))</f>
        <v xml:space="preserve"> </v>
      </c>
      <c r="L1174" s="47">
        <f>IF(ISNA(VLOOKUP(D1174,'[2]stock-take'!$M:$Q,3,FALSE)), 0, VLOOKUP(D1174,'[2]stock-take'!$M:$Q,3,FALSE))</f>
        <v>0</v>
      </c>
      <c r="M1174" s="48" t="str">
        <f t="shared" si="55"/>
        <v xml:space="preserve"> </v>
      </c>
      <c r="N1174" s="39" t="str">
        <f t="shared" si="56"/>
        <v xml:space="preserve"> </v>
      </c>
    </row>
    <row r="1175" spans="1:14">
      <c r="A1175" s="37">
        <f t="shared" si="54"/>
        <v>1164</v>
      </c>
      <c r="G1175" s="48" t="str">
        <f>IF(F1175=""," ",IF(ISNA(VLOOKUP(D1175,'[2]stock-take'!$A:$E,4,FALSE)), "OUT OF STOCK", VLOOKUP(D1175,'[2]stock-take'!$A:$E,4,FALSE)))</f>
        <v xml:space="preserve"> </v>
      </c>
      <c r="H1175" s="48">
        <f>IF(ISNA(VLOOKUP(D1175,'[2]stock-take'!$A:$E,3,FALSE)), 0, VLOOKUP(D1175,'[2]stock-take'!$A:$E,3,FALSE))</f>
        <v>0</v>
      </c>
      <c r="I1175" s="48" t="str">
        <f>IF(F1175="", " ",IF(ISNA(VLOOKUP(D1175,'[2]stock-take'!$G:$K,4,FALSE)), "OUT OF STOCK", VLOOKUP(D1175,'[2]stock-take'!$G:$K,4,FALSE)))</f>
        <v xml:space="preserve"> </v>
      </c>
      <c r="J1175" s="39">
        <f>IF(ISNA(VLOOKUP(D1175,'[2]stock-take'!$G:$K,3,FALSE)), 0, VLOOKUP(D1175,'[2]stock-take'!$G:$K,3,FALSE))</f>
        <v>0</v>
      </c>
      <c r="K1175" s="49" t="str">
        <f>IF(F1175="", " ", IF(ISNA(VLOOKUP(D1175,'[2]stock-take'!$M:$Q,4,FALSE)), "OUT OF STOCK", VLOOKUP(D1175,'[2]stock-take'!$M:$Q,4,FALSE)))</f>
        <v xml:space="preserve"> </v>
      </c>
      <c r="L1175" s="47">
        <f>IF(ISNA(VLOOKUP(D1175,'[2]stock-take'!$M:$Q,3,FALSE)), 0, VLOOKUP(D1175,'[2]stock-take'!$M:$Q,3,FALSE))</f>
        <v>0</v>
      </c>
      <c r="M1175" s="48" t="str">
        <f t="shared" si="55"/>
        <v xml:space="preserve"> </v>
      </c>
      <c r="N1175" s="39" t="str">
        <f t="shared" si="56"/>
        <v xml:space="preserve"> </v>
      </c>
    </row>
    <row r="1176" spans="1:14">
      <c r="A1176" s="37">
        <f t="shared" si="54"/>
        <v>1165</v>
      </c>
      <c r="G1176" s="48" t="str">
        <f>IF(F1176=""," ",IF(ISNA(VLOOKUP(D1176,'[2]stock-take'!$A:$E,4,FALSE)), "OUT OF STOCK", VLOOKUP(D1176,'[2]stock-take'!$A:$E,4,FALSE)))</f>
        <v xml:space="preserve"> </v>
      </c>
      <c r="H1176" s="48">
        <f>IF(ISNA(VLOOKUP(D1176,'[2]stock-take'!$A:$E,3,FALSE)), 0, VLOOKUP(D1176,'[2]stock-take'!$A:$E,3,FALSE))</f>
        <v>0</v>
      </c>
      <c r="I1176" s="48" t="str">
        <f>IF(F1176="", " ",IF(ISNA(VLOOKUP(D1176,'[2]stock-take'!$G:$K,4,FALSE)), "OUT OF STOCK", VLOOKUP(D1176,'[2]stock-take'!$G:$K,4,FALSE)))</f>
        <v xml:space="preserve"> </v>
      </c>
      <c r="J1176" s="39">
        <f>IF(ISNA(VLOOKUP(D1176,'[2]stock-take'!$G:$K,3,FALSE)), 0, VLOOKUP(D1176,'[2]stock-take'!$G:$K,3,FALSE))</f>
        <v>0</v>
      </c>
      <c r="K1176" s="49" t="str">
        <f>IF(F1176="", " ", IF(ISNA(VLOOKUP(D1176,'[2]stock-take'!$M:$Q,4,FALSE)), "OUT OF STOCK", VLOOKUP(D1176,'[2]stock-take'!$M:$Q,4,FALSE)))</f>
        <v xml:space="preserve"> </v>
      </c>
      <c r="L1176" s="47">
        <f>IF(ISNA(VLOOKUP(D1176,'[2]stock-take'!$M:$Q,3,FALSE)), 0, VLOOKUP(D1176,'[2]stock-take'!$M:$Q,3,FALSE))</f>
        <v>0</v>
      </c>
      <c r="M1176" s="48" t="str">
        <f t="shared" si="55"/>
        <v xml:space="preserve"> </v>
      </c>
      <c r="N1176" s="39" t="str">
        <f t="shared" si="56"/>
        <v xml:space="preserve"> </v>
      </c>
    </row>
    <row r="1177" spans="1:14">
      <c r="A1177" s="37">
        <f t="shared" si="54"/>
        <v>1166</v>
      </c>
      <c r="G1177" s="48" t="str">
        <f>IF(F1177=""," ",IF(ISNA(VLOOKUP(D1177,'[2]stock-take'!$A:$E,4,FALSE)), "OUT OF STOCK", VLOOKUP(D1177,'[2]stock-take'!$A:$E,4,FALSE)))</f>
        <v xml:space="preserve"> </v>
      </c>
      <c r="H1177" s="48">
        <f>IF(ISNA(VLOOKUP(D1177,'[2]stock-take'!$A:$E,3,FALSE)), 0, VLOOKUP(D1177,'[2]stock-take'!$A:$E,3,FALSE))</f>
        <v>0</v>
      </c>
      <c r="I1177" s="48" t="str">
        <f>IF(F1177="", " ",IF(ISNA(VLOOKUP(D1177,'[2]stock-take'!$G:$K,4,FALSE)), "OUT OF STOCK", VLOOKUP(D1177,'[2]stock-take'!$G:$K,4,FALSE)))</f>
        <v xml:space="preserve"> </v>
      </c>
      <c r="J1177" s="39">
        <f>IF(ISNA(VLOOKUP(D1177,'[2]stock-take'!$G:$K,3,FALSE)), 0, VLOOKUP(D1177,'[2]stock-take'!$G:$K,3,FALSE))</f>
        <v>0</v>
      </c>
      <c r="K1177" s="49" t="str">
        <f>IF(F1177="", " ", IF(ISNA(VLOOKUP(D1177,'[2]stock-take'!$M:$Q,4,FALSE)), "OUT OF STOCK", VLOOKUP(D1177,'[2]stock-take'!$M:$Q,4,FALSE)))</f>
        <v xml:space="preserve"> </v>
      </c>
      <c r="L1177" s="47">
        <f>IF(ISNA(VLOOKUP(D1177,'[2]stock-take'!$M:$Q,3,FALSE)), 0, VLOOKUP(D1177,'[2]stock-take'!$M:$Q,3,FALSE))</f>
        <v>0</v>
      </c>
      <c r="M1177" s="48" t="str">
        <f t="shared" si="55"/>
        <v xml:space="preserve"> </v>
      </c>
      <c r="N1177" s="39" t="str">
        <f t="shared" si="56"/>
        <v xml:space="preserve"> </v>
      </c>
    </row>
    <row r="1178" spans="1:14">
      <c r="A1178" s="37">
        <f t="shared" si="54"/>
        <v>1167</v>
      </c>
      <c r="G1178" s="48" t="str">
        <f>IF(F1178=""," ",IF(ISNA(VLOOKUP(D1178,'[2]stock-take'!$A:$E,4,FALSE)), "OUT OF STOCK", VLOOKUP(D1178,'[2]stock-take'!$A:$E,4,FALSE)))</f>
        <v xml:space="preserve"> </v>
      </c>
      <c r="H1178" s="48">
        <f>IF(ISNA(VLOOKUP(D1178,'[2]stock-take'!$A:$E,3,FALSE)), 0, VLOOKUP(D1178,'[2]stock-take'!$A:$E,3,FALSE))</f>
        <v>0</v>
      </c>
      <c r="I1178" s="48" t="str">
        <f>IF(F1178="", " ",IF(ISNA(VLOOKUP(D1178,'[2]stock-take'!$G:$K,4,FALSE)), "OUT OF STOCK", VLOOKUP(D1178,'[2]stock-take'!$G:$K,4,FALSE)))</f>
        <v xml:space="preserve"> </v>
      </c>
      <c r="J1178" s="39">
        <f>IF(ISNA(VLOOKUP(D1178,'[2]stock-take'!$G:$K,3,FALSE)), 0, VLOOKUP(D1178,'[2]stock-take'!$G:$K,3,FALSE))</f>
        <v>0</v>
      </c>
      <c r="K1178" s="49" t="str">
        <f>IF(F1178="", " ", IF(ISNA(VLOOKUP(D1178,'[2]stock-take'!$M:$Q,4,FALSE)), "OUT OF STOCK", VLOOKUP(D1178,'[2]stock-take'!$M:$Q,4,FALSE)))</f>
        <v xml:space="preserve"> </v>
      </c>
      <c r="L1178" s="47">
        <f>IF(ISNA(VLOOKUP(D1178,'[2]stock-take'!$M:$Q,3,FALSE)), 0, VLOOKUP(D1178,'[2]stock-take'!$M:$Q,3,FALSE))</f>
        <v>0</v>
      </c>
      <c r="M1178" s="48" t="str">
        <f t="shared" si="55"/>
        <v xml:space="preserve"> </v>
      </c>
      <c r="N1178" s="39" t="str">
        <f t="shared" si="56"/>
        <v xml:space="preserve"> </v>
      </c>
    </row>
    <row r="1179" spans="1:14">
      <c r="A1179" s="37">
        <f t="shared" si="54"/>
        <v>1168</v>
      </c>
      <c r="G1179" s="48" t="str">
        <f>IF(F1179=""," ",IF(ISNA(VLOOKUP(D1179,'[2]stock-take'!$A:$E,4,FALSE)), "OUT OF STOCK", VLOOKUP(D1179,'[2]stock-take'!$A:$E,4,FALSE)))</f>
        <v xml:space="preserve"> </v>
      </c>
      <c r="H1179" s="48">
        <f>IF(ISNA(VLOOKUP(D1179,'[2]stock-take'!$A:$E,3,FALSE)), 0, VLOOKUP(D1179,'[2]stock-take'!$A:$E,3,FALSE))</f>
        <v>0</v>
      </c>
      <c r="I1179" s="48" t="str">
        <f>IF(F1179="", " ",IF(ISNA(VLOOKUP(D1179,'[2]stock-take'!$G:$K,4,FALSE)), "OUT OF STOCK", VLOOKUP(D1179,'[2]stock-take'!$G:$K,4,FALSE)))</f>
        <v xml:space="preserve"> </v>
      </c>
      <c r="J1179" s="39">
        <f>IF(ISNA(VLOOKUP(D1179,'[2]stock-take'!$G:$K,3,FALSE)), 0, VLOOKUP(D1179,'[2]stock-take'!$G:$K,3,FALSE))</f>
        <v>0</v>
      </c>
      <c r="K1179" s="49" t="str">
        <f>IF(F1179="", " ", IF(ISNA(VLOOKUP(D1179,'[2]stock-take'!$M:$Q,4,FALSE)), "OUT OF STOCK", VLOOKUP(D1179,'[2]stock-take'!$M:$Q,4,FALSE)))</f>
        <v xml:space="preserve"> </v>
      </c>
      <c r="L1179" s="47">
        <f>IF(ISNA(VLOOKUP(D1179,'[2]stock-take'!$M:$Q,3,FALSE)), 0, VLOOKUP(D1179,'[2]stock-take'!$M:$Q,3,FALSE))</f>
        <v>0</v>
      </c>
      <c r="M1179" s="48" t="str">
        <f t="shared" si="55"/>
        <v xml:space="preserve"> </v>
      </c>
      <c r="N1179" s="39" t="str">
        <f t="shared" si="56"/>
        <v xml:space="preserve"> </v>
      </c>
    </row>
    <row r="1180" spans="1:14">
      <c r="A1180" s="37">
        <f t="shared" si="54"/>
        <v>1169</v>
      </c>
      <c r="G1180" s="48" t="str">
        <f>IF(F1180=""," ",IF(ISNA(VLOOKUP(D1180,'[2]stock-take'!$A:$E,4,FALSE)), "OUT OF STOCK", VLOOKUP(D1180,'[2]stock-take'!$A:$E,4,FALSE)))</f>
        <v xml:space="preserve"> </v>
      </c>
      <c r="H1180" s="48">
        <f>IF(ISNA(VLOOKUP(D1180,'[2]stock-take'!$A:$E,3,FALSE)), 0, VLOOKUP(D1180,'[2]stock-take'!$A:$E,3,FALSE))</f>
        <v>0</v>
      </c>
      <c r="I1180" s="48" t="str">
        <f>IF(F1180="", " ",IF(ISNA(VLOOKUP(D1180,'[2]stock-take'!$G:$K,4,FALSE)), "OUT OF STOCK", VLOOKUP(D1180,'[2]stock-take'!$G:$K,4,FALSE)))</f>
        <v xml:space="preserve"> </v>
      </c>
      <c r="J1180" s="39">
        <f>IF(ISNA(VLOOKUP(D1180,'[2]stock-take'!$G:$K,3,FALSE)), 0, VLOOKUP(D1180,'[2]stock-take'!$G:$K,3,FALSE))</f>
        <v>0</v>
      </c>
      <c r="K1180" s="49" t="str">
        <f>IF(F1180="", " ", IF(ISNA(VLOOKUP(D1180,'[2]stock-take'!$M:$Q,4,FALSE)), "OUT OF STOCK", VLOOKUP(D1180,'[2]stock-take'!$M:$Q,4,FALSE)))</f>
        <v xml:space="preserve"> </v>
      </c>
      <c r="L1180" s="47">
        <f>IF(ISNA(VLOOKUP(D1180,'[2]stock-take'!$M:$Q,3,FALSE)), 0, VLOOKUP(D1180,'[2]stock-take'!$M:$Q,3,FALSE))</f>
        <v>0</v>
      </c>
      <c r="M1180" s="48" t="str">
        <f t="shared" si="55"/>
        <v xml:space="preserve"> </v>
      </c>
      <c r="N1180" s="39" t="str">
        <f t="shared" si="56"/>
        <v xml:space="preserve"> </v>
      </c>
    </row>
    <row r="1181" spans="1:14">
      <c r="A1181" s="37">
        <f t="shared" si="54"/>
        <v>1170</v>
      </c>
      <c r="G1181" s="48" t="str">
        <f>IF(F1181=""," ",IF(ISNA(VLOOKUP(D1181,'[2]stock-take'!$A:$E,4,FALSE)), "OUT OF STOCK", VLOOKUP(D1181,'[2]stock-take'!$A:$E,4,FALSE)))</f>
        <v xml:space="preserve"> </v>
      </c>
      <c r="H1181" s="48">
        <f>IF(ISNA(VLOOKUP(D1181,'[2]stock-take'!$A:$E,3,FALSE)), 0, VLOOKUP(D1181,'[2]stock-take'!$A:$E,3,FALSE))</f>
        <v>0</v>
      </c>
      <c r="I1181" s="48" t="str">
        <f>IF(F1181="", " ",IF(ISNA(VLOOKUP(D1181,'[2]stock-take'!$G:$K,4,FALSE)), "OUT OF STOCK", VLOOKUP(D1181,'[2]stock-take'!$G:$K,4,FALSE)))</f>
        <v xml:space="preserve"> </v>
      </c>
      <c r="J1181" s="39">
        <f>IF(ISNA(VLOOKUP(D1181,'[2]stock-take'!$G:$K,3,FALSE)), 0, VLOOKUP(D1181,'[2]stock-take'!$G:$K,3,FALSE))</f>
        <v>0</v>
      </c>
      <c r="K1181" s="49" t="str">
        <f>IF(F1181="", " ", IF(ISNA(VLOOKUP(D1181,'[2]stock-take'!$M:$Q,4,FALSE)), "OUT OF STOCK", VLOOKUP(D1181,'[2]stock-take'!$M:$Q,4,FALSE)))</f>
        <v xml:space="preserve"> </v>
      </c>
      <c r="L1181" s="47">
        <f>IF(ISNA(VLOOKUP(D1181,'[2]stock-take'!$M:$Q,3,FALSE)), 0, VLOOKUP(D1181,'[2]stock-take'!$M:$Q,3,FALSE))</f>
        <v>0</v>
      </c>
      <c r="M1181" s="48" t="str">
        <f t="shared" si="55"/>
        <v xml:space="preserve"> </v>
      </c>
      <c r="N1181" s="39" t="str">
        <f t="shared" si="56"/>
        <v xml:space="preserve"> </v>
      </c>
    </row>
    <row r="1182" spans="1:14">
      <c r="A1182" s="37">
        <f t="shared" si="54"/>
        <v>1171</v>
      </c>
      <c r="G1182" s="48" t="str">
        <f>IF(F1182=""," ",IF(ISNA(VLOOKUP(D1182,'[2]stock-take'!$A:$E,4,FALSE)), "OUT OF STOCK", VLOOKUP(D1182,'[2]stock-take'!$A:$E,4,FALSE)))</f>
        <v xml:space="preserve"> </v>
      </c>
      <c r="H1182" s="48">
        <f>IF(ISNA(VLOOKUP(D1182,'[2]stock-take'!$A:$E,3,FALSE)), 0, VLOOKUP(D1182,'[2]stock-take'!$A:$E,3,FALSE))</f>
        <v>0</v>
      </c>
      <c r="I1182" s="48" t="str">
        <f>IF(F1182="", " ",IF(ISNA(VLOOKUP(D1182,'[2]stock-take'!$G:$K,4,FALSE)), "OUT OF STOCK", VLOOKUP(D1182,'[2]stock-take'!$G:$K,4,FALSE)))</f>
        <v xml:space="preserve"> </v>
      </c>
      <c r="J1182" s="39">
        <f>IF(ISNA(VLOOKUP(D1182,'[2]stock-take'!$G:$K,3,FALSE)), 0, VLOOKUP(D1182,'[2]stock-take'!$G:$K,3,FALSE))</f>
        <v>0</v>
      </c>
      <c r="K1182" s="49" t="str">
        <f>IF(F1182="", " ", IF(ISNA(VLOOKUP(D1182,'[2]stock-take'!$M:$Q,4,FALSE)), "OUT OF STOCK", VLOOKUP(D1182,'[2]stock-take'!$M:$Q,4,FALSE)))</f>
        <v xml:space="preserve"> </v>
      </c>
      <c r="L1182" s="47">
        <f>IF(ISNA(VLOOKUP(D1182,'[2]stock-take'!$M:$Q,3,FALSE)), 0, VLOOKUP(D1182,'[2]stock-take'!$M:$Q,3,FALSE))</f>
        <v>0</v>
      </c>
      <c r="M1182" s="48" t="str">
        <f t="shared" si="55"/>
        <v xml:space="preserve"> </v>
      </c>
      <c r="N1182" s="39" t="str">
        <f t="shared" si="56"/>
        <v xml:space="preserve"> </v>
      </c>
    </row>
    <row r="1183" spans="1:14">
      <c r="A1183" s="37">
        <f t="shared" si="54"/>
        <v>1172</v>
      </c>
      <c r="G1183" s="48" t="str">
        <f>IF(F1183=""," ",IF(ISNA(VLOOKUP(D1183,'[2]stock-take'!$A:$E,4,FALSE)), "OUT OF STOCK", VLOOKUP(D1183,'[2]stock-take'!$A:$E,4,FALSE)))</f>
        <v xml:space="preserve"> </v>
      </c>
      <c r="H1183" s="48">
        <f>IF(ISNA(VLOOKUP(D1183,'[2]stock-take'!$A:$E,3,FALSE)), 0, VLOOKUP(D1183,'[2]stock-take'!$A:$E,3,FALSE))</f>
        <v>0</v>
      </c>
      <c r="I1183" s="48" t="str">
        <f>IF(F1183="", " ",IF(ISNA(VLOOKUP(D1183,'[2]stock-take'!$G:$K,4,FALSE)), "OUT OF STOCK", VLOOKUP(D1183,'[2]stock-take'!$G:$K,4,FALSE)))</f>
        <v xml:space="preserve"> </v>
      </c>
      <c r="J1183" s="39">
        <f>IF(ISNA(VLOOKUP(D1183,'[2]stock-take'!$G:$K,3,FALSE)), 0, VLOOKUP(D1183,'[2]stock-take'!$G:$K,3,FALSE))</f>
        <v>0</v>
      </c>
      <c r="K1183" s="49" t="str">
        <f>IF(F1183="", " ", IF(ISNA(VLOOKUP(D1183,'[2]stock-take'!$M:$Q,4,FALSE)), "OUT OF STOCK", VLOOKUP(D1183,'[2]stock-take'!$M:$Q,4,FALSE)))</f>
        <v xml:space="preserve"> </v>
      </c>
      <c r="L1183" s="47">
        <f>IF(ISNA(VLOOKUP(D1183,'[2]stock-take'!$M:$Q,3,FALSE)), 0, VLOOKUP(D1183,'[2]stock-take'!$M:$Q,3,FALSE))</f>
        <v>0</v>
      </c>
      <c r="M1183" s="48" t="str">
        <f t="shared" si="55"/>
        <v xml:space="preserve"> </v>
      </c>
      <c r="N1183" s="39" t="str">
        <f t="shared" si="56"/>
        <v xml:space="preserve"> </v>
      </c>
    </row>
    <row r="1184" spans="1:14">
      <c r="A1184" s="37">
        <f t="shared" si="54"/>
        <v>1173</v>
      </c>
      <c r="G1184" s="48" t="str">
        <f>IF(F1184=""," ",IF(ISNA(VLOOKUP(D1184,'[2]stock-take'!$A:$E,4,FALSE)), "OUT OF STOCK", VLOOKUP(D1184,'[2]stock-take'!$A:$E,4,FALSE)))</f>
        <v xml:space="preserve"> </v>
      </c>
      <c r="H1184" s="48">
        <f>IF(ISNA(VLOOKUP(D1184,'[2]stock-take'!$A:$E,3,FALSE)), 0, VLOOKUP(D1184,'[2]stock-take'!$A:$E,3,FALSE))</f>
        <v>0</v>
      </c>
      <c r="I1184" s="48" t="str">
        <f>IF(F1184="", " ",IF(ISNA(VLOOKUP(D1184,'[2]stock-take'!$G:$K,4,FALSE)), "OUT OF STOCK", VLOOKUP(D1184,'[2]stock-take'!$G:$K,4,FALSE)))</f>
        <v xml:space="preserve"> </v>
      </c>
      <c r="J1184" s="39">
        <f>IF(ISNA(VLOOKUP(D1184,'[2]stock-take'!$G:$K,3,FALSE)), 0, VLOOKUP(D1184,'[2]stock-take'!$G:$K,3,FALSE))</f>
        <v>0</v>
      </c>
      <c r="K1184" s="49" t="str">
        <f>IF(F1184="", " ", IF(ISNA(VLOOKUP(D1184,'[2]stock-take'!$M:$Q,4,FALSE)), "OUT OF STOCK", VLOOKUP(D1184,'[2]stock-take'!$M:$Q,4,FALSE)))</f>
        <v xml:space="preserve"> </v>
      </c>
      <c r="L1184" s="47">
        <f>IF(ISNA(VLOOKUP(D1184,'[2]stock-take'!$M:$Q,3,FALSE)), 0, VLOOKUP(D1184,'[2]stock-take'!$M:$Q,3,FALSE))</f>
        <v>0</v>
      </c>
      <c r="M1184" s="48" t="str">
        <f t="shared" si="55"/>
        <v xml:space="preserve"> </v>
      </c>
      <c r="N1184" s="39" t="str">
        <f t="shared" si="56"/>
        <v xml:space="preserve"> </v>
      </c>
    </row>
    <row r="1185" spans="1:14">
      <c r="A1185" s="37">
        <f t="shared" si="54"/>
        <v>1174</v>
      </c>
      <c r="G1185" s="48" t="str">
        <f>IF(F1185=""," ",IF(ISNA(VLOOKUP(D1185,'[2]stock-take'!$A:$E,4,FALSE)), "OUT OF STOCK", VLOOKUP(D1185,'[2]stock-take'!$A:$E,4,FALSE)))</f>
        <v xml:space="preserve"> </v>
      </c>
      <c r="H1185" s="48">
        <f>IF(ISNA(VLOOKUP(D1185,'[2]stock-take'!$A:$E,3,FALSE)), 0, VLOOKUP(D1185,'[2]stock-take'!$A:$E,3,FALSE))</f>
        <v>0</v>
      </c>
      <c r="I1185" s="48" t="str">
        <f>IF(F1185="", " ",IF(ISNA(VLOOKUP(D1185,'[2]stock-take'!$G:$K,4,FALSE)), "OUT OF STOCK", VLOOKUP(D1185,'[2]stock-take'!$G:$K,4,FALSE)))</f>
        <v xml:space="preserve"> </v>
      </c>
      <c r="J1185" s="39">
        <f>IF(ISNA(VLOOKUP(D1185,'[2]stock-take'!$G:$K,3,FALSE)), 0, VLOOKUP(D1185,'[2]stock-take'!$G:$K,3,FALSE))</f>
        <v>0</v>
      </c>
      <c r="K1185" s="49" t="str">
        <f>IF(F1185="", " ", IF(ISNA(VLOOKUP(D1185,'[2]stock-take'!$M:$Q,4,FALSE)), "OUT OF STOCK", VLOOKUP(D1185,'[2]stock-take'!$M:$Q,4,FALSE)))</f>
        <v xml:space="preserve"> </v>
      </c>
      <c r="L1185" s="47">
        <f>IF(ISNA(VLOOKUP(D1185,'[2]stock-take'!$M:$Q,3,FALSE)), 0, VLOOKUP(D1185,'[2]stock-take'!$M:$Q,3,FALSE))</f>
        <v>0</v>
      </c>
      <c r="M1185" s="48" t="str">
        <f t="shared" si="55"/>
        <v xml:space="preserve"> </v>
      </c>
      <c r="N1185" s="39" t="str">
        <f t="shared" si="56"/>
        <v xml:space="preserve"> </v>
      </c>
    </row>
    <row r="1186" spans="1:14">
      <c r="A1186" s="37">
        <f t="shared" si="54"/>
        <v>1175</v>
      </c>
      <c r="G1186" s="48" t="str">
        <f>IF(F1186=""," ",IF(ISNA(VLOOKUP(D1186,'[2]stock-take'!$A:$E,4,FALSE)), "OUT OF STOCK", VLOOKUP(D1186,'[2]stock-take'!$A:$E,4,FALSE)))</f>
        <v xml:space="preserve"> </v>
      </c>
      <c r="H1186" s="48">
        <f>IF(ISNA(VLOOKUP(D1186,'[2]stock-take'!$A:$E,3,FALSE)), 0, VLOOKUP(D1186,'[2]stock-take'!$A:$E,3,FALSE))</f>
        <v>0</v>
      </c>
      <c r="I1186" s="48" t="str">
        <f>IF(F1186="", " ",IF(ISNA(VLOOKUP(D1186,'[2]stock-take'!$G:$K,4,FALSE)), "OUT OF STOCK", VLOOKUP(D1186,'[2]stock-take'!$G:$K,4,FALSE)))</f>
        <v xml:space="preserve"> </v>
      </c>
      <c r="J1186" s="39">
        <f>IF(ISNA(VLOOKUP(D1186,'[2]stock-take'!$G:$K,3,FALSE)), 0, VLOOKUP(D1186,'[2]stock-take'!$G:$K,3,FALSE))</f>
        <v>0</v>
      </c>
      <c r="K1186" s="49" t="str">
        <f>IF(F1186="", " ", IF(ISNA(VLOOKUP(D1186,'[2]stock-take'!$M:$Q,4,FALSE)), "OUT OF STOCK", VLOOKUP(D1186,'[2]stock-take'!$M:$Q,4,FALSE)))</f>
        <v xml:space="preserve"> </v>
      </c>
      <c r="L1186" s="47">
        <f>IF(ISNA(VLOOKUP(D1186,'[2]stock-take'!$M:$Q,3,FALSE)), 0, VLOOKUP(D1186,'[2]stock-take'!$M:$Q,3,FALSE))</f>
        <v>0</v>
      </c>
      <c r="M1186" s="48" t="str">
        <f t="shared" si="55"/>
        <v xml:space="preserve"> </v>
      </c>
      <c r="N1186" s="39" t="str">
        <f t="shared" si="56"/>
        <v xml:space="preserve"> </v>
      </c>
    </row>
    <row r="1187" spans="1:14">
      <c r="A1187" s="37">
        <f t="shared" si="54"/>
        <v>1176</v>
      </c>
      <c r="G1187" s="48" t="str">
        <f>IF(F1187=""," ",IF(ISNA(VLOOKUP(D1187,'[2]stock-take'!$A:$E,4,FALSE)), "OUT OF STOCK", VLOOKUP(D1187,'[2]stock-take'!$A:$E,4,FALSE)))</f>
        <v xml:space="preserve"> </v>
      </c>
      <c r="H1187" s="48">
        <f>IF(ISNA(VLOOKUP(D1187,'[2]stock-take'!$A:$E,3,FALSE)), 0, VLOOKUP(D1187,'[2]stock-take'!$A:$E,3,FALSE))</f>
        <v>0</v>
      </c>
      <c r="I1187" s="48" t="str">
        <f>IF(F1187="", " ",IF(ISNA(VLOOKUP(D1187,'[2]stock-take'!$G:$K,4,FALSE)), "OUT OF STOCK", VLOOKUP(D1187,'[2]stock-take'!$G:$K,4,FALSE)))</f>
        <v xml:space="preserve"> </v>
      </c>
      <c r="J1187" s="39">
        <f>IF(ISNA(VLOOKUP(D1187,'[2]stock-take'!$G:$K,3,FALSE)), 0, VLOOKUP(D1187,'[2]stock-take'!$G:$K,3,FALSE))</f>
        <v>0</v>
      </c>
      <c r="K1187" s="49" t="str">
        <f>IF(F1187="", " ", IF(ISNA(VLOOKUP(D1187,'[2]stock-take'!$M:$Q,4,FALSE)), "OUT OF STOCK", VLOOKUP(D1187,'[2]stock-take'!$M:$Q,4,FALSE)))</f>
        <v xml:space="preserve"> </v>
      </c>
      <c r="L1187" s="47">
        <f>IF(ISNA(VLOOKUP(D1187,'[2]stock-take'!$M:$Q,3,FALSE)), 0, VLOOKUP(D1187,'[2]stock-take'!$M:$Q,3,FALSE))</f>
        <v>0</v>
      </c>
      <c r="M1187" s="48" t="str">
        <f t="shared" si="55"/>
        <v xml:space="preserve"> </v>
      </c>
      <c r="N1187" s="39" t="str">
        <f t="shared" si="56"/>
        <v xml:space="preserve"> </v>
      </c>
    </row>
    <row r="1188" spans="1:14">
      <c r="A1188" s="37">
        <f t="shared" si="54"/>
        <v>1177</v>
      </c>
      <c r="G1188" s="48" t="str">
        <f>IF(F1188=""," ",IF(ISNA(VLOOKUP(D1188,'[2]stock-take'!$A:$E,4,FALSE)), "OUT OF STOCK", VLOOKUP(D1188,'[2]stock-take'!$A:$E,4,FALSE)))</f>
        <v xml:space="preserve"> </v>
      </c>
      <c r="H1188" s="48">
        <f>IF(ISNA(VLOOKUP(D1188,'[2]stock-take'!$A:$E,3,FALSE)), 0, VLOOKUP(D1188,'[2]stock-take'!$A:$E,3,FALSE))</f>
        <v>0</v>
      </c>
      <c r="I1188" s="48" t="str">
        <f>IF(F1188="", " ",IF(ISNA(VLOOKUP(D1188,'[2]stock-take'!$G:$K,4,FALSE)), "OUT OF STOCK", VLOOKUP(D1188,'[2]stock-take'!$G:$K,4,FALSE)))</f>
        <v xml:space="preserve"> </v>
      </c>
      <c r="J1188" s="39">
        <f>IF(ISNA(VLOOKUP(D1188,'[2]stock-take'!$G:$K,3,FALSE)), 0, VLOOKUP(D1188,'[2]stock-take'!$G:$K,3,FALSE))</f>
        <v>0</v>
      </c>
      <c r="K1188" s="49" t="str">
        <f>IF(F1188="", " ", IF(ISNA(VLOOKUP(D1188,'[2]stock-take'!$M:$Q,4,FALSE)), "OUT OF STOCK", VLOOKUP(D1188,'[2]stock-take'!$M:$Q,4,FALSE)))</f>
        <v xml:space="preserve"> </v>
      </c>
      <c r="L1188" s="47">
        <f>IF(ISNA(VLOOKUP(D1188,'[2]stock-take'!$M:$Q,3,FALSE)), 0, VLOOKUP(D1188,'[2]stock-take'!$M:$Q,3,FALSE))</f>
        <v>0</v>
      </c>
      <c r="M1188" s="48" t="str">
        <f t="shared" si="55"/>
        <v xml:space="preserve"> </v>
      </c>
      <c r="N1188" s="39" t="str">
        <f t="shared" si="56"/>
        <v xml:space="preserve"> </v>
      </c>
    </row>
    <row r="1189" spans="1:14">
      <c r="A1189" s="37">
        <f t="shared" si="54"/>
        <v>1178</v>
      </c>
      <c r="G1189" s="48" t="str">
        <f>IF(F1189=""," ",IF(ISNA(VLOOKUP(D1189,'[2]stock-take'!$A:$E,4,FALSE)), "OUT OF STOCK", VLOOKUP(D1189,'[2]stock-take'!$A:$E,4,FALSE)))</f>
        <v xml:space="preserve"> </v>
      </c>
      <c r="H1189" s="48">
        <f>IF(ISNA(VLOOKUP(D1189,'[2]stock-take'!$A:$E,3,FALSE)), 0, VLOOKUP(D1189,'[2]stock-take'!$A:$E,3,FALSE))</f>
        <v>0</v>
      </c>
      <c r="I1189" s="48" t="str">
        <f>IF(F1189="", " ",IF(ISNA(VLOOKUP(D1189,'[2]stock-take'!$G:$K,4,FALSE)), "OUT OF STOCK", VLOOKUP(D1189,'[2]stock-take'!$G:$K,4,FALSE)))</f>
        <v xml:space="preserve"> </v>
      </c>
      <c r="J1189" s="39">
        <f>IF(ISNA(VLOOKUP(D1189,'[2]stock-take'!$G:$K,3,FALSE)), 0, VLOOKUP(D1189,'[2]stock-take'!$G:$K,3,FALSE))</f>
        <v>0</v>
      </c>
      <c r="K1189" s="49" t="str">
        <f>IF(F1189="", " ", IF(ISNA(VLOOKUP(D1189,'[2]stock-take'!$M:$Q,4,FALSE)), "OUT OF STOCK", VLOOKUP(D1189,'[2]stock-take'!$M:$Q,4,FALSE)))</f>
        <v xml:space="preserve"> </v>
      </c>
      <c r="L1189" s="47">
        <f>IF(ISNA(VLOOKUP(D1189,'[2]stock-take'!$M:$Q,3,FALSE)), 0, VLOOKUP(D1189,'[2]stock-take'!$M:$Q,3,FALSE))</f>
        <v>0</v>
      </c>
      <c r="M1189" s="48" t="str">
        <f t="shared" si="55"/>
        <v xml:space="preserve"> </v>
      </c>
      <c r="N1189" s="39" t="str">
        <f t="shared" si="56"/>
        <v xml:space="preserve"> </v>
      </c>
    </row>
    <row r="1190" spans="1:14">
      <c r="A1190" s="37">
        <f t="shared" si="54"/>
        <v>1179</v>
      </c>
      <c r="G1190" s="48" t="str">
        <f>IF(F1190=""," ",IF(ISNA(VLOOKUP(D1190,'[2]stock-take'!$A:$E,4,FALSE)), "OUT OF STOCK", VLOOKUP(D1190,'[2]stock-take'!$A:$E,4,FALSE)))</f>
        <v xml:space="preserve"> </v>
      </c>
      <c r="H1190" s="48">
        <f>IF(ISNA(VLOOKUP(D1190,'[2]stock-take'!$A:$E,3,FALSE)), 0, VLOOKUP(D1190,'[2]stock-take'!$A:$E,3,FALSE))</f>
        <v>0</v>
      </c>
      <c r="I1190" s="48" t="str">
        <f>IF(F1190="", " ",IF(ISNA(VLOOKUP(D1190,'[2]stock-take'!$G:$K,4,FALSE)), "OUT OF STOCK", VLOOKUP(D1190,'[2]stock-take'!$G:$K,4,FALSE)))</f>
        <v xml:space="preserve"> </v>
      </c>
      <c r="J1190" s="39">
        <f>IF(ISNA(VLOOKUP(D1190,'[2]stock-take'!$G:$K,3,FALSE)), 0, VLOOKUP(D1190,'[2]stock-take'!$G:$K,3,FALSE))</f>
        <v>0</v>
      </c>
      <c r="K1190" s="49" t="str">
        <f>IF(F1190="", " ", IF(ISNA(VLOOKUP(D1190,'[2]stock-take'!$M:$Q,4,FALSE)), "OUT OF STOCK", VLOOKUP(D1190,'[2]stock-take'!$M:$Q,4,FALSE)))</f>
        <v xml:space="preserve"> </v>
      </c>
      <c r="L1190" s="47">
        <f>IF(ISNA(VLOOKUP(D1190,'[2]stock-take'!$M:$Q,3,FALSE)), 0, VLOOKUP(D1190,'[2]stock-take'!$M:$Q,3,FALSE))</f>
        <v>0</v>
      </c>
      <c r="M1190" s="48" t="str">
        <f t="shared" si="55"/>
        <v xml:space="preserve"> </v>
      </c>
      <c r="N1190" s="39" t="str">
        <f t="shared" si="56"/>
        <v xml:space="preserve"> </v>
      </c>
    </row>
    <row r="1191" spans="1:14">
      <c r="A1191" s="37">
        <f t="shared" si="54"/>
        <v>1180</v>
      </c>
      <c r="G1191" s="48" t="str">
        <f>IF(F1191=""," ",IF(ISNA(VLOOKUP(D1191,'[2]stock-take'!$A:$E,4,FALSE)), "OUT OF STOCK", VLOOKUP(D1191,'[2]stock-take'!$A:$E,4,FALSE)))</f>
        <v xml:space="preserve"> </v>
      </c>
      <c r="H1191" s="48">
        <f>IF(ISNA(VLOOKUP(D1191,'[2]stock-take'!$A:$E,3,FALSE)), 0, VLOOKUP(D1191,'[2]stock-take'!$A:$E,3,FALSE))</f>
        <v>0</v>
      </c>
      <c r="I1191" s="48" t="str">
        <f>IF(F1191="", " ",IF(ISNA(VLOOKUP(D1191,'[2]stock-take'!$G:$K,4,FALSE)), "OUT OF STOCK", VLOOKUP(D1191,'[2]stock-take'!$G:$K,4,FALSE)))</f>
        <v xml:space="preserve"> </v>
      </c>
      <c r="J1191" s="39">
        <f>IF(ISNA(VLOOKUP(D1191,'[2]stock-take'!$G:$K,3,FALSE)), 0, VLOOKUP(D1191,'[2]stock-take'!$G:$K,3,FALSE))</f>
        <v>0</v>
      </c>
      <c r="K1191" s="49" t="str">
        <f>IF(F1191="", " ", IF(ISNA(VLOOKUP(D1191,'[2]stock-take'!$M:$Q,4,FALSE)), "OUT OF STOCK", VLOOKUP(D1191,'[2]stock-take'!$M:$Q,4,FALSE)))</f>
        <v xml:space="preserve"> </v>
      </c>
      <c r="L1191" s="47">
        <f>IF(ISNA(VLOOKUP(D1191,'[2]stock-take'!$M:$Q,3,FALSE)), 0, VLOOKUP(D1191,'[2]stock-take'!$M:$Q,3,FALSE))</f>
        <v>0</v>
      </c>
      <c r="M1191" s="48" t="str">
        <f t="shared" si="55"/>
        <v xml:space="preserve"> </v>
      </c>
      <c r="N1191" s="39" t="str">
        <f t="shared" si="56"/>
        <v xml:space="preserve"> </v>
      </c>
    </row>
    <row r="1192" spans="1:14">
      <c r="A1192" s="37">
        <f t="shared" si="54"/>
        <v>1181</v>
      </c>
      <c r="G1192" s="48" t="str">
        <f>IF(F1192=""," ",IF(ISNA(VLOOKUP(D1192,'[2]stock-take'!$A:$E,4,FALSE)), "OUT OF STOCK", VLOOKUP(D1192,'[2]stock-take'!$A:$E,4,FALSE)))</f>
        <v xml:space="preserve"> </v>
      </c>
      <c r="H1192" s="48">
        <f>IF(ISNA(VLOOKUP(D1192,'[2]stock-take'!$A:$E,3,FALSE)), 0, VLOOKUP(D1192,'[2]stock-take'!$A:$E,3,FALSE))</f>
        <v>0</v>
      </c>
      <c r="I1192" s="48" t="str">
        <f>IF(F1192="", " ",IF(ISNA(VLOOKUP(D1192,'[2]stock-take'!$G:$K,4,FALSE)), "OUT OF STOCK", VLOOKUP(D1192,'[2]stock-take'!$G:$K,4,FALSE)))</f>
        <v xml:space="preserve"> </v>
      </c>
      <c r="J1192" s="39">
        <f>IF(ISNA(VLOOKUP(D1192,'[2]stock-take'!$G:$K,3,FALSE)), 0, VLOOKUP(D1192,'[2]stock-take'!$G:$K,3,FALSE))</f>
        <v>0</v>
      </c>
      <c r="K1192" s="49" t="str">
        <f>IF(F1192="", " ", IF(ISNA(VLOOKUP(D1192,'[2]stock-take'!$M:$Q,4,FALSE)), "OUT OF STOCK", VLOOKUP(D1192,'[2]stock-take'!$M:$Q,4,FALSE)))</f>
        <v xml:space="preserve"> </v>
      </c>
      <c r="L1192" s="47">
        <f>IF(ISNA(VLOOKUP(D1192,'[2]stock-take'!$M:$Q,3,FALSE)), 0, VLOOKUP(D1192,'[2]stock-take'!$M:$Q,3,FALSE))</f>
        <v>0</v>
      </c>
      <c r="M1192" s="48" t="str">
        <f t="shared" si="55"/>
        <v xml:space="preserve"> </v>
      </c>
      <c r="N1192" s="39" t="str">
        <f t="shared" si="56"/>
        <v xml:space="preserve"> </v>
      </c>
    </row>
    <row r="1193" spans="1:14">
      <c r="A1193" s="37">
        <f t="shared" si="54"/>
        <v>1182</v>
      </c>
      <c r="G1193" s="48" t="str">
        <f>IF(F1193=""," ",IF(ISNA(VLOOKUP(D1193,'[2]stock-take'!$A:$E,4,FALSE)), "OUT OF STOCK", VLOOKUP(D1193,'[2]stock-take'!$A:$E,4,FALSE)))</f>
        <v xml:space="preserve"> </v>
      </c>
      <c r="H1193" s="48">
        <f>IF(ISNA(VLOOKUP(D1193,'[2]stock-take'!$A:$E,3,FALSE)), 0, VLOOKUP(D1193,'[2]stock-take'!$A:$E,3,FALSE))</f>
        <v>0</v>
      </c>
      <c r="I1193" s="48" t="str">
        <f>IF(F1193="", " ",IF(ISNA(VLOOKUP(D1193,'[2]stock-take'!$G:$K,4,FALSE)), "OUT OF STOCK", VLOOKUP(D1193,'[2]stock-take'!$G:$K,4,FALSE)))</f>
        <v xml:space="preserve"> </v>
      </c>
      <c r="J1193" s="39">
        <f>IF(ISNA(VLOOKUP(D1193,'[2]stock-take'!$G:$K,3,FALSE)), 0, VLOOKUP(D1193,'[2]stock-take'!$G:$K,3,FALSE))</f>
        <v>0</v>
      </c>
      <c r="K1193" s="49" t="str">
        <f>IF(F1193="", " ", IF(ISNA(VLOOKUP(D1193,'[2]stock-take'!$M:$Q,4,FALSE)), "OUT OF STOCK", VLOOKUP(D1193,'[2]stock-take'!$M:$Q,4,FALSE)))</f>
        <v xml:space="preserve"> </v>
      </c>
      <c r="L1193" s="47">
        <f>IF(ISNA(VLOOKUP(D1193,'[2]stock-take'!$M:$Q,3,FALSE)), 0, VLOOKUP(D1193,'[2]stock-take'!$M:$Q,3,FALSE))</f>
        <v>0</v>
      </c>
      <c r="M1193" s="48" t="str">
        <f t="shared" si="55"/>
        <v xml:space="preserve"> </v>
      </c>
      <c r="N1193" s="39" t="str">
        <f t="shared" si="56"/>
        <v xml:space="preserve"> </v>
      </c>
    </row>
    <row r="1194" spans="1:14">
      <c r="A1194" s="37">
        <f t="shared" si="54"/>
        <v>1183</v>
      </c>
      <c r="G1194" s="48" t="str">
        <f>IF(F1194=""," ",IF(ISNA(VLOOKUP(D1194,'[2]stock-take'!$A:$E,4,FALSE)), "OUT OF STOCK", VLOOKUP(D1194,'[2]stock-take'!$A:$E,4,FALSE)))</f>
        <v xml:space="preserve"> </v>
      </c>
      <c r="H1194" s="48">
        <f>IF(ISNA(VLOOKUP(D1194,'[2]stock-take'!$A:$E,3,FALSE)), 0, VLOOKUP(D1194,'[2]stock-take'!$A:$E,3,FALSE))</f>
        <v>0</v>
      </c>
      <c r="I1194" s="48" t="str">
        <f>IF(F1194="", " ",IF(ISNA(VLOOKUP(D1194,'[2]stock-take'!$G:$K,4,FALSE)), "OUT OF STOCK", VLOOKUP(D1194,'[2]stock-take'!$G:$K,4,FALSE)))</f>
        <v xml:space="preserve"> </v>
      </c>
      <c r="J1194" s="39">
        <f>IF(ISNA(VLOOKUP(D1194,'[2]stock-take'!$G:$K,3,FALSE)), 0, VLOOKUP(D1194,'[2]stock-take'!$G:$K,3,FALSE))</f>
        <v>0</v>
      </c>
      <c r="K1194" s="49" t="str">
        <f>IF(F1194="", " ", IF(ISNA(VLOOKUP(D1194,'[2]stock-take'!$M:$Q,4,FALSE)), "OUT OF STOCK", VLOOKUP(D1194,'[2]stock-take'!$M:$Q,4,FALSE)))</f>
        <v xml:space="preserve"> </v>
      </c>
      <c r="L1194" s="47">
        <f>IF(ISNA(VLOOKUP(D1194,'[2]stock-take'!$M:$Q,3,FALSE)), 0, VLOOKUP(D1194,'[2]stock-take'!$M:$Q,3,FALSE))</f>
        <v>0</v>
      </c>
      <c r="M1194" s="48" t="str">
        <f t="shared" si="55"/>
        <v xml:space="preserve"> </v>
      </c>
      <c r="N1194" s="39" t="str">
        <f t="shared" si="56"/>
        <v xml:space="preserve"> </v>
      </c>
    </row>
    <row r="1195" spans="1:14">
      <c r="A1195" s="37">
        <f t="shared" si="54"/>
        <v>1184</v>
      </c>
      <c r="G1195" s="48" t="str">
        <f>IF(F1195=""," ",IF(ISNA(VLOOKUP(D1195,'[2]stock-take'!$A:$E,4,FALSE)), "OUT OF STOCK", VLOOKUP(D1195,'[2]stock-take'!$A:$E,4,FALSE)))</f>
        <v xml:space="preserve"> </v>
      </c>
      <c r="H1195" s="48">
        <f>IF(ISNA(VLOOKUP(D1195,'[2]stock-take'!$A:$E,3,FALSE)), 0, VLOOKUP(D1195,'[2]stock-take'!$A:$E,3,FALSE))</f>
        <v>0</v>
      </c>
      <c r="I1195" s="48" t="str">
        <f>IF(F1195="", " ",IF(ISNA(VLOOKUP(D1195,'[2]stock-take'!$G:$K,4,FALSE)), "OUT OF STOCK", VLOOKUP(D1195,'[2]stock-take'!$G:$K,4,FALSE)))</f>
        <v xml:space="preserve"> </v>
      </c>
      <c r="J1195" s="39">
        <f>IF(ISNA(VLOOKUP(D1195,'[2]stock-take'!$G:$K,3,FALSE)), 0, VLOOKUP(D1195,'[2]stock-take'!$G:$K,3,FALSE))</f>
        <v>0</v>
      </c>
      <c r="K1195" s="49" t="str">
        <f>IF(F1195="", " ", IF(ISNA(VLOOKUP(D1195,'[2]stock-take'!$M:$Q,4,FALSE)), "OUT OF STOCK", VLOOKUP(D1195,'[2]stock-take'!$M:$Q,4,FALSE)))</f>
        <v xml:space="preserve"> </v>
      </c>
      <c r="L1195" s="47">
        <f>IF(ISNA(VLOOKUP(D1195,'[2]stock-take'!$M:$Q,3,FALSE)), 0, VLOOKUP(D1195,'[2]stock-take'!$M:$Q,3,FALSE))</f>
        <v>0</v>
      </c>
      <c r="M1195" s="48" t="str">
        <f t="shared" si="55"/>
        <v xml:space="preserve"> </v>
      </c>
      <c r="N1195" s="39" t="str">
        <f t="shared" si="56"/>
        <v xml:space="preserve"> </v>
      </c>
    </row>
    <row r="1196" spans="1:14">
      <c r="A1196" s="37">
        <f t="shared" si="54"/>
        <v>1185</v>
      </c>
      <c r="G1196" s="48" t="str">
        <f>IF(F1196=""," ",IF(ISNA(VLOOKUP(D1196,'[2]stock-take'!$A:$E,4,FALSE)), "OUT OF STOCK", VLOOKUP(D1196,'[2]stock-take'!$A:$E,4,FALSE)))</f>
        <v xml:space="preserve"> </v>
      </c>
      <c r="H1196" s="48">
        <f>IF(ISNA(VLOOKUP(D1196,'[2]stock-take'!$A:$E,3,FALSE)), 0, VLOOKUP(D1196,'[2]stock-take'!$A:$E,3,FALSE))</f>
        <v>0</v>
      </c>
      <c r="I1196" s="48" t="str">
        <f>IF(F1196="", " ",IF(ISNA(VLOOKUP(D1196,'[2]stock-take'!$G:$K,4,FALSE)), "OUT OF STOCK", VLOOKUP(D1196,'[2]stock-take'!$G:$K,4,FALSE)))</f>
        <v xml:space="preserve"> </v>
      </c>
      <c r="J1196" s="39">
        <f>IF(ISNA(VLOOKUP(D1196,'[2]stock-take'!$G:$K,3,FALSE)), 0, VLOOKUP(D1196,'[2]stock-take'!$G:$K,3,FALSE))</f>
        <v>0</v>
      </c>
      <c r="K1196" s="49" t="str">
        <f>IF(F1196="", " ", IF(ISNA(VLOOKUP(D1196,'[2]stock-take'!$M:$Q,4,FALSE)), "OUT OF STOCK", VLOOKUP(D1196,'[2]stock-take'!$M:$Q,4,FALSE)))</f>
        <v xml:space="preserve"> </v>
      </c>
      <c r="L1196" s="47">
        <f>IF(ISNA(VLOOKUP(D1196,'[2]stock-take'!$M:$Q,3,FALSE)), 0, VLOOKUP(D1196,'[2]stock-take'!$M:$Q,3,FALSE))</f>
        <v>0</v>
      </c>
      <c r="M1196" s="48" t="str">
        <f t="shared" si="55"/>
        <v xml:space="preserve"> </v>
      </c>
      <c r="N1196" s="39" t="str">
        <f t="shared" si="56"/>
        <v xml:space="preserve"> </v>
      </c>
    </row>
    <row r="1197" spans="1:14">
      <c r="A1197" s="37">
        <f t="shared" si="54"/>
        <v>1186</v>
      </c>
      <c r="G1197" s="48" t="str">
        <f>IF(F1197=""," ",IF(ISNA(VLOOKUP(D1197,'[2]stock-take'!$A:$E,4,FALSE)), "OUT OF STOCK", VLOOKUP(D1197,'[2]stock-take'!$A:$E,4,FALSE)))</f>
        <v xml:space="preserve"> </v>
      </c>
      <c r="H1197" s="48">
        <f>IF(ISNA(VLOOKUP(D1197,'[2]stock-take'!$A:$E,3,FALSE)), 0, VLOOKUP(D1197,'[2]stock-take'!$A:$E,3,FALSE))</f>
        <v>0</v>
      </c>
      <c r="I1197" s="48" t="str">
        <f>IF(F1197="", " ",IF(ISNA(VLOOKUP(D1197,'[2]stock-take'!$G:$K,4,FALSE)), "OUT OF STOCK", VLOOKUP(D1197,'[2]stock-take'!$G:$K,4,FALSE)))</f>
        <v xml:space="preserve"> </v>
      </c>
      <c r="J1197" s="39">
        <f>IF(ISNA(VLOOKUP(D1197,'[2]stock-take'!$G:$K,3,FALSE)), 0, VLOOKUP(D1197,'[2]stock-take'!$G:$K,3,FALSE))</f>
        <v>0</v>
      </c>
      <c r="K1197" s="49" t="str">
        <f>IF(F1197="", " ", IF(ISNA(VLOOKUP(D1197,'[2]stock-take'!$M:$Q,4,FALSE)), "OUT OF STOCK", VLOOKUP(D1197,'[2]stock-take'!$M:$Q,4,FALSE)))</f>
        <v xml:space="preserve"> </v>
      </c>
      <c r="L1197" s="47">
        <f>IF(ISNA(VLOOKUP(D1197,'[2]stock-take'!$M:$Q,3,FALSE)), 0, VLOOKUP(D1197,'[2]stock-take'!$M:$Q,3,FALSE))</f>
        <v>0</v>
      </c>
      <c r="M1197" s="48" t="str">
        <f t="shared" si="55"/>
        <v xml:space="preserve"> </v>
      </c>
      <c r="N1197" s="39" t="str">
        <f t="shared" si="56"/>
        <v xml:space="preserve"> </v>
      </c>
    </row>
    <row r="1198" spans="1:14">
      <c r="A1198" s="37">
        <f t="shared" si="54"/>
        <v>1187</v>
      </c>
      <c r="G1198" s="48" t="str">
        <f>IF(F1198=""," ",IF(ISNA(VLOOKUP(D1198,'[2]stock-take'!$A:$E,4,FALSE)), "OUT OF STOCK", VLOOKUP(D1198,'[2]stock-take'!$A:$E,4,FALSE)))</f>
        <v xml:space="preserve"> </v>
      </c>
      <c r="H1198" s="48">
        <f>IF(ISNA(VLOOKUP(D1198,'[2]stock-take'!$A:$E,3,FALSE)), 0, VLOOKUP(D1198,'[2]stock-take'!$A:$E,3,FALSE))</f>
        <v>0</v>
      </c>
      <c r="I1198" s="48" t="str">
        <f>IF(F1198="", " ",IF(ISNA(VLOOKUP(D1198,'[2]stock-take'!$G:$K,4,FALSE)), "OUT OF STOCK", VLOOKUP(D1198,'[2]stock-take'!$G:$K,4,FALSE)))</f>
        <v xml:space="preserve"> </v>
      </c>
      <c r="J1198" s="39">
        <f>IF(ISNA(VLOOKUP(D1198,'[2]stock-take'!$G:$K,3,FALSE)), 0, VLOOKUP(D1198,'[2]stock-take'!$G:$K,3,FALSE))</f>
        <v>0</v>
      </c>
      <c r="K1198" s="49" t="str">
        <f>IF(F1198="", " ", IF(ISNA(VLOOKUP(D1198,'[2]stock-take'!$M:$Q,4,FALSE)), "OUT OF STOCK", VLOOKUP(D1198,'[2]stock-take'!$M:$Q,4,FALSE)))</f>
        <v xml:space="preserve"> </v>
      </c>
      <c r="L1198" s="47">
        <f>IF(ISNA(VLOOKUP(D1198,'[2]stock-take'!$M:$Q,3,FALSE)), 0, VLOOKUP(D1198,'[2]stock-take'!$M:$Q,3,FALSE))</f>
        <v>0</v>
      </c>
      <c r="M1198" s="48" t="str">
        <f t="shared" si="55"/>
        <v xml:space="preserve"> </v>
      </c>
      <c r="N1198" s="39" t="str">
        <f t="shared" si="56"/>
        <v xml:space="preserve"> </v>
      </c>
    </row>
    <row r="1199" spans="1:14">
      <c r="A1199" s="37">
        <f t="shared" si="54"/>
        <v>1188</v>
      </c>
      <c r="G1199" s="48" t="str">
        <f>IF(F1199=""," ",IF(ISNA(VLOOKUP(D1199,'[2]stock-take'!$A:$E,4,FALSE)), "OUT OF STOCK", VLOOKUP(D1199,'[2]stock-take'!$A:$E,4,FALSE)))</f>
        <v xml:space="preserve"> </v>
      </c>
      <c r="H1199" s="48">
        <f>IF(ISNA(VLOOKUP(D1199,'[2]stock-take'!$A:$E,3,FALSE)), 0, VLOOKUP(D1199,'[2]stock-take'!$A:$E,3,FALSE))</f>
        <v>0</v>
      </c>
      <c r="I1199" s="48" t="str">
        <f>IF(F1199="", " ",IF(ISNA(VLOOKUP(D1199,'[2]stock-take'!$G:$K,4,FALSE)), "OUT OF STOCK", VLOOKUP(D1199,'[2]stock-take'!$G:$K,4,FALSE)))</f>
        <v xml:space="preserve"> </v>
      </c>
      <c r="J1199" s="39">
        <f>IF(ISNA(VLOOKUP(D1199,'[2]stock-take'!$G:$K,3,FALSE)), 0, VLOOKUP(D1199,'[2]stock-take'!$G:$K,3,FALSE))</f>
        <v>0</v>
      </c>
      <c r="K1199" s="49" t="str">
        <f>IF(F1199="", " ", IF(ISNA(VLOOKUP(D1199,'[2]stock-take'!$M:$Q,4,FALSE)), "OUT OF STOCK", VLOOKUP(D1199,'[2]stock-take'!$M:$Q,4,FALSE)))</f>
        <v xml:space="preserve"> </v>
      </c>
      <c r="L1199" s="47">
        <f>IF(ISNA(VLOOKUP(D1199,'[2]stock-take'!$M:$Q,3,FALSE)), 0, VLOOKUP(D1199,'[2]stock-take'!$M:$Q,3,FALSE))</f>
        <v>0</v>
      </c>
      <c r="M1199" s="48" t="str">
        <f t="shared" si="55"/>
        <v xml:space="preserve"> </v>
      </c>
      <c r="N1199" s="39" t="str">
        <f t="shared" si="56"/>
        <v xml:space="preserve"> </v>
      </c>
    </row>
    <row r="1200" spans="1:14">
      <c r="A1200" s="37">
        <f t="shared" si="54"/>
        <v>1189</v>
      </c>
      <c r="G1200" s="48" t="str">
        <f>IF(F1200=""," ",IF(ISNA(VLOOKUP(D1200,'[2]stock-take'!$A:$E,4,FALSE)), "OUT OF STOCK", VLOOKUP(D1200,'[2]stock-take'!$A:$E,4,FALSE)))</f>
        <v xml:space="preserve"> </v>
      </c>
      <c r="H1200" s="48">
        <f>IF(ISNA(VLOOKUP(D1200,'[2]stock-take'!$A:$E,3,FALSE)), 0, VLOOKUP(D1200,'[2]stock-take'!$A:$E,3,FALSE))</f>
        <v>0</v>
      </c>
      <c r="I1200" s="48" t="str">
        <f>IF(F1200="", " ",IF(ISNA(VLOOKUP(D1200,'[2]stock-take'!$G:$K,4,FALSE)), "OUT OF STOCK", VLOOKUP(D1200,'[2]stock-take'!$G:$K,4,FALSE)))</f>
        <v xml:space="preserve"> </v>
      </c>
      <c r="J1200" s="39">
        <f>IF(ISNA(VLOOKUP(D1200,'[2]stock-take'!$G:$K,3,FALSE)), 0, VLOOKUP(D1200,'[2]stock-take'!$G:$K,3,FALSE))</f>
        <v>0</v>
      </c>
      <c r="K1200" s="49" t="str">
        <f>IF(F1200="", " ", IF(ISNA(VLOOKUP(D1200,'[2]stock-take'!$M:$Q,4,FALSE)), "OUT OF STOCK", VLOOKUP(D1200,'[2]stock-take'!$M:$Q,4,FALSE)))</f>
        <v xml:space="preserve"> </v>
      </c>
      <c r="L1200" s="47">
        <f>IF(ISNA(VLOOKUP(D1200,'[2]stock-take'!$M:$Q,3,FALSE)), 0, VLOOKUP(D1200,'[2]stock-take'!$M:$Q,3,FALSE))</f>
        <v>0</v>
      </c>
      <c r="M1200" s="48" t="str">
        <f t="shared" si="55"/>
        <v xml:space="preserve"> </v>
      </c>
      <c r="N1200" s="39" t="str">
        <f t="shared" si="56"/>
        <v xml:space="preserve"> </v>
      </c>
    </row>
    <row r="1201" spans="1:14">
      <c r="A1201" s="37">
        <f t="shared" si="54"/>
        <v>1190</v>
      </c>
      <c r="G1201" s="48" t="str">
        <f>IF(F1201=""," ",IF(ISNA(VLOOKUP(D1201,'[2]stock-take'!$A:$E,4,FALSE)), "OUT OF STOCK", VLOOKUP(D1201,'[2]stock-take'!$A:$E,4,FALSE)))</f>
        <v xml:space="preserve"> </v>
      </c>
      <c r="H1201" s="48">
        <f>IF(ISNA(VLOOKUP(D1201,'[2]stock-take'!$A:$E,3,FALSE)), 0, VLOOKUP(D1201,'[2]stock-take'!$A:$E,3,FALSE))</f>
        <v>0</v>
      </c>
      <c r="I1201" s="48" t="str">
        <f>IF(F1201="", " ",IF(ISNA(VLOOKUP(D1201,'[2]stock-take'!$G:$K,4,FALSE)), "OUT OF STOCK", VLOOKUP(D1201,'[2]stock-take'!$G:$K,4,FALSE)))</f>
        <v xml:space="preserve"> </v>
      </c>
      <c r="J1201" s="39">
        <f>IF(ISNA(VLOOKUP(D1201,'[2]stock-take'!$G:$K,3,FALSE)), 0, VLOOKUP(D1201,'[2]stock-take'!$G:$K,3,FALSE))</f>
        <v>0</v>
      </c>
      <c r="K1201" s="49" t="str">
        <f>IF(F1201="", " ", IF(ISNA(VLOOKUP(D1201,'[2]stock-take'!$M:$Q,4,FALSE)), "OUT OF STOCK", VLOOKUP(D1201,'[2]stock-take'!$M:$Q,4,FALSE)))</f>
        <v xml:space="preserve"> </v>
      </c>
      <c r="L1201" s="47">
        <f>IF(ISNA(VLOOKUP(D1201,'[2]stock-take'!$M:$Q,3,FALSE)), 0, VLOOKUP(D1201,'[2]stock-take'!$M:$Q,3,FALSE))</f>
        <v>0</v>
      </c>
      <c r="M1201" s="48" t="str">
        <f t="shared" si="55"/>
        <v xml:space="preserve"> </v>
      </c>
      <c r="N1201" s="39" t="str">
        <f t="shared" si="56"/>
        <v xml:space="preserve"> </v>
      </c>
    </row>
    <row r="1202" spans="1:14">
      <c r="A1202" s="37">
        <f t="shared" si="54"/>
        <v>1191</v>
      </c>
      <c r="G1202" s="48" t="str">
        <f>IF(F1202=""," ",IF(ISNA(VLOOKUP(D1202,'[2]stock-take'!$A:$E,4,FALSE)), "OUT OF STOCK", VLOOKUP(D1202,'[2]stock-take'!$A:$E,4,FALSE)))</f>
        <v xml:space="preserve"> </v>
      </c>
      <c r="H1202" s="48">
        <f>IF(ISNA(VLOOKUP(D1202,'[2]stock-take'!$A:$E,3,FALSE)), 0, VLOOKUP(D1202,'[2]stock-take'!$A:$E,3,FALSE))</f>
        <v>0</v>
      </c>
      <c r="I1202" s="48" t="str">
        <f>IF(F1202="", " ",IF(ISNA(VLOOKUP(D1202,'[2]stock-take'!$G:$K,4,FALSE)), "OUT OF STOCK", VLOOKUP(D1202,'[2]stock-take'!$G:$K,4,FALSE)))</f>
        <v xml:space="preserve"> </v>
      </c>
      <c r="J1202" s="39">
        <f>IF(ISNA(VLOOKUP(D1202,'[2]stock-take'!$G:$K,3,FALSE)), 0, VLOOKUP(D1202,'[2]stock-take'!$G:$K,3,FALSE))</f>
        <v>0</v>
      </c>
      <c r="K1202" s="49" t="str">
        <f>IF(F1202="", " ", IF(ISNA(VLOOKUP(D1202,'[2]stock-take'!$M:$Q,4,FALSE)), "OUT OF STOCK", VLOOKUP(D1202,'[2]stock-take'!$M:$Q,4,FALSE)))</f>
        <v xml:space="preserve"> </v>
      </c>
      <c r="L1202" s="47">
        <f>IF(ISNA(VLOOKUP(D1202,'[2]stock-take'!$M:$Q,3,FALSE)), 0, VLOOKUP(D1202,'[2]stock-take'!$M:$Q,3,FALSE))</f>
        <v>0</v>
      </c>
      <c r="M1202" s="48" t="str">
        <f t="shared" si="55"/>
        <v xml:space="preserve"> </v>
      </c>
      <c r="N1202" s="39" t="str">
        <f t="shared" si="56"/>
        <v xml:space="preserve"> </v>
      </c>
    </row>
    <row r="1203" spans="1:14">
      <c r="A1203" s="37">
        <f t="shared" si="54"/>
        <v>1192</v>
      </c>
      <c r="G1203" s="48" t="str">
        <f>IF(F1203=""," ",IF(ISNA(VLOOKUP(D1203,'[2]stock-take'!$A:$E,4,FALSE)), "OUT OF STOCK", VLOOKUP(D1203,'[2]stock-take'!$A:$E,4,FALSE)))</f>
        <v xml:space="preserve"> </v>
      </c>
      <c r="H1203" s="48">
        <f>IF(ISNA(VLOOKUP(D1203,'[2]stock-take'!$A:$E,3,FALSE)), 0, VLOOKUP(D1203,'[2]stock-take'!$A:$E,3,FALSE))</f>
        <v>0</v>
      </c>
      <c r="I1203" s="48" t="str">
        <f>IF(F1203="", " ",IF(ISNA(VLOOKUP(D1203,'[2]stock-take'!$G:$K,4,FALSE)), "OUT OF STOCK", VLOOKUP(D1203,'[2]stock-take'!$G:$K,4,FALSE)))</f>
        <v xml:space="preserve"> </v>
      </c>
      <c r="J1203" s="39">
        <f>IF(ISNA(VLOOKUP(D1203,'[2]stock-take'!$G:$K,3,FALSE)), 0, VLOOKUP(D1203,'[2]stock-take'!$G:$K,3,FALSE))</f>
        <v>0</v>
      </c>
      <c r="K1203" s="49" t="str">
        <f>IF(F1203="", " ", IF(ISNA(VLOOKUP(D1203,'[2]stock-take'!$M:$Q,4,FALSE)), "OUT OF STOCK", VLOOKUP(D1203,'[2]stock-take'!$M:$Q,4,FALSE)))</f>
        <v xml:space="preserve"> </v>
      </c>
      <c r="L1203" s="47">
        <f>IF(ISNA(VLOOKUP(D1203,'[2]stock-take'!$M:$Q,3,FALSE)), 0, VLOOKUP(D1203,'[2]stock-take'!$M:$Q,3,FALSE))</f>
        <v>0</v>
      </c>
      <c r="M1203" s="48" t="str">
        <f t="shared" si="55"/>
        <v xml:space="preserve"> </v>
      </c>
      <c r="N1203" s="39" t="str">
        <f t="shared" si="56"/>
        <v xml:space="preserve"> </v>
      </c>
    </row>
    <row r="1204" spans="1:14">
      <c r="A1204" s="37">
        <f t="shared" si="54"/>
        <v>1193</v>
      </c>
      <c r="G1204" s="48" t="str">
        <f>IF(F1204=""," ",IF(ISNA(VLOOKUP(D1204,'[2]stock-take'!$A:$E,4,FALSE)), "OUT OF STOCK", VLOOKUP(D1204,'[2]stock-take'!$A:$E,4,FALSE)))</f>
        <v xml:space="preserve"> </v>
      </c>
      <c r="H1204" s="48">
        <f>IF(ISNA(VLOOKUP(D1204,'[2]stock-take'!$A:$E,3,FALSE)), 0, VLOOKUP(D1204,'[2]stock-take'!$A:$E,3,FALSE))</f>
        <v>0</v>
      </c>
      <c r="I1204" s="48" t="str">
        <f>IF(F1204="", " ",IF(ISNA(VLOOKUP(D1204,'[2]stock-take'!$G:$K,4,FALSE)), "OUT OF STOCK", VLOOKUP(D1204,'[2]stock-take'!$G:$K,4,FALSE)))</f>
        <v xml:space="preserve"> </v>
      </c>
      <c r="J1204" s="39">
        <f>IF(ISNA(VLOOKUP(D1204,'[2]stock-take'!$G:$K,3,FALSE)), 0, VLOOKUP(D1204,'[2]stock-take'!$G:$K,3,FALSE))</f>
        <v>0</v>
      </c>
      <c r="K1204" s="49" t="str">
        <f>IF(F1204="", " ", IF(ISNA(VLOOKUP(D1204,'[2]stock-take'!$M:$Q,4,FALSE)), "OUT OF STOCK", VLOOKUP(D1204,'[2]stock-take'!$M:$Q,4,FALSE)))</f>
        <v xml:space="preserve"> </v>
      </c>
      <c r="L1204" s="47">
        <f>IF(ISNA(VLOOKUP(D1204,'[2]stock-take'!$M:$Q,3,FALSE)), 0, VLOOKUP(D1204,'[2]stock-take'!$M:$Q,3,FALSE))</f>
        <v>0</v>
      </c>
      <c r="M1204" s="48" t="str">
        <f t="shared" si="55"/>
        <v xml:space="preserve"> </v>
      </c>
      <c r="N1204" s="39" t="str">
        <f t="shared" si="56"/>
        <v xml:space="preserve"> </v>
      </c>
    </row>
    <row r="1205" spans="1:14">
      <c r="A1205" s="37">
        <f t="shared" si="54"/>
        <v>1194</v>
      </c>
      <c r="G1205" s="48" t="str">
        <f>IF(F1205=""," ",IF(ISNA(VLOOKUP(D1205,'[2]stock-take'!$A:$E,4,FALSE)), "OUT OF STOCK", VLOOKUP(D1205,'[2]stock-take'!$A:$E,4,FALSE)))</f>
        <v xml:space="preserve"> </v>
      </c>
      <c r="H1205" s="48">
        <f>IF(ISNA(VLOOKUP(D1205,'[2]stock-take'!$A:$E,3,FALSE)), 0, VLOOKUP(D1205,'[2]stock-take'!$A:$E,3,FALSE))</f>
        <v>0</v>
      </c>
      <c r="I1205" s="48" t="str">
        <f>IF(F1205="", " ",IF(ISNA(VLOOKUP(D1205,'[2]stock-take'!$G:$K,4,FALSE)), "OUT OF STOCK", VLOOKUP(D1205,'[2]stock-take'!$G:$K,4,FALSE)))</f>
        <v xml:space="preserve"> </v>
      </c>
      <c r="J1205" s="39">
        <f>IF(ISNA(VLOOKUP(D1205,'[2]stock-take'!$G:$K,3,FALSE)), 0, VLOOKUP(D1205,'[2]stock-take'!$G:$K,3,FALSE))</f>
        <v>0</v>
      </c>
      <c r="K1205" s="49" t="str">
        <f>IF(F1205="", " ", IF(ISNA(VLOOKUP(D1205,'[2]stock-take'!$M:$Q,4,FALSE)), "OUT OF STOCK", VLOOKUP(D1205,'[2]stock-take'!$M:$Q,4,FALSE)))</f>
        <v xml:space="preserve"> </v>
      </c>
      <c r="L1205" s="47">
        <f>IF(ISNA(VLOOKUP(D1205,'[2]stock-take'!$M:$Q,3,FALSE)), 0, VLOOKUP(D1205,'[2]stock-take'!$M:$Q,3,FALSE))</f>
        <v>0</v>
      </c>
      <c r="M1205" s="48" t="str">
        <f t="shared" si="55"/>
        <v xml:space="preserve"> </v>
      </c>
      <c r="N1205" s="39" t="str">
        <f t="shared" si="56"/>
        <v xml:space="preserve"> </v>
      </c>
    </row>
    <row r="1206" spans="1:14">
      <c r="A1206" s="37">
        <f t="shared" si="54"/>
        <v>1195</v>
      </c>
      <c r="G1206" s="48" t="str">
        <f>IF(F1206=""," ",IF(ISNA(VLOOKUP(D1206,'[2]stock-take'!$A:$E,4,FALSE)), "OUT OF STOCK", VLOOKUP(D1206,'[2]stock-take'!$A:$E,4,FALSE)))</f>
        <v xml:space="preserve"> </v>
      </c>
      <c r="H1206" s="48">
        <f>IF(ISNA(VLOOKUP(D1206,'[2]stock-take'!$A:$E,3,FALSE)), 0, VLOOKUP(D1206,'[2]stock-take'!$A:$E,3,FALSE))</f>
        <v>0</v>
      </c>
      <c r="I1206" s="48" t="str">
        <f>IF(F1206="", " ",IF(ISNA(VLOOKUP(D1206,'[2]stock-take'!$G:$K,4,FALSE)), "OUT OF STOCK", VLOOKUP(D1206,'[2]stock-take'!$G:$K,4,FALSE)))</f>
        <v xml:space="preserve"> </v>
      </c>
      <c r="J1206" s="39">
        <f>IF(ISNA(VLOOKUP(D1206,'[2]stock-take'!$G:$K,3,FALSE)), 0, VLOOKUP(D1206,'[2]stock-take'!$G:$K,3,FALSE))</f>
        <v>0</v>
      </c>
      <c r="K1206" s="49" t="str">
        <f>IF(F1206="", " ", IF(ISNA(VLOOKUP(D1206,'[2]stock-take'!$M:$Q,4,FALSE)), "OUT OF STOCK", VLOOKUP(D1206,'[2]stock-take'!$M:$Q,4,FALSE)))</f>
        <v xml:space="preserve"> </v>
      </c>
      <c r="L1206" s="47">
        <f>IF(ISNA(VLOOKUP(D1206,'[2]stock-take'!$M:$Q,3,FALSE)), 0, VLOOKUP(D1206,'[2]stock-take'!$M:$Q,3,FALSE))</f>
        <v>0</v>
      </c>
      <c r="M1206" s="48" t="str">
        <f t="shared" si="55"/>
        <v xml:space="preserve"> </v>
      </c>
      <c r="N1206" s="39" t="str">
        <f t="shared" si="56"/>
        <v xml:space="preserve"> </v>
      </c>
    </row>
    <row r="1207" spans="1:14">
      <c r="A1207" s="37">
        <f t="shared" si="54"/>
        <v>1196</v>
      </c>
      <c r="G1207" s="48" t="str">
        <f>IF(F1207=""," ",IF(ISNA(VLOOKUP(D1207,'[2]stock-take'!$A:$E,4,FALSE)), "OUT OF STOCK", VLOOKUP(D1207,'[2]stock-take'!$A:$E,4,FALSE)))</f>
        <v xml:space="preserve"> </v>
      </c>
      <c r="H1207" s="48">
        <f>IF(ISNA(VLOOKUP(D1207,'[2]stock-take'!$A:$E,3,FALSE)), 0, VLOOKUP(D1207,'[2]stock-take'!$A:$E,3,FALSE))</f>
        <v>0</v>
      </c>
      <c r="I1207" s="48" t="str">
        <f>IF(F1207="", " ",IF(ISNA(VLOOKUP(D1207,'[2]stock-take'!$G:$K,4,FALSE)), "OUT OF STOCK", VLOOKUP(D1207,'[2]stock-take'!$G:$K,4,FALSE)))</f>
        <v xml:space="preserve"> </v>
      </c>
      <c r="J1207" s="39">
        <f>IF(ISNA(VLOOKUP(D1207,'[2]stock-take'!$G:$K,3,FALSE)), 0, VLOOKUP(D1207,'[2]stock-take'!$G:$K,3,FALSE))</f>
        <v>0</v>
      </c>
      <c r="K1207" s="49" t="str">
        <f>IF(F1207="", " ", IF(ISNA(VLOOKUP(D1207,'[2]stock-take'!$M:$Q,4,FALSE)), "OUT OF STOCK", VLOOKUP(D1207,'[2]stock-take'!$M:$Q,4,FALSE)))</f>
        <v xml:space="preserve"> </v>
      </c>
      <c r="L1207" s="47">
        <f>IF(ISNA(VLOOKUP(D1207,'[2]stock-take'!$M:$Q,3,FALSE)), 0, VLOOKUP(D1207,'[2]stock-take'!$M:$Q,3,FALSE))</f>
        <v>0</v>
      </c>
      <c r="M1207" s="48" t="str">
        <f t="shared" si="55"/>
        <v xml:space="preserve"> </v>
      </c>
      <c r="N1207" s="39" t="str">
        <f t="shared" si="56"/>
        <v xml:space="preserve"> </v>
      </c>
    </row>
    <row r="1208" spans="1:14">
      <c r="A1208" s="37">
        <f t="shared" si="54"/>
        <v>1197</v>
      </c>
      <c r="G1208" s="48" t="str">
        <f>IF(F1208=""," ",IF(ISNA(VLOOKUP(D1208,'[2]stock-take'!$A:$E,4,FALSE)), "OUT OF STOCK", VLOOKUP(D1208,'[2]stock-take'!$A:$E,4,FALSE)))</f>
        <v xml:space="preserve"> </v>
      </c>
      <c r="H1208" s="48">
        <f>IF(ISNA(VLOOKUP(D1208,'[2]stock-take'!$A:$E,3,FALSE)), 0, VLOOKUP(D1208,'[2]stock-take'!$A:$E,3,FALSE))</f>
        <v>0</v>
      </c>
      <c r="I1208" s="48" t="str">
        <f>IF(F1208="", " ",IF(ISNA(VLOOKUP(D1208,'[2]stock-take'!$G:$K,4,FALSE)), "OUT OF STOCK", VLOOKUP(D1208,'[2]stock-take'!$G:$K,4,FALSE)))</f>
        <v xml:space="preserve"> </v>
      </c>
      <c r="J1208" s="39">
        <f>IF(ISNA(VLOOKUP(D1208,'[2]stock-take'!$G:$K,3,FALSE)), 0, VLOOKUP(D1208,'[2]stock-take'!$G:$K,3,FALSE))</f>
        <v>0</v>
      </c>
      <c r="K1208" s="49" t="str">
        <f>IF(F1208="", " ", IF(ISNA(VLOOKUP(D1208,'[2]stock-take'!$M:$Q,4,FALSE)), "OUT OF STOCK", VLOOKUP(D1208,'[2]stock-take'!$M:$Q,4,FALSE)))</f>
        <v xml:space="preserve"> </v>
      </c>
      <c r="L1208" s="47">
        <f>IF(ISNA(VLOOKUP(D1208,'[2]stock-take'!$M:$Q,3,FALSE)), 0, VLOOKUP(D1208,'[2]stock-take'!$M:$Q,3,FALSE))</f>
        <v>0</v>
      </c>
      <c r="M1208" s="48" t="str">
        <f t="shared" si="55"/>
        <v xml:space="preserve"> </v>
      </c>
      <c r="N1208" s="39" t="str">
        <f t="shared" si="56"/>
        <v xml:space="preserve"> </v>
      </c>
    </row>
    <row r="1209" spans="1:14">
      <c r="A1209" s="37">
        <f t="shared" si="54"/>
        <v>1198</v>
      </c>
      <c r="G1209" s="48" t="str">
        <f>IF(F1209=""," ",IF(ISNA(VLOOKUP(D1209,'[2]stock-take'!$A:$E,4,FALSE)), "OUT OF STOCK", VLOOKUP(D1209,'[2]stock-take'!$A:$E,4,FALSE)))</f>
        <v xml:space="preserve"> </v>
      </c>
      <c r="H1209" s="48">
        <f>IF(ISNA(VLOOKUP(D1209,'[2]stock-take'!$A:$E,3,FALSE)), 0, VLOOKUP(D1209,'[2]stock-take'!$A:$E,3,FALSE))</f>
        <v>0</v>
      </c>
      <c r="I1209" s="48" t="str">
        <f>IF(F1209="", " ",IF(ISNA(VLOOKUP(D1209,'[2]stock-take'!$G:$K,4,FALSE)), "OUT OF STOCK", VLOOKUP(D1209,'[2]stock-take'!$G:$K,4,FALSE)))</f>
        <v xml:space="preserve"> </v>
      </c>
      <c r="J1209" s="39">
        <f>IF(ISNA(VLOOKUP(D1209,'[2]stock-take'!$G:$K,3,FALSE)), 0, VLOOKUP(D1209,'[2]stock-take'!$G:$K,3,FALSE))</f>
        <v>0</v>
      </c>
      <c r="K1209" s="49" t="str">
        <f>IF(F1209="", " ", IF(ISNA(VLOOKUP(D1209,'[2]stock-take'!$M:$Q,4,FALSE)), "OUT OF STOCK", VLOOKUP(D1209,'[2]stock-take'!$M:$Q,4,FALSE)))</f>
        <v xml:space="preserve"> </v>
      </c>
      <c r="L1209" s="47">
        <f>IF(ISNA(VLOOKUP(D1209,'[2]stock-take'!$M:$Q,3,FALSE)), 0, VLOOKUP(D1209,'[2]stock-take'!$M:$Q,3,FALSE))</f>
        <v>0</v>
      </c>
      <c r="M1209" s="48" t="str">
        <f t="shared" si="55"/>
        <v xml:space="preserve"> </v>
      </c>
      <c r="N1209" s="39" t="str">
        <f t="shared" si="56"/>
        <v xml:space="preserve"> </v>
      </c>
    </row>
    <row r="1210" spans="1:14">
      <c r="A1210" s="37">
        <f t="shared" si="54"/>
        <v>1199</v>
      </c>
      <c r="G1210" s="48" t="str">
        <f>IF(F1210=""," ",IF(ISNA(VLOOKUP(D1210,'[2]stock-take'!$A:$E,4,FALSE)), "OUT OF STOCK", VLOOKUP(D1210,'[2]stock-take'!$A:$E,4,FALSE)))</f>
        <v xml:space="preserve"> </v>
      </c>
      <c r="H1210" s="48">
        <f>IF(ISNA(VLOOKUP(D1210,'[2]stock-take'!$A:$E,3,FALSE)), 0, VLOOKUP(D1210,'[2]stock-take'!$A:$E,3,FALSE))</f>
        <v>0</v>
      </c>
      <c r="I1210" s="48" t="str">
        <f>IF(F1210="", " ",IF(ISNA(VLOOKUP(D1210,'[2]stock-take'!$G:$K,4,FALSE)), "OUT OF STOCK", VLOOKUP(D1210,'[2]stock-take'!$G:$K,4,FALSE)))</f>
        <v xml:space="preserve"> </v>
      </c>
      <c r="J1210" s="39">
        <f>IF(ISNA(VLOOKUP(D1210,'[2]stock-take'!$G:$K,3,FALSE)), 0, VLOOKUP(D1210,'[2]stock-take'!$G:$K,3,FALSE))</f>
        <v>0</v>
      </c>
      <c r="K1210" s="49" t="str">
        <f>IF(F1210="", " ", IF(ISNA(VLOOKUP(D1210,'[2]stock-take'!$M:$Q,4,FALSE)), "OUT OF STOCK", VLOOKUP(D1210,'[2]stock-take'!$M:$Q,4,FALSE)))</f>
        <v xml:space="preserve"> </v>
      </c>
      <c r="L1210" s="47">
        <f>IF(ISNA(VLOOKUP(D1210,'[2]stock-take'!$M:$Q,3,FALSE)), 0, VLOOKUP(D1210,'[2]stock-take'!$M:$Q,3,FALSE))</f>
        <v>0</v>
      </c>
      <c r="M1210" s="48" t="str">
        <f t="shared" si="55"/>
        <v xml:space="preserve"> </v>
      </c>
      <c r="N1210" s="39" t="str">
        <f t="shared" si="56"/>
        <v xml:space="preserve"> </v>
      </c>
    </row>
    <row r="1211" spans="1:14">
      <c r="A1211" s="37">
        <f t="shared" si="54"/>
        <v>1200</v>
      </c>
      <c r="G1211" s="48" t="str">
        <f>IF(F1211=""," ",IF(ISNA(VLOOKUP(D1211,'[2]stock-take'!$A:$E,4,FALSE)), "OUT OF STOCK", VLOOKUP(D1211,'[2]stock-take'!$A:$E,4,FALSE)))</f>
        <v xml:space="preserve"> </v>
      </c>
      <c r="H1211" s="48">
        <f>IF(ISNA(VLOOKUP(D1211,'[2]stock-take'!$A:$E,3,FALSE)), 0, VLOOKUP(D1211,'[2]stock-take'!$A:$E,3,FALSE))</f>
        <v>0</v>
      </c>
      <c r="I1211" s="48" t="str">
        <f>IF(F1211="", " ",IF(ISNA(VLOOKUP(D1211,'[2]stock-take'!$G:$K,4,FALSE)), "OUT OF STOCK", VLOOKUP(D1211,'[2]stock-take'!$G:$K,4,FALSE)))</f>
        <v xml:space="preserve"> </v>
      </c>
      <c r="J1211" s="39">
        <f>IF(ISNA(VLOOKUP(D1211,'[2]stock-take'!$G:$K,3,FALSE)), 0, VLOOKUP(D1211,'[2]stock-take'!$G:$K,3,FALSE))</f>
        <v>0</v>
      </c>
      <c r="K1211" s="49" t="str">
        <f>IF(F1211="", " ", IF(ISNA(VLOOKUP(D1211,'[2]stock-take'!$M:$Q,4,FALSE)), "OUT OF STOCK", VLOOKUP(D1211,'[2]stock-take'!$M:$Q,4,FALSE)))</f>
        <v xml:space="preserve"> </v>
      </c>
      <c r="L1211" s="47">
        <f>IF(ISNA(VLOOKUP(D1211,'[2]stock-take'!$M:$Q,3,FALSE)), 0, VLOOKUP(D1211,'[2]stock-take'!$M:$Q,3,FALSE))</f>
        <v>0</v>
      </c>
      <c r="M1211" s="48" t="str">
        <f t="shared" si="55"/>
        <v xml:space="preserve"> </v>
      </c>
      <c r="N1211" s="39" t="str">
        <f t="shared" si="56"/>
        <v xml:space="preserve"> </v>
      </c>
    </row>
    <row r="1212" spans="1:14">
      <c r="A1212" s="37">
        <f t="shared" si="54"/>
        <v>1201</v>
      </c>
      <c r="G1212" s="48" t="str">
        <f>IF(F1212=""," ",IF(ISNA(VLOOKUP(D1212,'[2]stock-take'!$A:$E,4,FALSE)), "OUT OF STOCK", VLOOKUP(D1212,'[2]stock-take'!$A:$E,4,FALSE)))</f>
        <v xml:space="preserve"> </v>
      </c>
      <c r="H1212" s="48">
        <f>IF(ISNA(VLOOKUP(D1212,'[2]stock-take'!$A:$E,3,FALSE)), 0, VLOOKUP(D1212,'[2]stock-take'!$A:$E,3,FALSE))</f>
        <v>0</v>
      </c>
      <c r="I1212" s="48" t="str">
        <f>IF(F1212="", " ",IF(ISNA(VLOOKUP(D1212,'[2]stock-take'!$G:$K,4,FALSE)), "OUT OF STOCK", VLOOKUP(D1212,'[2]stock-take'!$G:$K,4,FALSE)))</f>
        <v xml:space="preserve"> </v>
      </c>
      <c r="J1212" s="39">
        <f>IF(ISNA(VLOOKUP(D1212,'[2]stock-take'!$G:$K,3,FALSE)), 0, VLOOKUP(D1212,'[2]stock-take'!$G:$K,3,FALSE))</f>
        <v>0</v>
      </c>
      <c r="K1212" s="49" t="str">
        <f>IF(F1212="", " ", IF(ISNA(VLOOKUP(D1212,'[2]stock-take'!$M:$Q,4,FALSE)), "OUT OF STOCK", VLOOKUP(D1212,'[2]stock-take'!$M:$Q,4,FALSE)))</f>
        <v xml:space="preserve"> </v>
      </c>
      <c r="L1212" s="47">
        <f>IF(ISNA(VLOOKUP(D1212,'[2]stock-take'!$M:$Q,3,FALSE)), 0, VLOOKUP(D1212,'[2]stock-take'!$M:$Q,3,FALSE))</f>
        <v>0</v>
      </c>
      <c r="M1212" s="48" t="str">
        <f t="shared" si="55"/>
        <v xml:space="preserve"> </v>
      </c>
      <c r="N1212" s="39" t="str">
        <f t="shared" si="56"/>
        <v xml:space="preserve"> </v>
      </c>
    </row>
    <row r="1213" spans="1:14">
      <c r="A1213" s="37">
        <f t="shared" si="54"/>
        <v>1202</v>
      </c>
      <c r="G1213" s="48" t="str">
        <f>IF(F1213=""," ",IF(ISNA(VLOOKUP(D1213,'[2]stock-take'!$A:$E,4,FALSE)), "OUT OF STOCK", VLOOKUP(D1213,'[2]stock-take'!$A:$E,4,FALSE)))</f>
        <v xml:space="preserve"> </v>
      </c>
      <c r="H1213" s="48">
        <f>IF(ISNA(VLOOKUP(D1213,'[2]stock-take'!$A:$E,3,FALSE)), 0, VLOOKUP(D1213,'[2]stock-take'!$A:$E,3,FALSE))</f>
        <v>0</v>
      </c>
      <c r="I1213" s="48" t="str">
        <f>IF(F1213="", " ",IF(ISNA(VLOOKUP(D1213,'[2]stock-take'!$G:$K,4,FALSE)), "OUT OF STOCK", VLOOKUP(D1213,'[2]stock-take'!$G:$K,4,FALSE)))</f>
        <v xml:space="preserve"> </v>
      </c>
      <c r="J1213" s="39">
        <f>IF(ISNA(VLOOKUP(D1213,'[2]stock-take'!$G:$K,3,FALSE)), 0, VLOOKUP(D1213,'[2]stock-take'!$G:$K,3,FALSE))</f>
        <v>0</v>
      </c>
      <c r="K1213" s="49" t="str">
        <f>IF(F1213="", " ", IF(ISNA(VLOOKUP(D1213,'[2]stock-take'!$M:$Q,4,FALSE)), "OUT OF STOCK", VLOOKUP(D1213,'[2]stock-take'!$M:$Q,4,FALSE)))</f>
        <v xml:space="preserve"> </v>
      </c>
      <c r="L1213" s="47">
        <f>IF(ISNA(VLOOKUP(D1213,'[2]stock-take'!$M:$Q,3,FALSE)), 0, VLOOKUP(D1213,'[2]stock-take'!$M:$Q,3,FALSE))</f>
        <v>0</v>
      </c>
      <c r="M1213" s="48" t="str">
        <f t="shared" si="55"/>
        <v xml:space="preserve"> </v>
      </c>
      <c r="N1213" s="39" t="str">
        <f t="shared" si="56"/>
        <v xml:space="preserve"> </v>
      </c>
    </row>
    <row r="1214" spans="1:14">
      <c r="A1214" s="37">
        <f t="shared" si="54"/>
        <v>1203</v>
      </c>
      <c r="G1214" s="48" t="str">
        <f>IF(F1214=""," ",IF(ISNA(VLOOKUP(D1214,'[2]stock-take'!$A:$E,4,FALSE)), "OUT OF STOCK", VLOOKUP(D1214,'[2]stock-take'!$A:$E,4,FALSE)))</f>
        <v xml:space="preserve"> </v>
      </c>
      <c r="H1214" s="48">
        <f>IF(ISNA(VLOOKUP(D1214,'[2]stock-take'!$A:$E,3,FALSE)), 0, VLOOKUP(D1214,'[2]stock-take'!$A:$E,3,FALSE))</f>
        <v>0</v>
      </c>
      <c r="I1214" s="48" t="str">
        <f>IF(F1214="", " ",IF(ISNA(VLOOKUP(D1214,'[2]stock-take'!$G:$K,4,FALSE)), "OUT OF STOCK", VLOOKUP(D1214,'[2]stock-take'!$G:$K,4,FALSE)))</f>
        <v xml:space="preserve"> </v>
      </c>
      <c r="J1214" s="39">
        <f>IF(ISNA(VLOOKUP(D1214,'[2]stock-take'!$G:$K,3,FALSE)), 0, VLOOKUP(D1214,'[2]stock-take'!$G:$K,3,FALSE))</f>
        <v>0</v>
      </c>
      <c r="K1214" s="49" t="str">
        <f>IF(F1214="", " ", IF(ISNA(VLOOKUP(D1214,'[2]stock-take'!$M:$Q,4,FALSE)), "OUT OF STOCK", VLOOKUP(D1214,'[2]stock-take'!$M:$Q,4,FALSE)))</f>
        <v xml:space="preserve"> </v>
      </c>
      <c r="L1214" s="47">
        <f>IF(ISNA(VLOOKUP(D1214,'[2]stock-take'!$M:$Q,3,FALSE)), 0, VLOOKUP(D1214,'[2]stock-take'!$M:$Q,3,FALSE))</f>
        <v>0</v>
      </c>
      <c r="M1214" s="48" t="str">
        <f t="shared" si="55"/>
        <v xml:space="preserve"> </v>
      </c>
      <c r="N1214" s="39" t="str">
        <f t="shared" si="56"/>
        <v xml:space="preserve"> </v>
      </c>
    </row>
    <row r="1215" spans="1:14">
      <c r="A1215" s="37">
        <f t="shared" si="54"/>
        <v>1204</v>
      </c>
      <c r="G1215" s="48" t="str">
        <f>IF(F1215=""," ",IF(ISNA(VLOOKUP(D1215,'[2]stock-take'!$A:$E,4,FALSE)), "OUT OF STOCK", VLOOKUP(D1215,'[2]stock-take'!$A:$E,4,FALSE)))</f>
        <v xml:space="preserve"> </v>
      </c>
      <c r="H1215" s="48">
        <f>IF(ISNA(VLOOKUP(D1215,'[2]stock-take'!$A:$E,3,FALSE)), 0, VLOOKUP(D1215,'[2]stock-take'!$A:$E,3,FALSE))</f>
        <v>0</v>
      </c>
      <c r="I1215" s="48" t="str">
        <f>IF(F1215="", " ",IF(ISNA(VLOOKUP(D1215,'[2]stock-take'!$G:$K,4,FALSE)), "OUT OF STOCK", VLOOKUP(D1215,'[2]stock-take'!$G:$K,4,FALSE)))</f>
        <v xml:space="preserve"> </v>
      </c>
      <c r="J1215" s="39">
        <f>IF(ISNA(VLOOKUP(D1215,'[2]stock-take'!$G:$K,3,FALSE)), 0, VLOOKUP(D1215,'[2]stock-take'!$G:$K,3,FALSE))</f>
        <v>0</v>
      </c>
      <c r="K1215" s="49" t="str">
        <f>IF(F1215="", " ", IF(ISNA(VLOOKUP(D1215,'[2]stock-take'!$M:$Q,4,FALSE)), "OUT OF STOCK", VLOOKUP(D1215,'[2]stock-take'!$M:$Q,4,FALSE)))</f>
        <v xml:space="preserve"> </v>
      </c>
      <c r="L1215" s="47">
        <f>IF(ISNA(VLOOKUP(D1215,'[2]stock-take'!$M:$Q,3,FALSE)), 0, VLOOKUP(D1215,'[2]stock-take'!$M:$Q,3,FALSE))</f>
        <v>0</v>
      </c>
      <c r="M1215" s="48" t="str">
        <f t="shared" si="55"/>
        <v xml:space="preserve"> </v>
      </c>
      <c r="N1215" s="39" t="str">
        <f t="shared" si="56"/>
        <v xml:space="preserve"> </v>
      </c>
    </row>
    <row r="1216" spans="1:14">
      <c r="A1216" s="37">
        <f t="shared" si="54"/>
        <v>1205</v>
      </c>
      <c r="G1216" s="48" t="str">
        <f>IF(F1216=""," ",IF(ISNA(VLOOKUP(D1216,'[2]stock-take'!$A:$E,4,FALSE)), "OUT OF STOCK", VLOOKUP(D1216,'[2]stock-take'!$A:$E,4,FALSE)))</f>
        <v xml:space="preserve"> </v>
      </c>
      <c r="H1216" s="48">
        <f>IF(ISNA(VLOOKUP(D1216,'[2]stock-take'!$A:$E,3,FALSE)), 0, VLOOKUP(D1216,'[2]stock-take'!$A:$E,3,FALSE))</f>
        <v>0</v>
      </c>
      <c r="I1216" s="48" t="str">
        <f>IF(F1216="", " ",IF(ISNA(VLOOKUP(D1216,'[2]stock-take'!$G:$K,4,FALSE)), "OUT OF STOCK", VLOOKUP(D1216,'[2]stock-take'!$G:$K,4,FALSE)))</f>
        <v xml:space="preserve"> </v>
      </c>
      <c r="J1216" s="39">
        <f>IF(ISNA(VLOOKUP(D1216,'[2]stock-take'!$G:$K,3,FALSE)), 0, VLOOKUP(D1216,'[2]stock-take'!$G:$K,3,FALSE))</f>
        <v>0</v>
      </c>
      <c r="K1216" s="49" t="str">
        <f>IF(F1216="", " ", IF(ISNA(VLOOKUP(D1216,'[2]stock-take'!$M:$Q,4,FALSE)), "OUT OF STOCK", VLOOKUP(D1216,'[2]stock-take'!$M:$Q,4,FALSE)))</f>
        <v xml:space="preserve"> </v>
      </c>
      <c r="L1216" s="47">
        <f>IF(ISNA(VLOOKUP(D1216,'[2]stock-take'!$M:$Q,3,FALSE)), 0, VLOOKUP(D1216,'[2]stock-take'!$M:$Q,3,FALSE))</f>
        <v>0</v>
      </c>
      <c r="M1216" s="48" t="str">
        <f t="shared" si="55"/>
        <v xml:space="preserve"> </v>
      </c>
      <c r="N1216" s="39" t="str">
        <f t="shared" si="56"/>
        <v xml:space="preserve"> </v>
      </c>
    </row>
    <row r="1217" spans="1:14">
      <c r="A1217" s="37">
        <f t="shared" si="54"/>
        <v>1206</v>
      </c>
      <c r="G1217" s="48" t="str">
        <f>IF(F1217=""," ",IF(ISNA(VLOOKUP(D1217,'[2]stock-take'!$A:$E,4,FALSE)), "OUT OF STOCK", VLOOKUP(D1217,'[2]stock-take'!$A:$E,4,FALSE)))</f>
        <v xml:space="preserve"> </v>
      </c>
      <c r="H1217" s="48">
        <f>IF(ISNA(VLOOKUP(D1217,'[2]stock-take'!$A:$E,3,FALSE)), 0, VLOOKUP(D1217,'[2]stock-take'!$A:$E,3,FALSE))</f>
        <v>0</v>
      </c>
      <c r="I1217" s="48" t="str">
        <f>IF(F1217="", " ",IF(ISNA(VLOOKUP(D1217,'[2]stock-take'!$G:$K,4,FALSE)), "OUT OF STOCK", VLOOKUP(D1217,'[2]stock-take'!$G:$K,4,FALSE)))</f>
        <v xml:space="preserve"> </v>
      </c>
      <c r="J1217" s="39">
        <f>IF(ISNA(VLOOKUP(D1217,'[2]stock-take'!$G:$K,3,FALSE)), 0, VLOOKUP(D1217,'[2]stock-take'!$G:$K,3,FALSE))</f>
        <v>0</v>
      </c>
      <c r="K1217" s="49" t="str">
        <f>IF(F1217="", " ", IF(ISNA(VLOOKUP(D1217,'[2]stock-take'!$M:$Q,4,FALSE)), "OUT OF STOCK", VLOOKUP(D1217,'[2]stock-take'!$M:$Q,4,FALSE)))</f>
        <v xml:space="preserve"> </v>
      </c>
      <c r="L1217" s="47">
        <f>IF(ISNA(VLOOKUP(D1217,'[2]stock-take'!$M:$Q,3,FALSE)), 0, VLOOKUP(D1217,'[2]stock-take'!$M:$Q,3,FALSE))</f>
        <v>0</v>
      </c>
      <c r="M1217" s="48" t="str">
        <f t="shared" si="55"/>
        <v xml:space="preserve"> </v>
      </c>
      <c r="N1217" s="39" t="str">
        <f t="shared" si="56"/>
        <v xml:space="preserve"> </v>
      </c>
    </row>
    <row r="1218" spans="1:14">
      <c r="A1218" s="37">
        <f t="shared" si="54"/>
        <v>1207</v>
      </c>
      <c r="G1218" s="48" t="str">
        <f>IF(F1218=""," ",IF(ISNA(VLOOKUP(D1218,'[2]stock-take'!$A:$E,4,FALSE)), "OUT OF STOCK", VLOOKUP(D1218,'[2]stock-take'!$A:$E,4,FALSE)))</f>
        <v xml:space="preserve"> </v>
      </c>
      <c r="H1218" s="48">
        <f>IF(ISNA(VLOOKUP(D1218,'[2]stock-take'!$A:$E,3,FALSE)), 0, VLOOKUP(D1218,'[2]stock-take'!$A:$E,3,FALSE))</f>
        <v>0</v>
      </c>
      <c r="I1218" s="48" t="str">
        <f>IF(F1218="", " ",IF(ISNA(VLOOKUP(D1218,'[2]stock-take'!$G:$K,4,FALSE)), "OUT OF STOCK", VLOOKUP(D1218,'[2]stock-take'!$G:$K,4,FALSE)))</f>
        <v xml:space="preserve"> </v>
      </c>
      <c r="J1218" s="39">
        <f>IF(ISNA(VLOOKUP(D1218,'[2]stock-take'!$G:$K,3,FALSE)), 0, VLOOKUP(D1218,'[2]stock-take'!$G:$K,3,FALSE))</f>
        <v>0</v>
      </c>
      <c r="K1218" s="49" t="str">
        <f>IF(F1218="", " ", IF(ISNA(VLOOKUP(D1218,'[2]stock-take'!$M:$Q,4,FALSE)), "OUT OF STOCK", VLOOKUP(D1218,'[2]stock-take'!$M:$Q,4,FALSE)))</f>
        <v xml:space="preserve"> </v>
      </c>
      <c r="L1218" s="47">
        <f>IF(ISNA(VLOOKUP(D1218,'[2]stock-take'!$M:$Q,3,FALSE)), 0, VLOOKUP(D1218,'[2]stock-take'!$M:$Q,3,FALSE))</f>
        <v>0</v>
      </c>
      <c r="M1218" s="48" t="str">
        <f t="shared" si="55"/>
        <v xml:space="preserve"> </v>
      </c>
      <c r="N1218" s="39" t="str">
        <f t="shared" si="56"/>
        <v xml:space="preserve"> </v>
      </c>
    </row>
    <row r="1219" spans="1:14">
      <c r="A1219" s="37">
        <f t="shared" si="54"/>
        <v>1208</v>
      </c>
      <c r="G1219" s="48" t="str">
        <f>IF(F1219=""," ",IF(ISNA(VLOOKUP(D1219,'[2]stock-take'!$A:$E,4,FALSE)), "OUT OF STOCK", VLOOKUP(D1219,'[2]stock-take'!$A:$E,4,FALSE)))</f>
        <v xml:space="preserve"> </v>
      </c>
      <c r="H1219" s="48">
        <f>IF(ISNA(VLOOKUP(D1219,'[2]stock-take'!$A:$E,3,FALSE)), 0, VLOOKUP(D1219,'[2]stock-take'!$A:$E,3,FALSE))</f>
        <v>0</v>
      </c>
      <c r="I1219" s="48" t="str">
        <f>IF(F1219="", " ",IF(ISNA(VLOOKUP(D1219,'[2]stock-take'!$G:$K,4,FALSE)), "OUT OF STOCK", VLOOKUP(D1219,'[2]stock-take'!$G:$K,4,FALSE)))</f>
        <v xml:space="preserve"> </v>
      </c>
      <c r="J1219" s="39">
        <f>IF(ISNA(VLOOKUP(D1219,'[2]stock-take'!$G:$K,3,FALSE)), 0, VLOOKUP(D1219,'[2]stock-take'!$G:$K,3,FALSE))</f>
        <v>0</v>
      </c>
      <c r="K1219" s="49" t="str">
        <f>IF(F1219="", " ", IF(ISNA(VLOOKUP(D1219,'[2]stock-take'!$M:$Q,4,FALSE)), "OUT OF STOCK", VLOOKUP(D1219,'[2]stock-take'!$M:$Q,4,FALSE)))</f>
        <v xml:space="preserve"> </v>
      </c>
      <c r="L1219" s="47">
        <f>IF(ISNA(VLOOKUP(D1219,'[2]stock-take'!$M:$Q,3,FALSE)), 0, VLOOKUP(D1219,'[2]stock-take'!$M:$Q,3,FALSE))</f>
        <v>0</v>
      </c>
      <c r="M1219" s="48" t="str">
        <f t="shared" si="55"/>
        <v xml:space="preserve"> </v>
      </c>
      <c r="N1219" s="39" t="str">
        <f t="shared" si="56"/>
        <v xml:space="preserve"> </v>
      </c>
    </row>
    <row r="1220" spans="1:14">
      <c r="A1220" s="37">
        <f t="shared" si="54"/>
        <v>1209</v>
      </c>
      <c r="G1220" s="48" t="str">
        <f>IF(F1220=""," ",IF(ISNA(VLOOKUP(D1220,'[2]stock-take'!$A:$E,4,FALSE)), "OUT OF STOCK", VLOOKUP(D1220,'[2]stock-take'!$A:$E,4,FALSE)))</f>
        <v xml:space="preserve"> </v>
      </c>
      <c r="H1220" s="48">
        <f>IF(ISNA(VLOOKUP(D1220,'[2]stock-take'!$A:$E,3,FALSE)), 0, VLOOKUP(D1220,'[2]stock-take'!$A:$E,3,FALSE))</f>
        <v>0</v>
      </c>
      <c r="I1220" s="48" t="str">
        <f>IF(F1220="", " ",IF(ISNA(VLOOKUP(D1220,'[2]stock-take'!$G:$K,4,FALSE)), "OUT OF STOCK", VLOOKUP(D1220,'[2]stock-take'!$G:$K,4,FALSE)))</f>
        <v xml:space="preserve"> </v>
      </c>
      <c r="J1220" s="39">
        <f>IF(ISNA(VLOOKUP(D1220,'[2]stock-take'!$G:$K,3,FALSE)), 0, VLOOKUP(D1220,'[2]stock-take'!$G:$K,3,FALSE))</f>
        <v>0</v>
      </c>
      <c r="K1220" s="49" t="str">
        <f>IF(F1220="", " ", IF(ISNA(VLOOKUP(D1220,'[2]stock-take'!$M:$Q,4,FALSE)), "OUT OF STOCK", VLOOKUP(D1220,'[2]stock-take'!$M:$Q,4,FALSE)))</f>
        <v xml:space="preserve"> </v>
      </c>
      <c r="L1220" s="47">
        <f>IF(ISNA(VLOOKUP(D1220,'[2]stock-take'!$M:$Q,3,FALSE)), 0, VLOOKUP(D1220,'[2]stock-take'!$M:$Q,3,FALSE))</f>
        <v>0</v>
      </c>
      <c r="M1220" s="48" t="str">
        <f t="shared" si="55"/>
        <v xml:space="preserve"> </v>
      </c>
      <c r="N1220" s="39" t="str">
        <f t="shared" si="56"/>
        <v xml:space="preserve"> </v>
      </c>
    </row>
    <row r="1221" spans="1:14">
      <c r="A1221" s="37">
        <f t="shared" si="54"/>
        <v>1210</v>
      </c>
      <c r="G1221" s="48" t="str">
        <f>IF(F1221=""," ",IF(ISNA(VLOOKUP(D1221,'[2]stock-take'!$A:$E,4,FALSE)), "OUT OF STOCK", VLOOKUP(D1221,'[2]stock-take'!$A:$E,4,FALSE)))</f>
        <v xml:space="preserve"> </v>
      </c>
      <c r="H1221" s="48">
        <f>IF(ISNA(VLOOKUP(D1221,'[2]stock-take'!$A:$E,3,FALSE)), 0, VLOOKUP(D1221,'[2]stock-take'!$A:$E,3,FALSE))</f>
        <v>0</v>
      </c>
      <c r="I1221" s="48" t="str">
        <f>IF(F1221="", " ",IF(ISNA(VLOOKUP(D1221,'[2]stock-take'!$G:$K,4,FALSE)), "OUT OF STOCK", VLOOKUP(D1221,'[2]stock-take'!$G:$K,4,FALSE)))</f>
        <v xml:space="preserve"> </v>
      </c>
      <c r="J1221" s="39">
        <f>IF(ISNA(VLOOKUP(D1221,'[2]stock-take'!$G:$K,3,FALSE)), 0, VLOOKUP(D1221,'[2]stock-take'!$G:$K,3,FALSE))</f>
        <v>0</v>
      </c>
      <c r="K1221" s="49" t="str">
        <f>IF(F1221="", " ", IF(ISNA(VLOOKUP(D1221,'[2]stock-take'!$M:$Q,4,FALSE)), "OUT OF STOCK", VLOOKUP(D1221,'[2]stock-take'!$M:$Q,4,FALSE)))</f>
        <v xml:space="preserve"> </v>
      </c>
      <c r="L1221" s="47">
        <f>IF(ISNA(VLOOKUP(D1221,'[2]stock-take'!$M:$Q,3,FALSE)), 0, VLOOKUP(D1221,'[2]stock-take'!$M:$Q,3,FALSE))</f>
        <v>0</v>
      </c>
      <c r="M1221" s="48" t="str">
        <f t="shared" si="55"/>
        <v xml:space="preserve"> </v>
      </c>
      <c r="N1221" s="39" t="str">
        <f t="shared" si="56"/>
        <v xml:space="preserve"> </v>
      </c>
    </row>
    <row r="1222" spans="1:14">
      <c r="A1222" s="37">
        <f t="shared" si="54"/>
        <v>1211</v>
      </c>
      <c r="G1222" s="48" t="str">
        <f>IF(F1222=""," ",IF(ISNA(VLOOKUP(D1222,'[2]stock-take'!$A:$E,4,FALSE)), "OUT OF STOCK", VLOOKUP(D1222,'[2]stock-take'!$A:$E,4,FALSE)))</f>
        <v xml:space="preserve"> </v>
      </c>
      <c r="H1222" s="48">
        <f>IF(ISNA(VLOOKUP(D1222,'[2]stock-take'!$A:$E,3,FALSE)), 0, VLOOKUP(D1222,'[2]stock-take'!$A:$E,3,FALSE))</f>
        <v>0</v>
      </c>
      <c r="I1222" s="48" t="str">
        <f>IF(F1222="", " ",IF(ISNA(VLOOKUP(D1222,'[2]stock-take'!$G:$K,4,FALSE)), "OUT OF STOCK", VLOOKUP(D1222,'[2]stock-take'!$G:$K,4,FALSE)))</f>
        <v xml:space="preserve"> </v>
      </c>
      <c r="J1222" s="39">
        <f>IF(ISNA(VLOOKUP(D1222,'[2]stock-take'!$G:$K,3,FALSE)), 0, VLOOKUP(D1222,'[2]stock-take'!$G:$K,3,FALSE))</f>
        <v>0</v>
      </c>
      <c r="K1222" s="49" t="str">
        <f>IF(F1222="", " ", IF(ISNA(VLOOKUP(D1222,'[2]stock-take'!$M:$Q,4,FALSE)), "OUT OF STOCK", VLOOKUP(D1222,'[2]stock-take'!$M:$Q,4,FALSE)))</f>
        <v xml:space="preserve"> </v>
      </c>
      <c r="L1222" s="47">
        <f>IF(ISNA(VLOOKUP(D1222,'[2]stock-take'!$M:$Q,3,FALSE)), 0, VLOOKUP(D1222,'[2]stock-take'!$M:$Q,3,FALSE))</f>
        <v>0</v>
      </c>
      <c r="M1222" s="48" t="str">
        <f t="shared" si="55"/>
        <v xml:space="preserve"> </v>
      </c>
      <c r="N1222" s="39" t="str">
        <f t="shared" si="56"/>
        <v xml:space="preserve"> </v>
      </c>
    </row>
    <row r="1223" spans="1:14">
      <c r="A1223" s="37">
        <f t="shared" si="54"/>
        <v>1212</v>
      </c>
      <c r="G1223" s="48" t="str">
        <f>IF(F1223=""," ",IF(ISNA(VLOOKUP(D1223,'[2]stock-take'!$A:$E,4,FALSE)), "OUT OF STOCK", VLOOKUP(D1223,'[2]stock-take'!$A:$E,4,FALSE)))</f>
        <v xml:space="preserve"> </v>
      </c>
      <c r="H1223" s="48">
        <f>IF(ISNA(VLOOKUP(D1223,'[2]stock-take'!$A:$E,3,FALSE)), 0, VLOOKUP(D1223,'[2]stock-take'!$A:$E,3,FALSE))</f>
        <v>0</v>
      </c>
      <c r="I1223" s="48" t="str">
        <f>IF(F1223="", " ",IF(ISNA(VLOOKUP(D1223,'[2]stock-take'!$G:$K,4,FALSE)), "OUT OF STOCK", VLOOKUP(D1223,'[2]stock-take'!$G:$K,4,FALSE)))</f>
        <v xml:space="preserve"> </v>
      </c>
      <c r="J1223" s="39">
        <f>IF(ISNA(VLOOKUP(D1223,'[2]stock-take'!$G:$K,3,FALSE)), 0, VLOOKUP(D1223,'[2]stock-take'!$G:$K,3,FALSE))</f>
        <v>0</v>
      </c>
      <c r="K1223" s="49" t="str">
        <f>IF(F1223="", " ", IF(ISNA(VLOOKUP(D1223,'[2]stock-take'!$M:$Q,4,FALSE)), "OUT OF STOCK", VLOOKUP(D1223,'[2]stock-take'!$M:$Q,4,FALSE)))</f>
        <v xml:space="preserve"> </v>
      </c>
      <c r="L1223" s="47">
        <f>IF(ISNA(VLOOKUP(D1223,'[2]stock-take'!$M:$Q,3,FALSE)), 0, VLOOKUP(D1223,'[2]stock-take'!$M:$Q,3,FALSE))</f>
        <v>0</v>
      </c>
      <c r="M1223" s="48" t="str">
        <f t="shared" si="55"/>
        <v xml:space="preserve"> </v>
      </c>
      <c r="N1223" s="39" t="str">
        <f t="shared" si="56"/>
        <v xml:space="preserve"> </v>
      </c>
    </row>
    <row r="1224" spans="1:14">
      <c r="A1224" s="37">
        <f t="shared" si="54"/>
        <v>1213</v>
      </c>
      <c r="G1224" s="48" t="str">
        <f>IF(F1224=""," ",IF(ISNA(VLOOKUP(D1224,'[2]stock-take'!$A:$E,4,FALSE)), "OUT OF STOCK", VLOOKUP(D1224,'[2]stock-take'!$A:$E,4,FALSE)))</f>
        <v xml:space="preserve"> </v>
      </c>
      <c r="H1224" s="48">
        <f>IF(ISNA(VLOOKUP(D1224,'[2]stock-take'!$A:$E,3,FALSE)), 0, VLOOKUP(D1224,'[2]stock-take'!$A:$E,3,FALSE))</f>
        <v>0</v>
      </c>
      <c r="I1224" s="48" t="str">
        <f>IF(F1224="", " ",IF(ISNA(VLOOKUP(D1224,'[2]stock-take'!$G:$K,4,FALSE)), "OUT OF STOCK", VLOOKUP(D1224,'[2]stock-take'!$G:$K,4,FALSE)))</f>
        <v xml:space="preserve"> </v>
      </c>
      <c r="J1224" s="39">
        <f>IF(ISNA(VLOOKUP(D1224,'[2]stock-take'!$G:$K,3,FALSE)), 0, VLOOKUP(D1224,'[2]stock-take'!$G:$K,3,FALSE))</f>
        <v>0</v>
      </c>
      <c r="K1224" s="49" t="str">
        <f>IF(F1224="", " ", IF(ISNA(VLOOKUP(D1224,'[2]stock-take'!$M:$Q,4,FALSE)), "OUT OF STOCK", VLOOKUP(D1224,'[2]stock-take'!$M:$Q,4,FALSE)))</f>
        <v xml:space="preserve"> </v>
      </c>
      <c r="L1224" s="47">
        <f>IF(ISNA(VLOOKUP(D1224,'[2]stock-take'!$M:$Q,3,FALSE)), 0, VLOOKUP(D1224,'[2]stock-take'!$M:$Q,3,FALSE))</f>
        <v>0</v>
      </c>
      <c r="M1224" s="48" t="str">
        <f t="shared" si="55"/>
        <v xml:space="preserve"> </v>
      </c>
      <c r="N1224" s="39" t="str">
        <f t="shared" si="56"/>
        <v xml:space="preserve"> </v>
      </c>
    </row>
    <row r="1225" spans="1:14">
      <c r="A1225" s="37">
        <f t="shared" si="54"/>
        <v>1214</v>
      </c>
      <c r="G1225" s="48" t="str">
        <f>IF(F1225=""," ",IF(ISNA(VLOOKUP(D1225,'[2]stock-take'!$A:$E,4,FALSE)), "OUT OF STOCK", VLOOKUP(D1225,'[2]stock-take'!$A:$E,4,FALSE)))</f>
        <v xml:space="preserve"> </v>
      </c>
      <c r="H1225" s="48">
        <f>IF(ISNA(VLOOKUP(D1225,'[2]stock-take'!$A:$E,3,FALSE)), 0, VLOOKUP(D1225,'[2]stock-take'!$A:$E,3,FALSE))</f>
        <v>0</v>
      </c>
      <c r="I1225" s="48" t="str">
        <f>IF(F1225="", " ",IF(ISNA(VLOOKUP(D1225,'[2]stock-take'!$G:$K,4,FALSE)), "OUT OF STOCK", VLOOKUP(D1225,'[2]stock-take'!$G:$K,4,FALSE)))</f>
        <v xml:space="preserve"> </v>
      </c>
      <c r="J1225" s="39">
        <f>IF(ISNA(VLOOKUP(D1225,'[2]stock-take'!$G:$K,3,FALSE)), 0, VLOOKUP(D1225,'[2]stock-take'!$G:$K,3,FALSE))</f>
        <v>0</v>
      </c>
      <c r="K1225" s="49" t="str">
        <f>IF(F1225="", " ", IF(ISNA(VLOOKUP(D1225,'[2]stock-take'!$M:$Q,4,FALSE)), "OUT OF STOCK", VLOOKUP(D1225,'[2]stock-take'!$M:$Q,4,FALSE)))</f>
        <v xml:space="preserve"> </v>
      </c>
      <c r="L1225" s="47">
        <f>IF(ISNA(VLOOKUP(D1225,'[2]stock-take'!$M:$Q,3,FALSE)), 0, VLOOKUP(D1225,'[2]stock-take'!$M:$Q,3,FALSE))</f>
        <v>0</v>
      </c>
      <c r="M1225" s="48" t="str">
        <f t="shared" si="55"/>
        <v xml:space="preserve"> </v>
      </c>
      <c r="N1225" s="39" t="str">
        <f t="shared" si="56"/>
        <v xml:space="preserve"> </v>
      </c>
    </row>
    <row r="1226" spans="1:14">
      <c r="A1226" s="37">
        <f t="shared" si="54"/>
        <v>1215</v>
      </c>
      <c r="G1226" s="48" t="str">
        <f>IF(F1226=""," ",IF(ISNA(VLOOKUP(D1226,'[2]stock-take'!$A:$E,4,FALSE)), "OUT OF STOCK", VLOOKUP(D1226,'[2]stock-take'!$A:$E,4,FALSE)))</f>
        <v xml:space="preserve"> </v>
      </c>
      <c r="H1226" s="48">
        <f>IF(ISNA(VLOOKUP(D1226,'[2]stock-take'!$A:$E,3,FALSE)), 0, VLOOKUP(D1226,'[2]stock-take'!$A:$E,3,FALSE))</f>
        <v>0</v>
      </c>
      <c r="I1226" s="48" t="str">
        <f>IF(F1226="", " ",IF(ISNA(VLOOKUP(D1226,'[2]stock-take'!$G:$K,4,FALSE)), "OUT OF STOCK", VLOOKUP(D1226,'[2]stock-take'!$G:$K,4,FALSE)))</f>
        <v xml:space="preserve"> </v>
      </c>
      <c r="J1226" s="39">
        <f>IF(ISNA(VLOOKUP(D1226,'[2]stock-take'!$G:$K,3,FALSE)), 0, VLOOKUP(D1226,'[2]stock-take'!$G:$K,3,FALSE))</f>
        <v>0</v>
      </c>
      <c r="K1226" s="49" t="str">
        <f>IF(F1226="", " ", IF(ISNA(VLOOKUP(D1226,'[2]stock-take'!$M:$Q,4,FALSE)), "OUT OF STOCK", VLOOKUP(D1226,'[2]stock-take'!$M:$Q,4,FALSE)))</f>
        <v xml:space="preserve"> </v>
      </c>
      <c r="L1226" s="47">
        <f>IF(ISNA(VLOOKUP(D1226,'[2]stock-take'!$M:$Q,3,FALSE)), 0, VLOOKUP(D1226,'[2]stock-take'!$M:$Q,3,FALSE))</f>
        <v>0</v>
      </c>
      <c r="M1226" s="48" t="str">
        <f t="shared" si="55"/>
        <v xml:space="preserve"> </v>
      </c>
      <c r="N1226" s="39" t="str">
        <f t="shared" si="56"/>
        <v xml:space="preserve"> </v>
      </c>
    </row>
    <row r="1227" spans="1:14">
      <c r="A1227" s="37">
        <f t="shared" si="54"/>
        <v>1216</v>
      </c>
      <c r="G1227" s="48" t="str">
        <f>IF(F1227=""," ",IF(ISNA(VLOOKUP(D1227,'[2]stock-take'!$A:$E,4,FALSE)), "OUT OF STOCK", VLOOKUP(D1227,'[2]stock-take'!$A:$E,4,FALSE)))</f>
        <v xml:space="preserve"> </v>
      </c>
      <c r="H1227" s="48">
        <f>IF(ISNA(VLOOKUP(D1227,'[2]stock-take'!$A:$E,3,FALSE)), 0, VLOOKUP(D1227,'[2]stock-take'!$A:$E,3,FALSE))</f>
        <v>0</v>
      </c>
      <c r="I1227" s="48" t="str">
        <f>IF(F1227="", " ",IF(ISNA(VLOOKUP(D1227,'[2]stock-take'!$G:$K,4,FALSE)), "OUT OF STOCK", VLOOKUP(D1227,'[2]stock-take'!$G:$K,4,FALSE)))</f>
        <v xml:space="preserve"> </v>
      </c>
      <c r="J1227" s="39">
        <f>IF(ISNA(VLOOKUP(D1227,'[2]stock-take'!$G:$K,3,FALSE)), 0, VLOOKUP(D1227,'[2]stock-take'!$G:$K,3,FALSE))</f>
        <v>0</v>
      </c>
      <c r="K1227" s="49" t="str">
        <f>IF(F1227="", " ", IF(ISNA(VLOOKUP(D1227,'[2]stock-take'!$M:$Q,4,FALSE)), "OUT OF STOCK", VLOOKUP(D1227,'[2]stock-take'!$M:$Q,4,FALSE)))</f>
        <v xml:space="preserve"> </v>
      </c>
      <c r="L1227" s="47">
        <f>IF(ISNA(VLOOKUP(D1227,'[2]stock-take'!$M:$Q,3,FALSE)), 0, VLOOKUP(D1227,'[2]stock-take'!$M:$Q,3,FALSE))</f>
        <v>0</v>
      </c>
      <c r="M1227" s="48" t="str">
        <f t="shared" si="55"/>
        <v xml:space="preserve"> </v>
      </c>
      <c r="N1227" s="39" t="str">
        <f t="shared" si="56"/>
        <v xml:space="preserve"> </v>
      </c>
    </row>
    <row r="1228" spans="1:14">
      <c r="A1228" s="37">
        <f t="shared" ref="A1228:A1291" si="57">ROW(A1228)-11</f>
        <v>1217</v>
      </c>
      <c r="G1228" s="48" t="str">
        <f>IF(F1228=""," ",IF(ISNA(VLOOKUP(D1228,'[2]stock-take'!$A:$E,4,FALSE)), "OUT OF STOCK", VLOOKUP(D1228,'[2]stock-take'!$A:$E,4,FALSE)))</f>
        <v xml:space="preserve"> </v>
      </c>
      <c r="H1228" s="48">
        <f>IF(ISNA(VLOOKUP(D1228,'[2]stock-take'!$A:$E,3,FALSE)), 0, VLOOKUP(D1228,'[2]stock-take'!$A:$E,3,FALSE))</f>
        <v>0</v>
      </c>
      <c r="I1228" s="48" t="str">
        <f>IF(F1228="", " ",IF(ISNA(VLOOKUP(D1228,'[2]stock-take'!$G:$K,4,FALSE)), "OUT OF STOCK", VLOOKUP(D1228,'[2]stock-take'!$G:$K,4,FALSE)))</f>
        <v xml:space="preserve"> </v>
      </c>
      <c r="J1228" s="39">
        <f>IF(ISNA(VLOOKUP(D1228,'[2]stock-take'!$G:$K,3,FALSE)), 0, VLOOKUP(D1228,'[2]stock-take'!$G:$K,3,FALSE))</f>
        <v>0</v>
      </c>
      <c r="K1228" s="49" t="str">
        <f>IF(F1228="", " ", IF(ISNA(VLOOKUP(D1228,'[2]stock-take'!$M:$Q,4,FALSE)), "OUT OF STOCK", VLOOKUP(D1228,'[2]stock-take'!$M:$Q,4,FALSE)))</f>
        <v xml:space="preserve"> </v>
      </c>
      <c r="L1228" s="47">
        <f>IF(ISNA(VLOOKUP(D1228,'[2]stock-take'!$M:$Q,3,FALSE)), 0, VLOOKUP(D1228,'[2]stock-take'!$M:$Q,3,FALSE))</f>
        <v>0</v>
      </c>
      <c r="M1228" s="48" t="str">
        <f t="shared" si="55"/>
        <v xml:space="preserve"> </v>
      </c>
      <c r="N1228" s="39" t="str">
        <f t="shared" si="56"/>
        <v xml:space="preserve"> </v>
      </c>
    </row>
    <row r="1229" spans="1:14">
      <c r="A1229" s="37">
        <f t="shared" si="57"/>
        <v>1218</v>
      </c>
      <c r="G1229" s="48" t="str">
        <f>IF(F1229=""," ",IF(ISNA(VLOOKUP(D1229,'[2]stock-take'!$A:$E,4,FALSE)), "OUT OF STOCK", VLOOKUP(D1229,'[2]stock-take'!$A:$E,4,FALSE)))</f>
        <v xml:space="preserve"> </v>
      </c>
      <c r="H1229" s="48">
        <f>IF(ISNA(VLOOKUP(D1229,'[2]stock-take'!$A:$E,3,FALSE)), 0, VLOOKUP(D1229,'[2]stock-take'!$A:$E,3,FALSE))</f>
        <v>0</v>
      </c>
      <c r="I1229" s="48" t="str">
        <f>IF(F1229="", " ",IF(ISNA(VLOOKUP(D1229,'[2]stock-take'!$G:$K,4,FALSE)), "OUT OF STOCK", VLOOKUP(D1229,'[2]stock-take'!$G:$K,4,FALSE)))</f>
        <v xml:space="preserve"> </v>
      </c>
      <c r="J1229" s="39">
        <f>IF(ISNA(VLOOKUP(D1229,'[2]stock-take'!$G:$K,3,FALSE)), 0, VLOOKUP(D1229,'[2]stock-take'!$G:$K,3,FALSE))</f>
        <v>0</v>
      </c>
      <c r="K1229" s="49" t="str">
        <f>IF(F1229="", " ", IF(ISNA(VLOOKUP(D1229,'[2]stock-take'!$M:$Q,4,FALSE)), "OUT OF STOCK", VLOOKUP(D1229,'[2]stock-take'!$M:$Q,4,FALSE)))</f>
        <v xml:space="preserve"> </v>
      </c>
      <c r="L1229" s="47">
        <f>IF(ISNA(VLOOKUP(D1229,'[2]stock-take'!$M:$Q,3,FALSE)), 0, VLOOKUP(D1229,'[2]stock-take'!$M:$Q,3,FALSE))</f>
        <v>0</v>
      </c>
      <c r="M1229" s="48" t="str">
        <f t="shared" ref="M1229:M1292" si="58">IF(F1229=""," ",IF(H1229&gt;=F1229,"Y",IF(J1229&gt;=F1229,"Y",IF(L1229&gt;=F1229,"Y",IF(SUM(H1229,J1229,L1229)&gt;=F1229,"Y","N")))))</f>
        <v xml:space="preserve"> </v>
      </c>
      <c r="N1229" s="39" t="str">
        <f t="shared" ref="N1229:N1292" si="59">IF(F1229=""," ",IF(H1229&gt;=F1229,"ILOOM",IF(J1229&gt;=F1229,"NO.6",IF(L1229&gt;=F1229,"RMD",IF(SUM(H1229,J1229,L1229)&gt;=F1229,"MULTI","LACK")))))</f>
        <v xml:space="preserve"> </v>
      </c>
    </row>
    <row r="1230" spans="1:14">
      <c r="A1230" s="37">
        <f t="shared" si="57"/>
        <v>1219</v>
      </c>
      <c r="G1230" s="48" t="str">
        <f>IF(F1230=""," ",IF(ISNA(VLOOKUP(D1230,'[2]stock-take'!$A:$E,4,FALSE)), "OUT OF STOCK", VLOOKUP(D1230,'[2]stock-take'!$A:$E,4,FALSE)))</f>
        <v xml:space="preserve"> </v>
      </c>
      <c r="H1230" s="48">
        <f>IF(ISNA(VLOOKUP(D1230,'[2]stock-take'!$A:$E,3,FALSE)), 0, VLOOKUP(D1230,'[2]stock-take'!$A:$E,3,FALSE))</f>
        <v>0</v>
      </c>
      <c r="I1230" s="48" t="str">
        <f>IF(F1230="", " ",IF(ISNA(VLOOKUP(D1230,'[2]stock-take'!$G:$K,4,FALSE)), "OUT OF STOCK", VLOOKUP(D1230,'[2]stock-take'!$G:$K,4,FALSE)))</f>
        <v xml:space="preserve"> </v>
      </c>
      <c r="J1230" s="39">
        <f>IF(ISNA(VLOOKUP(D1230,'[2]stock-take'!$G:$K,3,FALSE)), 0, VLOOKUP(D1230,'[2]stock-take'!$G:$K,3,FALSE))</f>
        <v>0</v>
      </c>
      <c r="K1230" s="49" t="str">
        <f>IF(F1230="", " ", IF(ISNA(VLOOKUP(D1230,'[2]stock-take'!$M:$Q,4,FALSE)), "OUT OF STOCK", VLOOKUP(D1230,'[2]stock-take'!$M:$Q,4,FALSE)))</f>
        <v xml:space="preserve"> </v>
      </c>
      <c r="L1230" s="47">
        <f>IF(ISNA(VLOOKUP(D1230,'[2]stock-take'!$M:$Q,3,FALSE)), 0, VLOOKUP(D1230,'[2]stock-take'!$M:$Q,3,FALSE))</f>
        <v>0</v>
      </c>
      <c r="M1230" s="48" t="str">
        <f t="shared" si="58"/>
        <v xml:space="preserve"> </v>
      </c>
      <c r="N1230" s="39" t="str">
        <f t="shared" si="59"/>
        <v xml:space="preserve"> </v>
      </c>
    </row>
    <row r="1231" spans="1:14">
      <c r="A1231" s="37">
        <f t="shared" si="57"/>
        <v>1220</v>
      </c>
      <c r="G1231" s="48" t="str">
        <f>IF(F1231=""," ",IF(ISNA(VLOOKUP(D1231,'[2]stock-take'!$A:$E,4,FALSE)), "OUT OF STOCK", VLOOKUP(D1231,'[2]stock-take'!$A:$E,4,FALSE)))</f>
        <v xml:space="preserve"> </v>
      </c>
      <c r="H1231" s="48">
        <f>IF(ISNA(VLOOKUP(D1231,'[2]stock-take'!$A:$E,3,FALSE)), 0, VLOOKUP(D1231,'[2]stock-take'!$A:$E,3,FALSE))</f>
        <v>0</v>
      </c>
      <c r="I1231" s="48" t="str">
        <f>IF(F1231="", " ",IF(ISNA(VLOOKUP(D1231,'[2]stock-take'!$G:$K,4,FALSE)), "OUT OF STOCK", VLOOKUP(D1231,'[2]stock-take'!$G:$K,4,FALSE)))</f>
        <v xml:space="preserve"> </v>
      </c>
      <c r="J1231" s="39">
        <f>IF(ISNA(VLOOKUP(D1231,'[2]stock-take'!$G:$K,3,FALSE)), 0, VLOOKUP(D1231,'[2]stock-take'!$G:$K,3,FALSE))</f>
        <v>0</v>
      </c>
      <c r="K1231" s="49" t="str">
        <f>IF(F1231="", " ", IF(ISNA(VLOOKUP(D1231,'[2]stock-take'!$M:$Q,4,FALSE)), "OUT OF STOCK", VLOOKUP(D1231,'[2]stock-take'!$M:$Q,4,FALSE)))</f>
        <v xml:space="preserve"> </v>
      </c>
      <c r="L1231" s="47">
        <f>IF(ISNA(VLOOKUP(D1231,'[2]stock-take'!$M:$Q,3,FALSE)), 0, VLOOKUP(D1231,'[2]stock-take'!$M:$Q,3,FALSE))</f>
        <v>0</v>
      </c>
      <c r="M1231" s="48" t="str">
        <f t="shared" si="58"/>
        <v xml:space="preserve"> </v>
      </c>
      <c r="N1231" s="39" t="str">
        <f t="shared" si="59"/>
        <v xml:space="preserve"> </v>
      </c>
    </row>
    <row r="1232" spans="1:14">
      <c r="A1232" s="37">
        <f t="shared" si="57"/>
        <v>1221</v>
      </c>
      <c r="G1232" s="48" t="str">
        <f>IF(F1232=""," ",IF(ISNA(VLOOKUP(D1232,'[2]stock-take'!$A:$E,4,FALSE)), "OUT OF STOCK", VLOOKUP(D1232,'[2]stock-take'!$A:$E,4,FALSE)))</f>
        <v xml:space="preserve"> </v>
      </c>
      <c r="H1232" s="48">
        <f>IF(ISNA(VLOOKUP(D1232,'[2]stock-take'!$A:$E,3,FALSE)), 0, VLOOKUP(D1232,'[2]stock-take'!$A:$E,3,FALSE))</f>
        <v>0</v>
      </c>
      <c r="I1232" s="48" t="str">
        <f>IF(F1232="", " ",IF(ISNA(VLOOKUP(D1232,'[2]stock-take'!$G:$K,4,FALSE)), "OUT OF STOCK", VLOOKUP(D1232,'[2]stock-take'!$G:$K,4,FALSE)))</f>
        <v xml:space="preserve"> </v>
      </c>
      <c r="J1232" s="39">
        <f>IF(ISNA(VLOOKUP(D1232,'[2]stock-take'!$G:$K,3,FALSE)), 0, VLOOKUP(D1232,'[2]stock-take'!$G:$K,3,FALSE))</f>
        <v>0</v>
      </c>
      <c r="K1232" s="49" t="str">
        <f>IF(F1232="", " ", IF(ISNA(VLOOKUP(D1232,'[2]stock-take'!$M:$Q,4,FALSE)), "OUT OF STOCK", VLOOKUP(D1232,'[2]stock-take'!$M:$Q,4,FALSE)))</f>
        <v xml:space="preserve"> </v>
      </c>
      <c r="L1232" s="47">
        <f>IF(ISNA(VLOOKUP(D1232,'[2]stock-take'!$M:$Q,3,FALSE)), 0, VLOOKUP(D1232,'[2]stock-take'!$M:$Q,3,FALSE))</f>
        <v>0</v>
      </c>
      <c r="M1232" s="48" t="str">
        <f t="shared" si="58"/>
        <v xml:space="preserve"> </v>
      </c>
      <c r="N1232" s="39" t="str">
        <f t="shared" si="59"/>
        <v xml:space="preserve"> </v>
      </c>
    </row>
    <row r="1233" spans="1:14">
      <c r="A1233" s="37">
        <f t="shared" si="57"/>
        <v>1222</v>
      </c>
      <c r="G1233" s="48" t="str">
        <f>IF(F1233=""," ",IF(ISNA(VLOOKUP(D1233,'[2]stock-take'!$A:$E,4,FALSE)), "OUT OF STOCK", VLOOKUP(D1233,'[2]stock-take'!$A:$E,4,FALSE)))</f>
        <v xml:space="preserve"> </v>
      </c>
      <c r="H1233" s="48">
        <f>IF(ISNA(VLOOKUP(D1233,'[2]stock-take'!$A:$E,3,FALSE)), 0, VLOOKUP(D1233,'[2]stock-take'!$A:$E,3,FALSE))</f>
        <v>0</v>
      </c>
      <c r="I1233" s="48" t="str">
        <f>IF(F1233="", " ",IF(ISNA(VLOOKUP(D1233,'[2]stock-take'!$G:$K,4,FALSE)), "OUT OF STOCK", VLOOKUP(D1233,'[2]stock-take'!$G:$K,4,FALSE)))</f>
        <v xml:space="preserve"> </v>
      </c>
      <c r="J1233" s="39">
        <f>IF(ISNA(VLOOKUP(D1233,'[2]stock-take'!$G:$K,3,FALSE)), 0, VLOOKUP(D1233,'[2]stock-take'!$G:$K,3,FALSE))</f>
        <v>0</v>
      </c>
      <c r="K1233" s="49" t="str">
        <f>IF(F1233="", " ", IF(ISNA(VLOOKUP(D1233,'[2]stock-take'!$M:$Q,4,FALSE)), "OUT OF STOCK", VLOOKUP(D1233,'[2]stock-take'!$M:$Q,4,FALSE)))</f>
        <v xml:space="preserve"> </v>
      </c>
      <c r="L1233" s="47">
        <f>IF(ISNA(VLOOKUP(D1233,'[2]stock-take'!$M:$Q,3,FALSE)), 0, VLOOKUP(D1233,'[2]stock-take'!$M:$Q,3,FALSE))</f>
        <v>0</v>
      </c>
      <c r="M1233" s="48" t="str">
        <f t="shared" si="58"/>
        <v xml:space="preserve"> </v>
      </c>
      <c r="N1233" s="39" t="str">
        <f t="shared" si="59"/>
        <v xml:space="preserve"> </v>
      </c>
    </row>
    <row r="1234" spans="1:14">
      <c r="A1234" s="37">
        <f t="shared" si="57"/>
        <v>1223</v>
      </c>
      <c r="G1234" s="48" t="str">
        <f>IF(F1234=""," ",IF(ISNA(VLOOKUP(D1234,'[2]stock-take'!$A:$E,4,FALSE)), "OUT OF STOCK", VLOOKUP(D1234,'[2]stock-take'!$A:$E,4,FALSE)))</f>
        <v xml:space="preserve"> </v>
      </c>
      <c r="H1234" s="48">
        <f>IF(ISNA(VLOOKUP(D1234,'[2]stock-take'!$A:$E,3,FALSE)), 0, VLOOKUP(D1234,'[2]stock-take'!$A:$E,3,FALSE))</f>
        <v>0</v>
      </c>
      <c r="I1234" s="48" t="str">
        <f>IF(F1234="", " ",IF(ISNA(VLOOKUP(D1234,'[2]stock-take'!$G:$K,4,FALSE)), "OUT OF STOCK", VLOOKUP(D1234,'[2]stock-take'!$G:$K,4,FALSE)))</f>
        <v xml:space="preserve"> </v>
      </c>
      <c r="J1234" s="39">
        <f>IF(ISNA(VLOOKUP(D1234,'[2]stock-take'!$G:$K,3,FALSE)), 0, VLOOKUP(D1234,'[2]stock-take'!$G:$K,3,FALSE))</f>
        <v>0</v>
      </c>
      <c r="K1234" s="49" t="str">
        <f>IF(F1234="", " ", IF(ISNA(VLOOKUP(D1234,'[2]stock-take'!$M:$Q,4,FALSE)), "OUT OF STOCK", VLOOKUP(D1234,'[2]stock-take'!$M:$Q,4,FALSE)))</f>
        <v xml:space="preserve"> </v>
      </c>
      <c r="L1234" s="47">
        <f>IF(ISNA(VLOOKUP(D1234,'[2]stock-take'!$M:$Q,3,FALSE)), 0, VLOOKUP(D1234,'[2]stock-take'!$M:$Q,3,FALSE))</f>
        <v>0</v>
      </c>
      <c r="M1234" s="48" t="str">
        <f t="shared" si="58"/>
        <v xml:space="preserve"> </v>
      </c>
      <c r="N1234" s="39" t="str">
        <f t="shared" si="59"/>
        <v xml:space="preserve"> </v>
      </c>
    </row>
    <row r="1235" spans="1:14">
      <c r="A1235" s="37">
        <f t="shared" si="57"/>
        <v>1224</v>
      </c>
      <c r="G1235" s="48" t="str">
        <f>IF(F1235=""," ",IF(ISNA(VLOOKUP(D1235,'[2]stock-take'!$A:$E,4,FALSE)), "OUT OF STOCK", VLOOKUP(D1235,'[2]stock-take'!$A:$E,4,FALSE)))</f>
        <v xml:space="preserve"> </v>
      </c>
      <c r="H1235" s="48">
        <f>IF(ISNA(VLOOKUP(D1235,'[2]stock-take'!$A:$E,3,FALSE)), 0, VLOOKUP(D1235,'[2]stock-take'!$A:$E,3,FALSE))</f>
        <v>0</v>
      </c>
      <c r="I1235" s="48" t="str">
        <f>IF(F1235="", " ",IF(ISNA(VLOOKUP(D1235,'[2]stock-take'!$G:$K,4,FALSE)), "OUT OF STOCK", VLOOKUP(D1235,'[2]stock-take'!$G:$K,4,FALSE)))</f>
        <v xml:space="preserve"> </v>
      </c>
      <c r="J1235" s="39">
        <f>IF(ISNA(VLOOKUP(D1235,'[2]stock-take'!$G:$K,3,FALSE)), 0, VLOOKUP(D1235,'[2]stock-take'!$G:$K,3,FALSE))</f>
        <v>0</v>
      </c>
      <c r="K1235" s="49" t="str">
        <f>IF(F1235="", " ", IF(ISNA(VLOOKUP(D1235,'[2]stock-take'!$M:$Q,4,FALSE)), "OUT OF STOCK", VLOOKUP(D1235,'[2]stock-take'!$M:$Q,4,FALSE)))</f>
        <v xml:space="preserve"> </v>
      </c>
      <c r="L1235" s="47">
        <f>IF(ISNA(VLOOKUP(D1235,'[2]stock-take'!$M:$Q,3,FALSE)), 0, VLOOKUP(D1235,'[2]stock-take'!$M:$Q,3,FALSE))</f>
        <v>0</v>
      </c>
      <c r="M1235" s="48" t="str">
        <f t="shared" si="58"/>
        <v xml:space="preserve"> </v>
      </c>
      <c r="N1235" s="39" t="str">
        <f t="shared" si="59"/>
        <v xml:space="preserve"> </v>
      </c>
    </row>
    <row r="1236" spans="1:14">
      <c r="A1236" s="37">
        <f t="shared" si="57"/>
        <v>1225</v>
      </c>
      <c r="G1236" s="48" t="str">
        <f>IF(F1236=""," ",IF(ISNA(VLOOKUP(D1236,'[2]stock-take'!$A:$E,4,FALSE)), "OUT OF STOCK", VLOOKUP(D1236,'[2]stock-take'!$A:$E,4,FALSE)))</f>
        <v xml:space="preserve"> </v>
      </c>
      <c r="H1236" s="48">
        <f>IF(ISNA(VLOOKUP(D1236,'[2]stock-take'!$A:$E,3,FALSE)), 0, VLOOKUP(D1236,'[2]stock-take'!$A:$E,3,FALSE))</f>
        <v>0</v>
      </c>
      <c r="I1236" s="48" t="str">
        <f>IF(F1236="", " ",IF(ISNA(VLOOKUP(D1236,'[2]stock-take'!$G:$K,4,FALSE)), "OUT OF STOCK", VLOOKUP(D1236,'[2]stock-take'!$G:$K,4,FALSE)))</f>
        <v xml:space="preserve"> </v>
      </c>
      <c r="J1236" s="39">
        <f>IF(ISNA(VLOOKUP(D1236,'[2]stock-take'!$G:$K,3,FALSE)), 0, VLOOKUP(D1236,'[2]stock-take'!$G:$K,3,FALSE))</f>
        <v>0</v>
      </c>
      <c r="K1236" s="49" t="str">
        <f>IF(F1236="", " ", IF(ISNA(VLOOKUP(D1236,'[2]stock-take'!$M:$Q,4,FALSE)), "OUT OF STOCK", VLOOKUP(D1236,'[2]stock-take'!$M:$Q,4,FALSE)))</f>
        <v xml:space="preserve"> </v>
      </c>
      <c r="L1236" s="47">
        <f>IF(ISNA(VLOOKUP(D1236,'[2]stock-take'!$M:$Q,3,FALSE)), 0, VLOOKUP(D1236,'[2]stock-take'!$M:$Q,3,FALSE))</f>
        <v>0</v>
      </c>
      <c r="M1236" s="48" t="str">
        <f t="shared" si="58"/>
        <v xml:space="preserve"> </v>
      </c>
      <c r="N1236" s="39" t="str">
        <f t="shared" si="59"/>
        <v xml:space="preserve"> </v>
      </c>
    </row>
    <row r="1237" spans="1:14">
      <c r="A1237" s="37">
        <f t="shared" si="57"/>
        <v>1226</v>
      </c>
      <c r="G1237" s="48" t="str">
        <f>IF(F1237=""," ",IF(ISNA(VLOOKUP(D1237,'[2]stock-take'!$A:$E,4,FALSE)), "OUT OF STOCK", VLOOKUP(D1237,'[2]stock-take'!$A:$E,4,FALSE)))</f>
        <v xml:space="preserve"> </v>
      </c>
      <c r="H1237" s="48">
        <f>IF(ISNA(VLOOKUP(D1237,'[2]stock-take'!$A:$E,3,FALSE)), 0, VLOOKUP(D1237,'[2]stock-take'!$A:$E,3,FALSE))</f>
        <v>0</v>
      </c>
      <c r="I1237" s="48" t="str">
        <f>IF(F1237="", " ",IF(ISNA(VLOOKUP(D1237,'[2]stock-take'!$G:$K,4,FALSE)), "OUT OF STOCK", VLOOKUP(D1237,'[2]stock-take'!$G:$K,4,FALSE)))</f>
        <v xml:space="preserve"> </v>
      </c>
      <c r="J1237" s="39">
        <f>IF(ISNA(VLOOKUP(D1237,'[2]stock-take'!$G:$K,3,FALSE)), 0, VLOOKUP(D1237,'[2]stock-take'!$G:$K,3,FALSE))</f>
        <v>0</v>
      </c>
      <c r="K1237" s="49" t="str">
        <f>IF(F1237="", " ", IF(ISNA(VLOOKUP(D1237,'[2]stock-take'!$M:$Q,4,FALSE)), "OUT OF STOCK", VLOOKUP(D1237,'[2]stock-take'!$M:$Q,4,FALSE)))</f>
        <v xml:space="preserve"> </v>
      </c>
      <c r="L1237" s="47">
        <f>IF(ISNA(VLOOKUP(D1237,'[2]stock-take'!$M:$Q,3,FALSE)), 0, VLOOKUP(D1237,'[2]stock-take'!$M:$Q,3,FALSE))</f>
        <v>0</v>
      </c>
      <c r="M1237" s="48" t="str">
        <f t="shared" si="58"/>
        <v xml:space="preserve"> </v>
      </c>
      <c r="N1237" s="39" t="str">
        <f t="shared" si="59"/>
        <v xml:space="preserve"> </v>
      </c>
    </row>
    <row r="1238" spans="1:14">
      <c r="A1238" s="37">
        <f t="shared" si="57"/>
        <v>1227</v>
      </c>
      <c r="G1238" s="48" t="str">
        <f>IF(F1238=""," ",IF(ISNA(VLOOKUP(D1238,'[2]stock-take'!$A:$E,4,FALSE)), "OUT OF STOCK", VLOOKUP(D1238,'[2]stock-take'!$A:$E,4,FALSE)))</f>
        <v xml:space="preserve"> </v>
      </c>
      <c r="H1238" s="48">
        <f>IF(ISNA(VLOOKUP(D1238,'[2]stock-take'!$A:$E,3,FALSE)), 0, VLOOKUP(D1238,'[2]stock-take'!$A:$E,3,FALSE))</f>
        <v>0</v>
      </c>
      <c r="I1238" s="48" t="str">
        <f>IF(F1238="", " ",IF(ISNA(VLOOKUP(D1238,'[2]stock-take'!$G:$K,4,FALSE)), "OUT OF STOCK", VLOOKUP(D1238,'[2]stock-take'!$G:$K,4,FALSE)))</f>
        <v xml:space="preserve"> </v>
      </c>
      <c r="J1238" s="39">
        <f>IF(ISNA(VLOOKUP(D1238,'[2]stock-take'!$G:$K,3,FALSE)), 0, VLOOKUP(D1238,'[2]stock-take'!$G:$K,3,FALSE))</f>
        <v>0</v>
      </c>
      <c r="K1238" s="49" t="str">
        <f>IF(F1238="", " ", IF(ISNA(VLOOKUP(D1238,'[2]stock-take'!$M:$Q,4,FALSE)), "OUT OF STOCK", VLOOKUP(D1238,'[2]stock-take'!$M:$Q,4,FALSE)))</f>
        <v xml:space="preserve"> </v>
      </c>
      <c r="L1238" s="47">
        <f>IF(ISNA(VLOOKUP(D1238,'[2]stock-take'!$M:$Q,3,FALSE)), 0, VLOOKUP(D1238,'[2]stock-take'!$M:$Q,3,FALSE))</f>
        <v>0</v>
      </c>
      <c r="M1238" s="48" t="str">
        <f t="shared" si="58"/>
        <v xml:space="preserve"> </v>
      </c>
      <c r="N1238" s="39" t="str">
        <f t="shared" si="59"/>
        <v xml:space="preserve"> </v>
      </c>
    </row>
    <row r="1239" spans="1:14">
      <c r="A1239" s="37">
        <f t="shared" si="57"/>
        <v>1228</v>
      </c>
      <c r="G1239" s="48" t="str">
        <f>IF(F1239=""," ",IF(ISNA(VLOOKUP(D1239,'[2]stock-take'!$A:$E,4,FALSE)), "OUT OF STOCK", VLOOKUP(D1239,'[2]stock-take'!$A:$E,4,FALSE)))</f>
        <v xml:space="preserve"> </v>
      </c>
      <c r="H1239" s="48">
        <f>IF(ISNA(VLOOKUP(D1239,'[2]stock-take'!$A:$E,3,FALSE)), 0, VLOOKUP(D1239,'[2]stock-take'!$A:$E,3,FALSE))</f>
        <v>0</v>
      </c>
      <c r="I1239" s="48" t="str">
        <f>IF(F1239="", " ",IF(ISNA(VLOOKUP(D1239,'[2]stock-take'!$G:$K,4,FALSE)), "OUT OF STOCK", VLOOKUP(D1239,'[2]stock-take'!$G:$K,4,FALSE)))</f>
        <v xml:space="preserve"> </v>
      </c>
      <c r="J1239" s="39">
        <f>IF(ISNA(VLOOKUP(D1239,'[2]stock-take'!$G:$K,3,FALSE)), 0, VLOOKUP(D1239,'[2]stock-take'!$G:$K,3,FALSE))</f>
        <v>0</v>
      </c>
      <c r="K1239" s="49" t="str">
        <f>IF(F1239="", " ", IF(ISNA(VLOOKUP(D1239,'[2]stock-take'!$M:$Q,4,FALSE)), "OUT OF STOCK", VLOOKUP(D1239,'[2]stock-take'!$M:$Q,4,FALSE)))</f>
        <v xml:space="preserve"> </v>
      </c>
      <c r="L1239" s="47">
        <f>IF(ISNA(VLOOKUP(D1239,'[2]stock-take'!$M:$Q,3,FALSE)), 0, VLOOKUP(D1239,'[2]stock-take'!$M:$Q,3,FALSE))</f>
        <v>0</v>
      </c>
      <c r="M1239" s="48" t="str">
        <f t="shared" si="58"/>
        <v xml:space="preserve"> </v>
      </c>
      <c r="N1239" s="39" t="str">
        <f t="shared" si="59"/>
        <v xml:space="preserve"> </v>
      </c>
    </row>
    <row r="1240" spans="1:14">
      <c r="A1240" s="37">
        <f t="shared" si="57"/>
        <v>1229</v>
      </c>
      <c r="G1240" s="48" t="str">
        <f>IF(F1240=""," ",IF(ISNA(VLOOKUP(D1240,'[2]stock-take'!$A:$E,4,FALSE)), "OUT OF STOCK", VLOOKUP(D1240,'[2]stock-take'!$A:$E,4,FALSE)))</f>
        <v xml:space="preserve"> </v>
      </c>
      <c r="H1240" s="48">
        <f>IF(ISNA(VLOOKUP(D1240,'[2]stock-take'!$A:$E,3,FALSE)), 0, VLOOKUP(D1240,'[2]stock-take'!$A:$E,3,FALSE))</f>
        <v>0</v>
      </c>
      <c r="I1240" s="48" t="str">
        <f>IF(F1240="", " ",IF(ISNA(VLOOKUP(D1240,'[2]stock-take'!$G:$K,4,FALSE)), "OUT OF STOCK", VLOOKUP(D1240,'[2]stock-take'!$G:$K,4,FALSE)))</f>
        <v xml:space="preserve"> </v>
      </c>
      <c r="J1240" s="39">
        <f>IF(ISNA(VLOOKUP(D1240,'[2]stock-take'!$G:$K,3,FALSE)), 0, VLOOKUP(D1240,'[2]stock-take'!$G:$K,3,FALSE))</f>
        <v>0</v>
      </c>
      <c r="K1240" s="49" t="str">
        <f>IF(F1240="", " ", IF(ISNA(VLOOKUP(D1240,'[2]stock-take'!$M:$Q,4,FALSE)), "OUT OF STOCK", VLOOKUP(D1240,'[2]stock-take'!$M:$Q,4,FALSE)))</f>
        <v xml:space="preserve"> </v>
      </c>
      <c r="L1240" s="47">
        <f>IF(ISNA(VLOOKUP(D1240,'[2]stock-take'!$M:$Q,3,FALSE)), 0, VLOOKUP(D1240,'[2]stock-take'!$M:$Q,3,FALSE))</f>
        <v>0</v>
      </c>
      <c r="M1240" s="48" t="str">
        <f t="shared" si="58"/>
        <v xml:space="preserve"> </v>
      </c>
      <c r="N1240" s="39" t="str">
        <f t="shared" si="59"/>
        <v xml:space="preserve"> </v>
      </c>
    </row>
    <row r="1241" spans="1:14">
      <c r="A1241" s="37">
        <f t="shared" si="57"/>
        <v>1230</v>
      </c>
      <c r="G1241" s="48" t="str">
        <f>IF(F1241=""," ",IF(ISNA(VLOOKUP(D1241,'[2]stock-take'!$A:$E,4,FALSE)), "OUT OF STOCK", VLOOKUP(D1241,'[2]stock-take'!$A:$E,4,FALSE)))</f>
        <v xml:space="preserve"> </v>
      </c>
      <c r="H1241" s="48">
        <f>IF(ISNA(VLOOKUP(D1241,'[2]stock-take'!$A:$E,3,FALSE)), 0, VLOOKUP(D1241,'[2]stock-take'!$A:$E,3,FALSE))</f>
        <v>0</v>
      </c>
      <c r="I1241" s="48" t="str">
        <f>IF(F1241="", " ",IF(ISNA(VLOOKUP(D1241,'[2]stock-take'!$G:$K,4,FALSE)), "OUT OF STOCK", VLOOKUP(D1241,'[2]stock-take'!$G:$K,4,FALSE)))</f>
        <v xml:space="preserve"> </v>
      </c>
      <c r="J1241" s="39">
        <f>IF(ISNA(VLOOKUP(D1241,'[2]stock-take'!$G:$K,3,FALSE)), 0, VLOOKUP(D1241,'[2]stock-take'!$G:$K,3,FALSE))</f>
        <v>0</v>
      </c>
      <c r="K1241" s="49" t="str">
        <f>IF(F1241="", " ", IF(ISNA(VLOOKUP(D1241,'[2]stock-take'!$M:$Q,4,FALSE)), "OUT OF STOCK", VLOOKUP(D1241,'[2]stock-take'!$M:$Q,4,FALSE)))</f>
        <v xml:space="preserve"> </v>
      </c>
      <c r="L1241" s="47">
        <f>IF(ISNA(VLOOKUP(D1241,'[2]stock-take'!$M:$Q,3,FALSE)), 0, VLOOKUP(D1241,'[2]stock-take'!$M:$Q,3,FALSE))</f>
        <v>0</v>
      </c>
      <c r="M1241" s="48" t="str">
        <f t="shared" si="58"/>
        <v xml:space="preserve"> </v>
      </c>
      <c r="N1241" s="39" t="str">
        <f t="shared" si="59"/>
        <v xml:space="preserve"> </v>
      </c>
    </row>
    <row r="1242" spans="1:14">
      <c r="A1242" s="37">
        <f t="shared" si="57"/>
        <v>1231</v>
      </c>
      <c r="G1242" s="48" t="str">
        <f>IF(F1242=""," ",IF(ISNA(VLOOKUP(D1242,'[2]stock-take'!$A:$E,4,FALSE)), "OUT OF STOCK", VLOOKUP(D1242,'[2]stock-take'!$A:$E,4,FALSE)))</f>
        <v xml:space="preserve"> </v>
      </c>
      <c r="H1242" s="48">
        <f>IF(ISNA(VLOOKUP(D1242,'[2]stock-take'!$A:$E,3,FALSE)), 0, VLOOKUP(D1242,'[2]stock-take'!$A:$E,3,FALSE))</f>
        <v>0</v>
      </c>
      <c r="I1242" s="48" t="str">
        <f>IF(F1242="", " ",IF(ISNA(VLOOKUP(D1242,'[2]stock-take'!$G:$K,4,FALSE)), "OUT OF STOCK", VLOOKUP(D1242,'[2]stock-take'!$G:$K,4,FALSE)))</f>
        <v xml:space="preserve"> </v>
      </c>
      <c r="J1242" s="39">
        <f>IF(ISNA(VLOOKUP(D1242,'[2]stock-take'!$G:$K,3,FALSE)), 0, VLOOKUP(D1242,'[2]stock-take'!$G:$K,3,FALSE))</f>
        <v>0</v>
      </c>
      <c r="K1242" s="49" t="str">
        <f>IF(F1242="", " ", IF(ISNA(VLOOKUP(D1242,'[2]stock-take'!$M:$Q,4,FALSE)), "OUT OF STOCK", VLOOKUP(D1242,'[2]stock-take'!$M:$Q,4,FALSE)))</f>
        <v xml:space="preserve"> </v>
      </c>
      <c r="L1242" s="47">
        <f>IF(ISNA(VLOOKUP(D1242,'[2]stock-take'!$M:$Q,3,FALSE)), 0, VLOOKUP(D1242,'[2]stock-take'!$M:$Q,3,FALSE))</f>
        <v>0</v>
      </c>
      <c r="M1242" s="48" t="str">
        <f t="shared" si="58"/>
        <v xml:space="preserve"> </v>
      </c>
      <c r="N1242" s="39" t="str">
        <f t="shared" si="59"/>
        <v xml:space="preserve"> </v>
      </c>
    </row>
    <row r="1243" spans="1:14">
      <c r="A1243" s="37">
        <f t="shared" si="57"/>
        <v>1232</v>
      </c>
      <c r="G1243" s="48" t="str">
        <f>IF(F1243=""," ",IF(ISNA(VLOOKUP(D1243,'[2]stock-take'!$A:$E,4,FALSE)), "OUT OF STOCK", VLOOKUP(D1243,'[2]stock-take'!$A:$E,4,FALSE)))</f>
        <v xml:space="preserve"> </v>
      </c>
      <c r="H1243" s="48">
        <f>IF(ISNA(VLOOKUP(D1243,'[2]stock-take'!$A:$E,3,FALSE)), 0, VLOOKUP(D1243,'[2]stock-take'!$A:$E,3,FALSE))</f>
        <v>0</v>
      </c>
      <c r="I1243" s="48" t="str">
        <f>IF(F1243="", " ",IF(ISNA(VLOOKUP(D1243,'[2]stock-take'!$G:$K,4,FALSE)), "OUT OF STOCK", VLOOKUP(D1243,'[2]stock-take'!$G:$K,4,FALSE)))</f>
        <v xml:space="preserve"> </v>
      </c>
      <c r="J1243" s="39">
        <f>IF(ISNA(VLOOKUP(D1243,'[2]stock-take'!$G:$K,3,FALSE)), 0, VLOOKUP(D1243,'[2]stock-take'!$G:$K,3,FALSE))</f>
        <v>0</v>
      </c>
      <c r="K1243" s="49" t="str">
        <f>IF(F1243="", " ", IF(ISNA(VLOOKUP(D1243,'[2]stock-take'!$M:$Q,4,FALSE)), "OUT OF STOCK", VLOOKUP(D1243,'[2]stock-take'!$M:$Q,4,FALSE)))</f>
        <v xml:space="preserve"> </v>
      </c>
      <c r="L1243" s="47">
        <f>IF(ISNA(VLOOKUP(D1243,'[2]stock-take'!$M:$Q,3,FALSE)), 0, VLOOKUP(D1243,'[2]stock-take'!$M:$Q,3,FALSE))</f>
        <v>0</v>
      </c>
      <c r="M1243" s="48" t="str">
        <f t="shared" si="58"/>
        <v xml:space="preserve"> </v>
      </c>
      <c r="N1243" s="39" t="str">
        <f t="shared" si="59"/>
        <v xml:space="preserve"> </v>
      </c>
    </row>
    <row r="1244" spans="1:14">
      <c r="A1244" s="37">
        <f t="shared" si="57"/>
        <v>1233</v>
      </c>
      <c r="G1244" s="48" t="str">
        <f>IF(F1244=""," ",IF(ISNA(VLOOKUP(D1244,'[2]stock-take'!$A:$E,4,FALSE)), "OUT OF STOCK", VLOOKUP(D1244,'[2]stock-take'!$A:$E,4,FALSE)))</f>
        <v xml:space="preserve"> </v>
      </c>
      <c r="H1244" s="48">
        <f>IF(ISNA(VLOOKUP(D1244,'[2]stock-take'!$A:$E,3,FALSE)), 0, VLOOKUP(D1244,'[2]stock-take'!$A:$E,3,FALSE))</f>
        <v>0</v>
      </c>
      <c r="I1244" s="48" t="str">
        <f>IF(F1244="", " ",IF(ISNA(VLOOKUP(D1244,'[2]stock-take'!$G:$K,4,FALSE)), "OUT OF STOCK", VLOOKUP(D1244,'[2]stock-take'!$G:$K,4,FALSE)))</f>
        <v xml:space="preserve"> </v>
      </c>
      <c r="J1244" s="39">
        <f>IF(ISNA(VLOOKUP(D1244,'[2]stock-take'!$G:$K,3,FALSE)), 0, VLOOKUP(D1244,'[2]stock-take'!$G:$K,3,FALSE))</f>
        <v>0</v>
      </c>
      <c r="K1244" s="49" t="str">
        <f>IF(F1244="", " ", IF(ISNA(VLOOKUP(D1244,'[2]stock-take'!$M:$Q,4,FALSE)), "OUT OF STOCK", VLOOKUP(D1244,'[2]stock-take'!$M:$Q,4,FALSE)))</f>
        <v xml:space="preserve"> </v>
      </c>
      <c r="L1244" s="47">
        <f>IF(ISNA(VLOOKUP(D1244,'[2]stock-take'!$M:$Q,3,FALSE)), 0, VLOOKUP(D1244,'[2]stock-take'!$M:$Q,3,FALSE))</f>
        <v>0</v>
      </c>
      <c r="M1244" s="48" t="str">
        <f t="shared" si="58"/>
        <v xml:space="preserve"> </v>
      </c>
      <c r="N1244" s="39" t="str">
        <f t="shared" si="59"/>
        <v xml:space="preserve"> </v>
      </c>
    </row>
    <row r="1245" spans="1:14">
      <c r="A1245" s="37">
        <f t="shared" si="57"/>
        <v>1234</v>
      </c>
      <c r="G1245" s="48" t="str">
        <f>IF(F1245=""," ",IF(ISNA(VLOOKUP(D1245,'[2]stock-take'!$A:$E,4,FALSE)), "OUT OF STOCK", VLOOKUP(D1245,'[2]stock-take'!$A:$E,4,FALSE)))</f>
        <v xml:space="preserve"> </v>
      </c>
      <c r="H1245" s="48">
        <f>IF(ISNA(VLOOKUP(D1245,'[2]stock-take'!$A:$E,3,FALSE)), 0, VLOOKUP(D1245,'[2]stock-take'!$A:$E,3,FALSE))</f>
        <v>0</v>
      </c>
      <c r="I1245" s="48" t="str">
        <f>IF(F1245="", " ",IF(ISNA(VLOOKUP(D1245,'[2]stock-take'!$G:$K,4,FALSE)), "OUT OF STOCK", VLOOKUP(D1245,'[2]stock-take'!$G:$K,4,FALSE)))</f>
        <v xml:space="preserve"> </v>
      </c>
      <c r="J1245" s="39">
        <f>IF(ISNA(VLOOKUP(D1245,'[2]stock-take'!$G:$K,3,FALSE)), 0, VLOOKUP(D1245,'[2]stock-take'!$G:$K,3,FALSE))</f>
        <v>0</v>
      </c>
      <c r="K1245" s="49" t="str">
        <f>IF(F1245="", " ", IF(ISNA(VLOOKUP(D1245,'[2]stock-take'!$M:$Q,4,FALSE)), "OUT OF STOCK", VLOOKUP(D1245,'[2]stock-take'!$M:$Q,4,FALSE)))</f>
        <v xml:space="preserve"> </v>
      </c>
      <c r="L1245" s="47">
        <f>IF(ISNA(VLOOKUP(D1245,'[2]stock-take'!$M:$Q,3,FALSE)), 0, VLOOKUP(D1245,'[2]stock-take'!$M:$Q,3,FALSE))</f>
        <v>0</v>
      </c>
      <c r="M1245" s="48" t="str">
        <f t="shared" si="58"/>
        <v xml:space="preserve"> </v>
      </c>
      <c r="N1245" s="39" t="str">
        <f t="shared" si="59"/>
        <v xml:space="preserve"> </v>
      </c>
    </row>
    <row r="1246" spans="1:14">
      <c r="A1246" s="37">
        <f t="shared" si="57"/>
        <v>1235</v>
      </c>
      <c r="G1246" s="48" t="str">
        <f>IF(F1246=""," ",IF(ISNA(VLOOKUP(D1246,'[2]stock-take'!$A:$E,4,FALSE)), "OUT OF STOCK", VLOOKUP(D1246,'[2]stock-take'!$A:$E,4,FALSE)))</f>
        <v xml:space="preserve"> </v>
      </c>
      <c r="H1246" s="48">
        <f>IF(ISNA(VLOOKUP(D1246,'[2]stock-take'!$A:$E,3,FALSE)), 0, VLOOKUP(D1246,'[2]stock-take'!$A:$E,3,FALSE))</f>
        <v>0</v>
      </c>
      <c r="I1246" s="48" t="str">
        <f>IF(F1246="", " ",IF(ISNA(VLOOKUP(D1246,'[2]stock-take'!$G:$K,4,FALSE)), "OUT OF STOCK", VLOOKUP(D1246,'[2]stock-take'!$G:$K,4,FALSE)))</f>
        <v xml:space="preserve"> </v>
      </c>
      <c r="J1246" s="39">
        <f>IF(ISNA(VLOOKUP(D1246,'[2]stock-take'!$G:$K,3,FALSE)), 0, VLOOKUP(D1246,'[2]stock-take'!$G:$K,3,FALSE))</f>
        <v>0</v>
      </c>
      <c r="K1246" s="49" t="str">
        <f>IF(F1246="", " ", IF(ISNA(VLOOKUP(D1246,'[2]stock-take'!$M:$Q,4,FALSE)), "OUT OF STOCK", VLOOKUP(D1246,'[2]stock-take'!$M:$Q,4,FALSE)))</f>
        <v xml:space="preserve"> </v>
      </c>
      <c r="L1246" s="47">
        <f>IF(ISNA(VLOOKUP(D1246,'[2]stock-take'!$M:$Q,3,FALSE)), 0, VLOOKUP(D1246,'[2]stock-take'!$M:$Q,3,FALSE))</f>
        <v>0</v>
      </c>
      <c r="M1246" s="48" t="str">
        <f t="shared" si="58"/>
        <v xml:space="preserve"> </v>
      </c>
      <c r="N1246" s="39" t="str">
        <f t="shared" si="59"/>
        <v xml:space="preserve"> </v>
      </c>
    </row>
    <row r="1247" spans="1:14">
      <c r="A1247" s="37">
        <f t="shared" si="57"/>
        <v>1236</v>
      </c>
      <c r="G1247" s="48" t="str">
        <f>IF(F1247=""," ",IF(ISNA(VLOOKUP(D1247,'[2]stock-take'!$A:$E,4,FALSE)), "OUT OF STOCK", VLOOKUP(D1247,'[2]stock-take'!$A:$E,4,FALSE)))</f>
        <v xml:space="preserve"> </v>
      </c>
      <c r="H1247" s="48">
        <f>IF(ISNA(VLOOKUP(D1247,'[2]stock-take'!$A:$E,3,FALSE)), 0, VLOOKUP(D1247,'[2]stock-take'!$A:$E,3,FALSE))</f>
        <v>0</v>
      </c>
      <c r="I1247" s="48" t="str">
        <f>IF(F1247="", " ",IF(ISNA(VLOOKUP(D1247,'[2]stock-take'!$G:$K,4,FALSE)), "OUT OF STOCK", VLOOKUP(D1247,'[2]stock-take'!$G:$K,4,FALSE)))</f>
        <v xml:space="preserve"> </v>
      </c>
      <c r="J1247" s="39">
        <f>IF(ISNA(VLOOKUP(D1247,'[2]stock-take'!$G:$K,3,FALSE)), 0, VLOOKUP(D1247,'[2]stock-take'!$G:$K,3,FALSE))</f>
        <v>0</v>
      </c>
      <c r="K1247" s="49" t="str">
        <f>IF(F1247="", " ", IF(ISNA(VLOOKUP(D1247,'[2]stock-take'!$M:$Q,4,FALSE)), "OUT OF STOCK", VLOOKUP(D1247,'[2]stock-take'!$M:$Q,4,FALSE)))</f>
        <v xml:space="preserve"> </v>
      </c>
      <c r="L1247" s="47">
        <f>IF(ISNA(VLOOKUP(D1247,'[2]stock-take'!$M:$Q,3,FALSE)), 0, VLOOKUP(D1247,'[2]stock-take'!$M:$Q,3,FALSE))</f>
        <v>0</v>
      </c>
      <c r="M1247" s="48" t="str">
        <f t="shared" si="58"/>
        <v xml:space="preserve"> </v>
      </c>
      <c r="N1247" s="39" t="str">
        <f t="shared" si="59"/>
        <v xml:space="preserve"> </v>
      </c>
    </row>
    <row r="1248" spans="1:14">
      <c r="A1248" s="37">
        <f t="shared" si="57"/>
        <v>1237</v>
      </c>
      <c r="G1248" s="48" t="str">
        <f>IF(F1248=""," ",IF(ISNA(VLOOKUP(D1248,'[2]stock-take'!$A:$E,4,FALSE)), "OUT OF STOCK", VLOOKUP(D1248,'[2]stock-take'!$A:$E,4,FALSE)))</f>
        <v xml:space="preserve"> </v>
      </c>
      <c r="H1248" s="48">
        <f>IF(ISNA(VLOOKUP(D1248,'[2]stock-take'!$A:$E,3,FALSE)), 0, VLOOKUP(D1248,'[2]stock-take'!$A:$E,3,FALSE))</f>
        <v>0</v>
      </c>
      <c r="I1248" s="48" t="str">
        <f>IF(F1248="", " ",IF(ISNA(VLOOKUP(D1248,'[2]stock-take'!$G:$K,4,FALSE)), "OUT OF STOCK", VLOOKUP(D1248,'[2]stock-take'!$G:$K,4,FALSE)))</f>
        <v xml:space="preserve"> </v>
      </c>
      <c r="J1248" s="39">
        <f>IF(ISNA(VLOOKUP(D1248,'[2]stock-take'!$G:$K,3,FALSE)), 0, VLOOKUP(D1248,'[2]stock-take'!$G:$K,3,FALSE))</f>
        <v>0</v>
      </c>
      <c r="K1248" s="49" t="str">
        <f>IF(F1248="", " ", IF(ISNA(VLOOKUP(D1248,'[2]stock-take'!$M:$Q,4,FALSE)), "OUT OF STOCK", VLOOKUP(D1248,'[2]stock-take'!$M:$Q,4,FALSE)))</f>
        <v xml:space="preserve"> </v>
      </c>
      <c r="L1248" s="47">
        <f>IF(ISNA(VLOOKUP(D1248,'[2]stock-take'!$M:$Q,3,FALSE)), 0, VLOOKUP(D1248,'[2]stock-take'!$M:$Q,3,FALSE))</f>
        <v>0</v>
      </c>
      <c r="M1248" s="48" t="str">
        <f t="shared" si="58"/>
        <v xml:space="preserve"> </v>
      </c>
      <c r="N1248" s="39" t="str">
        <f t="shared" si="59"/>
        <v xml:space="preserve"> </v>
      </c>
    </row>
    <row r="1249" spans="1:14">
      <c r="A1249" s="37">
        <f t="shared" si="57"/>
        <v>1238</v>
      </c>
      <c r="G1249" s="48" t="str">
        <f>IF(F1249=""," ",IF(ISNA(VLOOKUP(D1249,'[2]stock-take'!$A:$E,4,FALSE)), "OUT OF STOCK", VLOOKUP(D1249,'[2]stock-take'!$A:$E,4,FALSE)))</f>
        <v xml:space="preserve"> </v>
      </c>
      <c r="H1249" s="48">
        <f>IF(ISNA(VLOOKUP(D1249,'[2]stock-take'!$A:$E,3,FALSE)), 0, VLOOKUP(D1249,'[2]stock-take'!$A:$E,3,FALSE))</f>
        <v>0</v>
      </c>
      <c r="I1249" s="48" t="str">
        <f>IF(F1249="", " ",IF(ISNA(VLOOKUP(D1249,'[2]stock-take'!$G:$K,4,FALSE)), "OUT OF STOCK", VLOOKUP(D1249,'[2]stock-take'!$G:$K,4,FALSE)))</f>
        <v xml:space="preserve"> </v>
      </c>
      <c r="J1249" s="39">
        <f>IF(ISNA(VLOOKUP(D1249,'[2]stock-take'!$G:$K,3,FALSE)), 0, VLOOKUP(D1249,'[2]stock-take'!$G:$K,3,FALSE))</f>
        <v>0</v>
      </c>
      <c r="K1249" s="49" t="str">
        <f>IF(F1249="", " ", IF(ISNA(VLOOKUP(D1249,'[2]stock-take'!$M:$Q,4,FALSE)), "OUT OF STOCK", VLOOKUP(D1249,'[2]stock-take'!$M:$Q,4,FALSE)))</f>
        <v xml:space="preserve"> </v>
      </c>
      <c r="L1249" s="47">
        <f>IF(ISNA(VLOOKUP(D1249,'[2]stock-take'!$M:$Q,3,FALSE)), 0, VLOOKUP(D1249,'[2]stock-take'!$M:$Q,3,FALSE))</f>
        <v>0</v>
      </c>
      <c r="M1249" s="48" t="str">
        <f t="shared" si="58"/>
        <v xml:space="preserve"> </v>
      </c>
      <c r="N1249" s="39" t="str">
        <f t="shared" si="59"/>
        <v xml:space="preserve"> </v>
      </c>
    </row>
    <row r="1250" spans="1:14">
      <c r="A1250" s="37">
        <f t="shared" si="57"/>
        <v>1239</v>
      </c>
      <c r="G1250" s="48" t="str">
        <f>IF(F1250=""," ",IF(ISNA(VLOOKUP(D1250,'[2]stock-take'!$A:$E,4,FALSE)), "OUT OF STOCK", VLOOKUP(D1250,'[2]stock-take'!$A:$E,4,FALSE)))</f>
        <v xml:space="preserve"> </v>
      </c>
      <c r="H1250" s="48">
        <f>IF(ISNA(VLOOKUP(D1250,'[2]stock-take'!$A:$E,3,FALSE)), 0, VLOOKUP(D1250,'[2]stock-take'!$A:$E,3,FALSE))</f>
        <v>0</v>
      </c>
      <c r="I1250" s="48" t="str">
        <f>IF(F1250="", " ",IF(ISNA(VLOOKUP(D1250,'[2]stock-take'!$G:$K,4,FALSE)), "OUT OF STOCK", VLOOKUP(D1250,'[2]stock-take'!$G:$K,4,FALSE)))</f>
        <v xml:space="preserve"> </v>
      </c>
      <c r="J1250" s="39">
        <f>IF(ISNA(VLOOKUP(D1250,'[2]stock-take'!$G:$K,3,FALSE)), 0, VLOOKUP(D1250,'[2]stock-take'!$G:$K,3,FALSE))</f>
        <v>0</v>
      </c>
      <c r="K1250" s="49" t="str">
        <f>IF(F1250="", " ", IF(ISNA(VLOOKUP(D1250,'[2]stock-take'!$M:$Q,4,FALSE)), "OUT OF STOCK", VLOOKUP(D1250,'[2]stock-take'!$M:$Q,4,FALSE)))</f>
        <v xml:space="preserve"> </v>
      </c>
      <c r="L1250" s="47">
        <f>IF(ISNA(VLOOKUP(D1250,'[2]stock-take'!$M:$Q,3,FALSE)), 0, VLOOKUP(D1250,'[2]stock-take'!$M:$Q,3,FALSE))</f>
        <v>0</v>
      </c>
      <c r="M1250" s="48" t="str">
        <f t="shared" si="58"/>
        <v xml:space="preserve"> </v>
      </c>
      <c r="N1250" s="39" t="str">
        <f t="shared" si="59"/>
        <v xml:space="preserve"> </v>
      </c>
    </row>
    <row r="1251" spans="1:14">
      <c r="A1251" s="37">
        <f t="shared" si="57"/>
        <v>1240</v>
      </c>
      <c r="G1251" s="48" t="str">
        <f>IF(F1251=""," ",IF(ISNA(VLOOKUP(D1251,'[2]stock-take'!$A:$E,4,FALSE)), "OUT OF STOCK", VLOOKUP(D1251,'[2]stock-take'!$A:$E,4,FALSE)))</f>
        <v xml:space="preserve"> </v>
      </c>
      <c r="H1251" s="48">
        <f>IF(ISNA(VLOOKUP(D1251,'[2]stock-take'!$A:$E,3,FALSE)), 0, VLOOKUP(D1251,'[2]stock-take'!$A:$E,3,FALSE))</f>
        <v>0</v>
      </c>
      <c r="I1251" s="48" t="str">
        <f>IF(F1251="", " ",IF(ISNA(VLOOKUP(D1251,'[2]stock-take'!$G:$K,4,FALSE)), "OUT OF STOCK", VLOOKUP(D1251,'[2]stock-take'!$G:$K,4,FALSE)))</f>
        <v xml:space="preserve"> </v>
      </c>
      <c r="J1251" s="39">
        <f>IF(ISNA(VLOOKUP(D1251,'[2]stock-take'!$G:$K,3,FALSE)), 0, VLOOKUP(D1251,'[2]stock-take'!$G:$K,3,FALSE))</f>
        <v>0</v>
      </c>
      <c r="K1251" s="49" t="str">
        <f>IF(F1251="", " ", IF(ISNA(VLOOKUP(D1251,'[2]stock-take'!$M:$Q,4,FALSE)), "OUT OF STOCK", VLOOKUP(D1251,'[2]stock-take'!$M:$Q,4,FALSE)))</f>
        <v xml:space="preserve"> </v>
      </c>
      <c r="L1251" s="47">
        <f>IF(ISNA(VLOOKUP(D1251,'[2]stock-take'!$M:$Q,3,FALSE)), 0, VLOOKUP(D1251,'[2]stock-take'!$M:$Q,3,FALSE))</f>
        <v>0</v>
      </c>
      <c r="M1251" s="48" t="str">
        <f t="shared" si="58"/>
        <v xml:space="preserve"> </v>
      </c>
      <c r="N1251" s="39" t="str">
        <f t="shared" si="59"/>
        <v xml:space="preserve"> </v>
      </c>
    </row>
    <row r="1252" spans="1:14">
      <c r="A1252" s="37">
        <f t="shared" si="57"/>
        <v>1241</v>
      </c>
      <c r="G1252" s="48" t="str">
        <f>IF(F1252=""," ",IF(ISNA(VLOOKUP(D1252,'[2]stock-take'!$A:$E,4,FALSE)), "OUT OF STOCK", VLOOKUP(D1252,'[2]stock-take'!$A:$E,4,FALSE)))</f>
        <v xml:space="preserve"> </v>
      </c>
      <c r="H1252" s="48">
        <f>IF(ISNA(VLOOKUP(D1252,'[2]stock-take'!$A:$E,3,FALSE)), 0, VLOOKUP(D1252,'[2]stock-take'!$A:$E,3,FALSE))</f>
        <v>0</v>
      </c>
      <c r="I1252" s="48" t="str">
        <f>IF(F1252="", " ",IF(ISNA(VLOOKUP(D1252,'[2]stock-take'!$G:$K,4,FALSE)), "OUT OF STOCK", VLOOKUP(D1252,'[2]stock-take'!$G:$K,4,FALSE)))</f>
        <v xml:space="preserve"> </v>
      </c>
      <c r="J1252" s="39">
        <f>IF(ISNA(VLOOKUP(D1252,'[2]stock-take'!$G:$K,3,FALSE)), 0, VLOOKUP(D1252,'[2]stock-take'!$G:$K,3,FALSE))</f>
        <v>0</v>
      </c>
      <c r="K1252" s="49" t="str">
        <f>IF(F1252="", " ", IF(ISNA(VLOOKUP(D1252,'[2]stock-take'!$M:$Q,4,FALSE)), "OUT OF STOCK", VLOOKUP(D1252,'[2]stock-take'!$M:$Q,4,FALSE)))</f>
        <v xml:space="preserve"> </v>
      </c>
      <c r="L1252" s="47">
        <f>IF(ISNA(VLOOKUP(D1252,'[2]stock-take'!$M:$Q,3,FALSE)), 0, VLOOKUP(D1252,'[2]stock-take'!$M:$Q,3,FALSE))</f>
        <v>0</v>
      </c>
      <c r="M1252" s="48" t="str">
        <f t="shared" si="58"/>
        <v xml:space="preserve"> </v>
      </c>
      <c r="N1252" s="39" t="str">
        <f t="shared" si="59"/>
        <v xml:space="preserve"> </v>
      </c>
    </row>
    <row r="1253" spans="1:14">
      <c r="A1253" s="37">
        <f t="shared" si="57"/>
        <v>1242</v>
      </c>
      <c r="G1253" s="48" t="str">
        <f>IF(F1253=""," ",IF(ISNA(VLOOKUP(D1253,'[2]stock-take'!$A:$E,4,FALSE)), "OUT OF STOCK", VLOOKUP(D1253,'[2]stock-take'!$A:$E,4,FALSE)))</f>
        <v xml:space="preserve"> </v>
      </c>
      <c r="H1253" s="48">
        <f>IF(ISNA(VLOOKUP(D1253,'[2]stock-take'!$A:$E,3,FALSE)), 0, VLOOKUP(D1253,'[2]stock-take'!$A:$E,3,FALSE))</f>
        <v>0</v>
      </c>
      <c r="I1253" s="48" t="str">
        <f>IF(F1253="", " ",IF(ISNA(VLOOKUP(D1253,'[2]stock-take'!$G:$K,4,FALSE)), "OUT OF STOCK", VLOOKUP(D1253,'[2]stock-take'!$G:$K,4,FALSE)))</f>
        <v xml:space="preserve"> </v>
      </c>
      <c r="J1253" s="39">
        <f>IF(ISNA(VLOOKUP(D1253,'[2]stock-take'!$G:$K,3,FALSE)), 0, VLOOKUP(D1253,'[2]stock-take'!$G:$K,3,FALSE))</f>
        <v>0</v>
      </c>
      <c r="K1253" s="49" t="str">
        <f>IF(F1253="", " ", IF(ISNA(VLOOKUP(D1253,'[2]stock-take'!$M:$Q,4,FALSE)), "OUT OF STOCK", VLOOKUP(D1253,'[2]stock-take'!$M:$Q,4,FALSE)))</f>
        <v xml:space="preserve"> </v>
      </c>
      <c r="L1253" s="47">
        <f>IF(ISNA(VLOOKUP(D1253,'[2]stock-take'!$M:$Q,3,FALSE)), 0, VLOOKUP(D1253,'[2]stock-take'!$M:$Q,3,FALSE))</f>
        <v>0</v>
      </c>
      <c r="M1253" s="48" t="str">
        <f t="shared" si="58"/>
        <v xml:space="preserve"> </v>
      </c>
      <c r="N1253" s="39" t="str">
        <f t="shared" si="59"/>
        <v xml:space="preserve"> </v>
      </c>
    </row>
    <row r="1254" spans="1:14">
      <c r="A1254" s="37">
        <f t="shared" si="57"/>
        <v>1243</v>
      </c>
      <c r="G1254" s="48" t="str">
        <f>IF(F1254=""," ",IF(ISNA(VLOOKUP(D1254,'[2]stock-take'!$A:$E,4,FALSE)), "OUT OF STOCK", VLOOKUP(D1254,'[2]stock-take'!$A:$E,4,FALSE)))</f>
        <v xml:space="preserve"> </v>
      </c>
      <c r="H1254" s="48">
        <f>IF(ISNA(VLOOKUP(D1254,'[2]stock-take'!$A:$E,3,FALSE)), 0, VLOOKUP(D1254,'[2]stock-take'!$A:$E,3,FALSE))</f>
        <v>0</v>
      </c>
      <c r="I1254" s="48" t="str">
        <f>IF(F1254="", " ",IF(ISNA(VLOOKUP(D1254,'[2]stock-take'!$G:$K,4,FALSE)), "OUT OF STOCK", VLOOKUP(D1254,'[2]stock-take'!$G:$K,4,FALSE)))</f>
        <v xml:space="preserve"> </v>
      </c>
      <c r="J1254" s="39">
        <f>IF(ISNA(VLOOKUP(D1254,'[2]stock-take'!$G:$K,3,FALSE)), 0, VLOOKUP(D1254,'[2]stock-take'!$G:$K,3,FALSE))</f>
        <v>0</v>
      </c>
      <c r="K1254" s="49" t="str">
        <f>IF(F1254="", " ", IF(ISNA(VLOOKUP(D1254,'[2]stock-take'!$M:$Q,4,FALSE)), "OUT OF STOCK", VLOOKUP(D1254,'[2]stock-take'!$M:$Q,4,FALSE)))</f>
        <v xml:space="preserve"> </v>
      </c>
      <c r="L1254" s="47">
        <f>IF(ISNA(VLOOKUP(D1254,'[2]stock-take'!$M:$Q,3,FALSE)), 0, VLOOKUP(D1254,'[2]stock-take'!$M:$Q,3,FALSE))</f>
        <v>0</v>
      </c>
      <c r="M1254" s="48" t="str">
        <f t="shared" si="58"/>
        <v xml:space="preserve"> </v>
      </c>
      <c r="N1254" s="39" t="str">
        <f t="shared" si="59"/>
        <v xml:space="preserve"> </v>
      </c>
    </row>
    <row r="1255" spans="1:14">
      <c r="A1255" s="37">
        <f t="shared" si="57"/>
        <v>1244</v>
      </c>
      <c r="G1255" s="48" t="str">
        <f>IF(F1255=""," ",IF(ISNA(VLOOKUP(D1255,'[2]stock-take'!$A:$E,4,FALSE)), "OUT OF STOCK", VLOOKUP(D1255,'[2]stock-take'!$A:$E,4,FALSE)))</f>
        <v xml:space="preserve"> </v>
      </c>
      <c r="H1255" s="48">
        <f>IF(ISNA(VLOOKUP(D1255,'[2]stock-take'!$A:$E,3,FALSE)), 0, VLOOKUP(D1255,'[2]stock-take'!$A:$E,3,FALSE))</f>
        <v>0</v>
      </c>
      <c r="I1255" s="48" t="str">
        <f>IF(F1255="", " ",IF(ISNA(VLOOKUP(D1255,'[2]stock-take'!$G:$K,4,FALSE)), "OUT OF STOCK", VLOOKUP(D1255,'[2]stock-take'!$G:$K,4,FALSE)))</f>
        <v xml:space="preserve"> </v>
      </c>
      <c r="J1255" s="39">
        <f>IF(ISNA(VLOOKUP(D1255,'[2]stock-take'!$G:$K,3,FALSE)), 0, VLOOKUP(D1255,'[2]stock-take'!$G:$K,3,FALSE))</f>
        <v>0</v>
      </c>
      <c r="K1255" s="49" t="str">
        <f>IF(F1255="", " ", IF(ISNA(VLOOKUP(D1255,'[2]stock-take'!$M:$Q,4,FALSE)), "OUT OF STOCK", VLOOKUP(D1255,'[2]stock-take'!$M:$Q,4,FALSE)))</f>
        <v xml:space="preserve"> </v>
      </c>
      <c r="L1255" s="47">
        <f>IF(ISNA(VLOOKUP(D1255,'[2]stock-take'!$M:$Q,3,FALSE)), 0, VLOOKUP(D1255,'[2]stock-take'!$M:$Q,3,FALSE))</f>
        <v>0</v>
      </c>
      <c r="M1255" s="48" t="str">
        <f t="shared" si="58"/>
        <v xml:space="preserve"> </v>
      </c>
      <c r="N1255" s="39" t="str">
        <f t="shared" si="59"/>
        <v xml:space="preserve"> </v>
      </c>
    </row>
    <row r="1256" spans="1:14">
      <c r="A1256" s="37">
        <f t="shared" si="57"/>
        <v>1245</v>
      </c>
      <c r="G1256" s="48" t="str">
        <f>IF(F1256=""," ",IF(ISNA(VLOOKUP(D1256,'[2]stock-take'!$A:$E,4,FALSE)), "OUT OF STOCK", VLOOKUP(D1256,'[2]stock-take'!$A:$E,4,FALSE)))</f>
        <v xml:space="preserve"> </v>
      </c>
      <c r="H1256" s="48">
        <f>IF(ISNA(VLOOKUP(D1256,'[2]stock-take'!$A:$E,3,FALSE)), 0, VLOOKUP(D1256,'[2]stock-take'!$A:$E,3,FALSE))</f>
        <v>0</v>
      </c>
      <c r="I1256" s="48" t="str">
        <f>IF(F1256="", " ",IF(ISNA(VLOOKUP(D1256,'[2]stock-take'!$G:$K,4,FALSE)), "OUT OF STOCK", VLOOKUP(D1256,'[2]stock-take'!$G:$K,4,FALSE)))</f>
        <v xml:space="preserve"> </v>
      </c>
      <c r="J1256" s="39">
        <f>IF(ISNA(VLOOKUP(D1256,'[2]stock-take'!$G:$K,3,FALSE)), 0, VLOOKUP(D1256,'[2]stock-take'!$G:$K,3,FALSE))</f>
        <v>0</v>
      </c>
      <c r="K1256" s="49" t="str">
        <f>IF(F1256="", " ", IF(ISNA(VLOOKUP(D1256,'[2]stock-take'!$M:$Q,4,FALSE)), "OUT OF STOCK", VLOOKUP(D1256,'[2]stock-take'!$M:$Q,4,FALSE)))</f>
        <v xml:space="preserve"> </v>
      </c>
      <c r="L1256" s="47">
        <f>IF(ISNA(VLOOKUP(D1256,'[2]stock-take'!$M:$Q,3,FALSE)), 0, VLOOKUP(D1256,'[2]stock-take'!$M:$Q,3,FALSE))</f>
        <v>0</v>
      </c>
      <c r="M1256" s="48" t="str">
        <f t="shared" si="58"/>
        <v xml:space="preserve"> </v>
      </c>
      <c r="N1256" s="39" t="str">
        <f t="shared" si="59"/>
        <v xml:space="preserve"> </v>
      </c>
    </row>
    <row r="1257" spans="1:14">
      <c r="A1257" s="37">
        <f t="shared" si="57"/>
        <v>1246</v>
      </c>
      <c r="G1257" s="48" t="str">
        <f>IF(F1257=""," ",IF(ISNA(VLOOKUP(D1257,'[2]stock-take'!$A:$E,4,FALSE)), "OUT OF STOCK", VLOOKUP(D1257,'[2]stock-take'!$A:$E,4,FALSE)))</f>
        <v xml:space="preserve"> </v>
      </c>
      <c r="H1257" s="48">
        <f>IF(ISNA(VLOOKUP(D1257,'[2]stock-take'!$A:$E,3,FALSE)), 0, VLOOKUP(D1257,'[2]stock-take'!$A:$E,3,FALSE))</f>
        <v>0</v>
      </c>
      <c r="I1257" s="48" t="str">
        <f>IF(F1257="", " ",IF(ISNA(VLOOKUP(D1257,'[2]stock-take'!$G:$K,4,FALSE)), "OUT OF STOCK", VLOOKUP(D1257,'[2]stock-take'!$G:$K,4,FALSE)))</f>
        <v xml:space="preserve"> </v>
      </c>
      <c r="J1257" s="39">
        <f>IF(ISNA(VLOOKUP(D1257,'[2]stock-take'!$G:$K,3,FALSE)), 0, VLOOKUP(D1257,'[2]stock-take'!$G:$K,3,FALSE))</f>
        <v>0</v>
      </c>
      <c r="K1257" s="49" t="str">
        <f>IF(F1257="", " ", IF(ISNA(VLOOKUP(D1257,'[2]stock-take'!$M:$Q,4,FALSE)), "OUT OF STOCK", VLOOKUP(D1257,'[2]stock-take'!$M:$Q,4,FALSE)))</f>
        <v xml:space="preserve"> </v>
      </c>
      <c r="L1257" s="47">
        <f>IF(ISNA(VLOOKUP(D1257,'[2]stock-take'!$M:$Q,3,FALSE)), 0, VLOOKUP(D1257,'[2]stock-take'!$M:$Q,3,FALSE))</f>
        <v>0</v>
      </c>
      <c r="M1257" s="48" t="str">
        <f t="shared" si="58"/>
        <v xml:space="preserve"> </v>
      </c>
      <c r="N1257" s="39" t="str">
        <f t="shared" si="59"/>
        <v xml:space="preserve"> </v>
      </c>
    </row>
    <row r="1258" spans="1:14">
      <c r="A1258" s="37">
        <f t="shared" si="57"/>
        <v>1247</v>
      </c>
      <c r="G1258" s="48" t="str">
        <f>IF(F1258=""," ",IF(ISNA(VLOOKUP(D1258,'[2]stock-take'!$A:$E,4,FALSE)), "OUT OF STOCK", VLOOKUP(D1258,'[2]stock-take'!$A:$E,4,FALSE)))</f>
        <v xml:space="preserve"> </v>
      </c>
      <c r="H1258" s="48">
        <f>IF(ISNA(VLOOKUP(D1258,'[2]stock-take'!$A:$E,3,FALSE)), 0, VLOOKUP(D1258,'[2]stock-take'!$A:$E,3,FALSE))</f>
        <v>0</v>
      </c>
      <c r="I1258" s="48" t="str">
        <f>IF(F1258="", " ",IF(ISNA(VLOOKUP(D1258,'[2]stock-take'!$G:$K,4,FALSE)), "OUT OF STOCK", VLOOKUP(D1258,'[2]stock-take'!$G:$K,4,FALSE)))</f>
        <v xml:space="preserve"> </v>
      </c>
      <c r="J1258" s="39">
        <f>IF(ISNA(VLOOKUP(D1258,'[2]stock-take'!$G:$K,3,FALSE)), 0, VLOOKUP(D1258,'[2]stock-take'!$G:$K,3,FALSE))</f>
        <v>0</v>
      </c>
      <c r="K1258" s="49" t="str">
        <f>IF(F1258="", " ", IF(ISNA(VLOOKUP(D1258,'[2]stock-take'!$M:$Q,4,FALSE)), "OUT OF STOCK", VLOOKUP(D1258,'[2]stock-take'!$M:$Q,4,FALSE)))</f>
        <v xml:space="preserve"> </v>
      </c>
      <c r="L1258" s="47">
        <f>IF(ISNA(VLOOKUP(D1258,'[2]stock-take'!$M:$Q,3,FALSE)), 0, VLOOKUP(D1258,'[2]stock-take'!$M:$Q,3,FALSE))</f>
        <v>0</v>
      </c>
      <c r="M1258" s="48" t="str">
        <f t="shared" si="58"/>
        <v xml:space="preserve"> </v>
      </c>
      <c r="N1258" s="39" t="str">
        <f t="shared" si="59"/>
        <v xml:space="preserve"> </v>
      </c>
    </row>
    <row r="1259" spans="1:14">
      <c r="A1259" s="37">
        <f t="shared" si="57"/>
        <v>1248</v>
      </c>
      <c r="G1259" s="48" t="str">
        <f>IF(F1259=""," ",IF(ISNA(VLOOKUP(D1259,'[2]stock-take'!$A:$E,4,FALSE)), "OUT OF STOCK", VLOOKUP(D1259,'[2]stock-take'!$A:$E,4,FALSE)))</f>
        <v xml:space="preserve"> </v>
      </c>
      <c r="H1259" s="48">
        <f>IF(ISNA(VLOOKUP(D1259,'[2]stock-take'!$A:$E,3,FALSE)), 0, VLOOKUP(D1259,'[2]stock-take'!$A:$E,3,FALSE))</f>
        <v>0</v>
      </c>
      <c r="I1259" s="48" t="str">
        <f>IF(F1259="", " ",IF(ISNA(VLOOKUP(D1259,'[2]stock-take'!$G:$K,4,FALSE)), "OUT OF STOCK", VLOOKUP(D1259,'[2]stock-take'!$G:$K,4,FALSE)))</f>
        <v xml:space="preserve"> </v>
      </c>
      <c r="J1259" s="39">
        <f>IF(ISNA(VLOOKUP(D1259,'[2]stock-take'!$G:$K,3,FALSE)), 0, VLOOKUP(D1259,'[2]stock-take'!$G:$K,3,FALSE))</f>
        <v>0</v>
      </c>
      <c r="K1259" s="49" t="str">
        <f>IF(F1259="", " ", IF(ISNA(VLOOKUP(D1259,'[2]stock-take'!$M:$Q,4,FALSE)), "OUT OF STOCK", VLOOKUP(D1259,'[2]stock-take'!$M:$Q,4,FALSE)))</f>
        <v xml:space="preserve"> </v>
      </c>
      <c r="L1259" s="47">
        <f>IF(ISNA(VLOOKUP(D1259,'[2]stock-take'!$M:$Q,3,FALSE)), 0, VLOOKUP(D1259,'[2]stock-take'!$M:$Q,3,FALSE))</f>
        <v>0</v>
      </c>
      <c r="M1259" s="48" t="str">
        <f t="shared" si="58"/>
        <v xml:space="preserve"> </v>
      </c>
      <c r="N1259" s="39" t="str">
        <f t="shared" si="59"/>
        <v xml:space="preserve"> </v>
      </c>
    </row>
    <row r="1260" spans="1:14">
      <c r="A1260" s="37">
        <f t="shared" si="57"/>
        <v>1249</v>
      </c>
      <c r="G1260" s="48" t="str">
        <f>IF(F1260=""," ",IF(ISNA(VLOOKUP(D1260,'[2]stock-take'!$A:$E,4,FALSE)), "OUT OF STOCK", VLOOKUP(D1260,'[2]stock-take'!$A:$E,4,FALSE)))</f>
        <v xml:space="preserve"> </v>
      </c>
      <c r="H1260" s="48">
        <f>IF(ISNA(VLOOKUP(D1260,'[2]stock-take'!$A:$E,3,FALSE)), 0, VLOOKUP(D1260,'[2]stock-take'!$A:$E,3,FALSE))</f>
        <v>0</v>
      </c>
      <c r="I1260" s="48" t="str">
        <f>IF(F1260="", " ",IF(ISNA(VLOOKUP(D1260,'[2]stock-take'!$G:$K,4,FALSE)), "OUT OF STOCK", VLOOKUP(D1260,'[2]stock-take'!$G:$K,4,FALSE)))</f>
        <v xml:space="preserve"> </v>
      </c>
      <c r="J1260" s="39">
        <f>IF(ISNA(VLOOKUP(D1260,'[2]stock-take'!$G:$K,3,FALSE)), 0, VLOOKUP(D1260,'[2]stock-take'!$G:$K,3,FALSE))</f>
        <v>0</v>
      </c>
      <c r="K1260" s="49" t="str">
        <f>IF(F1260="", " ", IF(ISNA(VLOOKUP(D1260,'[2]stock-take'!$M:$Q,4,FALSE)), "OUT OF STOCK", VLOOKUP(D1260,'[2]stock-take'!$M:$Q,4,FALSE)))</f>
        <v xml:space="preserve"> </v>
      </c>
      <c r="L1260" s="47">
        <f>IF(ISNA(VLOOKUP(D1260,'[2]stock-take'!$M:$Q,3,FALSE)), 0, VLOOKUP(D1260,'[2]stock-take'!$M:$Q,3,FALSE))</f>
        <v>0</v>
      </c>
      <c r="M1260" s="48" t="str">
        <f t="shared" si="58"/>
        <v xml:space="preserve"> </v>
      </c>
      <c r="N1260" s="39" t="str">
        <f t="shared" si="59"/>
        <v xml:space="preserve"> </v>
      </c>
    </row>
    <row r="1261" spans="1:14">
      <c r="A1261" s="37">
        <f t="shared" si="57"/>
        <v>1250</v>
      </c>
      <c r="G1261" s="48" t="str">
        <f>IF(F1261=""," ",IF(ISNA(VLOOKUP(D1261,'[2]stock-take'!$A:$E,4,FALSE)), "OUT OF STOCK", VLOOKUP(D1261,'[2]stock-take'!$A:$E,4,FALSE)))</f>
        <v xml:space="preserve"> </v>
      </c>
      <c r="H1261" s="48">
        <f>IF(ISNA(VLOOKUP(D1261,'[2]stock-take'!$A:$E,3,FALSE)), 0, VLOOKUP(D1261,'[2]stock-take'!$A:$E,3,FALSE))</f>
        <v>0</v>
      </c>
      <c r="I1261" s="48" t="str">
        <f>IF(F1261="", " ",IF(ISNA(VLOOKUP(D1261,'[2]stock-take'!$G:$K,4,FALSE)), "OUT OF STOCK", VLOOKUP(D1261,'[2]stock-take'!$G:$K,4,FALSE)))</f>
        <v xml:space="preserve"> </v>
      </c>
      <c r="J1261" s="39">
        <f>IF(ISNA(VLOOKUP(D1261,'[2]stock-take'!$G:$K,3,FALSE)), 0, VLOOKUP(D1261,'[2]stock-take'!$G:$K,3,FALSE))</f>
        <v>0</v>
      </c>
      <c r="K1261" s="49" t="str">
        <f>IF(F1261="", " ", IF(ISNA(VLOOKUP(D1261,'[2]stock-take'!$M:$Q,4,FALSE)), "OUT OF STOCK", VLOOKUP(D1261,'[2]stock-take'!$M:$Q,4,FALSE)))</f>
        <v xml:space="preserve"> </v>
      </c>
      <c r="L1261" s="47">
        <f>IF(ISNA(VLOOKUP(D1261,'[2]stock-take'!$M:$Q,3,FALSE)), 0, VLOOKUP(D1261,'[2]stock-take'!$M:$Q,3,FALSE))</f>
        <v>0</v>
      </c>
      <c r="M1261" s="48" t="str">
        <f t="shared" si="58"/>
        <v xml:space="preserve"> </v>
      </c>
      <c r="N1261" s="39" t="str">
        <f t="shared" si="59"/>
        <v xml:space="preserve"> </v>
      </c>
    </row>
    <row r="1262" spans="1:14">
      <c r="A1262" s="37">
        <f t="shared" si="57"/>
        <v>1251</v>
      </c>
      <c r="G1262" s="48" t="str">
        <f>IF(F1262=""," ",IF(ISNA(VLOOKUP(D1262,'[2]stock-take'!$A:$E,4,FALSE)), "OUT OF STOCK", VLOOKUP(D1262,'[2]stock-take'!$A:$E,4,FALSE)))</f>
        <v xml:space="preserve"> </v>
      </c>
      <c r="H1262" s="48">
        <f>IF(ISNA(VLOOKUP(D1262,'[2]stock-take'!$A:$E,3,FALSE)), 0, VLOOKUP(D1262,'[2]stock-take'!$A:$E,3,FALSE))</f>
        <v>0</v>
      </c>
      <c r="I1262" s="48" t="str">
        <f>IF(F1262="", " ",IF(ISNA(VLOOKUP(D1262,'[2]stock-take'!$G:$K,4,FALSE)), "OUT OF STOCK", VLOOKUP(D1262,'[2]stock-take'!$G:$K,4,FALSE)))</f>
        <v xml:space="preserve"> </v>
      </c>
      <c r="J1262" s="39">
        <f>IF(ISNA(VLOOKUP(D1262,'[2]stock-take'!$G:$K,3,FALSE)), 0, VLOOKUP(D1262,'[2]stock-take'!$G:$K,3,FALSE))</f>
        <v>0</v>
      </c>
      <c r="K1262" s="49" t="str">
        <f>IF(F1262="", " ", IF(ISNA(VLOOKUP(D1262,'[2]stock-take'!$M:$Q,4,FALSE)), "OUT OF STOCK", VLOOKUP(D1262,'[2]stock-take'!$M:$Q,4,FALSE)))</f>
        <v xml:space="preserve"> </v>
      </c>
      <c r="L1262" s="47">
        <f>IF(ISNA(VLOOKUP(D1262,'[2]stock-take'!$M:$Q,3,FALSE)), 0, VLOOKUP(D1262,'[2]stock-take'!$M:$Q,3,FALSE))</f>
        <v>0</v>
      </c>
      <c r="M1262" s="48" t="str">
        <f t="shared" si="58"/>
        <v xml:space="preserve"> </v>
      </c>
      <c r="N1262" s="39" t="str">
        <f t="shared" si="59"/>
        <v xml:space="preserve"> </v>
      </c>
    </row>
    <row r="1263" spans="1:14">
      <c r="A1263" s="37">
        <f t="shared" si="57"/>
        <v>1252</v>
      </c>
      <c r="G1263" s="48" t="str">
        <f>IF(F1263=""," ",IF(ISNA(VLOOKUP(D1263,'[2]stock-take'!$A:$E,4,FALSE)), "OUT OF STOCK", VLOOKUP(D1263,'[2]stock-take'!$A:$E,4,FALSE)))</f>
        <v xml:space="preserve"> </v>
      </c>
      <c r="H1263" s="48">
        <f>IF(ISNA(VLOOKUP(D1263,'[2]stock-take'!$A:$E,3,FALSE)), 0, VLOOKUP(D1263,'[2]stock-take'!$A:$E,3,FALSE))</f>
        <v>0</v>
      </c>
      <c r="I1263" s="48" t="str">
        <f>IF(F1263="", " ",IF(ISNA(VLOOKUP(D1263,'[2]stock-take'!$G:$K,4,FALSE)), "OUT OF STOCK", VLOOKUP(D1263,'[2]stock-take'!$G:$K,4,FALSE)))</f>
        <v xml:space="preserve"> </v>
      </c>
      <c r="J1263" s="39">
        <f>IF(ISNA(VLOOKUP(D1263,'[2]stock-take'!$G:$K,3,FALSE)), 0, VLOOKUP(D1263,'[2]stock-take'!$G:$K,3,FALSE))</f>
        <v>0</v>
      </c>
      <c r="K1263" s="49" t="str">
        <f>IF(F1263="", " ", IF(ISNA(VLOOKUP(D1263,'[2]stock-take'!$M:$Q,4,FALSE)), "OUT OF STOCK", VLOOKUP(D1263,'[2]stock-take'!$M:$Q,4,FALSE)))</f>
        <v xml:space="preserve"> </v>
      </c>
      <c r="L1263" s="47">
        <f>IF(ISNA(VLOOKUP(D1263,'[2]stock-take'!$M:$Q,3,FALSE)), 0, VLOOKUP(D1263,'[2]stock-take'!$M:$Q,3,FALSE))</f>
        <v>0</v>
      </c>
      <c r="M1263" s="48" t="str">
        <f t="shared" si="58"/>
        <v xml:space="preserve"> </v>
      </c>
      <c r="N1263" s="39" t="str">
        <f t="shared" si="59"/>
        <v xml:space="preserve"> </v>
      </c>
    </row>
    <row r="1264" spans="1:14">
      <c r="A1264" s="37">
        <f t="shared" si="57"/>
        <v>1253</v>
      </c>
      <c r="G1264" s="48" t="str">
        <f>IF(F1264=""," ",IF(ISNA(VLOOKUP(D1264,'[2]stock-take'!$A:$E,4,FALSE)), "OUT OF STOCK", VLOOKUP(D1264,'[2]stock-take'!$A:$E,4,FALSE)))</f>
        <v xml:space="preserve"> </v>
      </c>
      <c r="H1264" s="48">
        <f>IF(ISNA(VLOOKUP(D1264,'[2]stock-take'!$A:$E,3,FALSE)), 0, VLOOKUP(D1264,'[2]stock-take'!$A:$E,3,FALSE))</f>
        <v>0</v>
      </c>
      <c r="I1264" s="48" t="str">
        <f>IF(F1264="", " ",IF(ISNA(VLOOKUP(D1264,'[2]stock-take'!$G:$K,4,FALSE)), "OUT OF STOCK", VLOOKUP(D1264,'[2]stock-take'!$G:$K,4,FALSE)))</f>
        <v xml:space="preserve"> </v>
      </c>
      <c r="J1264" s="39">
        <f>IF(ISNA(VLOOKUP(D1264,'[2]stock-take'!$G:$K,3,FALSE)), 0, VLOOKUP(D1264,'[2]stock-take'!$G:$K,3,FALSE))</f>
        <v>0</v>
      </c>
      <c r="K1264" s="49" t="str">
        <f>IF(F1264="", " ", IF(ISNA(VLOOKUP(D1264,'[2]stock-take'!$M:$Q,4,FALSE)), "OUT OF STOCK", VLOOKUP(D1264,'[2]stock-take'!$M:$Q,4,FALSE)))</f>
        <v xml:space="preserve"> </v>
      </c>
      <c r="L1264" s="47">
        <f>IF(ISNA(VLOOKUP(D1264,'[2]stock-take'!$M:$Q,3,FALSE)), 0, VLOOKUP(D1264,'[2]stock-take'!$M:$Q,3,FALSE))</f>
        <v>0</v>
      </c>
      <c r="M1264" s="48" t="str">
        <f t="shared" si="58"/>
        <v xml:space="preserve"> </v>
      </c>
      <c r="N1264" s="39" t="str">
        <f t="shared" si="59"/>
        <v xml:space="preserve"> </v>
      </c>
    </row>
    <row r="1265" spans="1:14">
      <c r="A1265" s="37">
        <f t="shared" si="57"/>
        <v>1254</v>
      </c>
      <c r="G1265" s="48" t="str">
        <f>IF(F1265=""," ",IF(ISNA(VLOOKUP(D1265,'[2]stock-take'!$A:$E,4,FALSE)), "OUT OF STOCK", VLOOKUP(D1265,'[2]stock-take'!$A:$E,4,FALSE)))</f>
        <v xml:space="preserve"> </v>
      </c>
      <c r="H1265" s="48">
        <f>IF(ISNA(VLOOKUP(D1265,'[2]stock-take'!$A:$E,3,FALSE)), 0, VLOOKUP(D1265,'[2]stock-take'!$A:$E,3,FALSE))</f>
        <v>0</v>
      </c>
      <c r="I1265" s="48" t="str">
        <f>IF(F1265="", " ",IF(ISNA(VLOOKUP(D1265,'[2]stock-take'!$G:$K,4,FALSE)), "OUT OF STOCK", VLOOKUP(D1265,'[2]stock-take'!$G:$K,4,FALSE)))</f>
        <v xml:space="preserve"> </v>
      </c>
      <c r="J1265" s="39">
        <f>IF(ISNA(VLOOKUP(D1265,'[2]stock-take'!$G:$K,3,FALSE)), 0, VLOOKUP(D1265,'[2]stock-take'!$G:$K,3,FALSE))</f>
        <v>0</v>
      </c>
      <c r="K1265" s="49" t="str">
        <f>IF(F1265="", " ", IF(ISNA(VLOOKUP(D1265,'[2]stock-take'!$M:$Q,4,FALSE)), "OUT OF STOCK", VLOOKUP(D1265,'[2]stock-take'!$M:$Q,4,FALSE)))</f>
        <v xml:space="preserve"> </v>
      </c>
      <c r="L1265" s="47">
        <f>IF(ISNA(VLOOKUP(D1265,'[2]stock-take'!$M:$Q,3,FALSE)), 0, VLOOKUP(D1265,'[2]stock-take'!$M:$Q,3,FALSE))</f>
        <v>0</v>
      </c>
      <c r="M1265" s="48" t="str">
        <f t="shared" si="58"/>
        <v xml:space="preserve"> </v>
      </c>
      <c r="N1265" s="39" t="str">
        <f t="shared" si="59"/>
        <v xml:space="preserve"> </v>
      </c>
    </row>
    <row r="1266" spans="1:14">
      <c r="A1266" s="37">
        <f t="shared" si="57"/>
        <v>1255</v>
      </c>
      <c r="G1266" s="48" t="str">
        <f>IF(F1266=""," ",IF(ISNA(VLOOKUP(D1266,'[2]stock-take'!$A:$E,4,FALSE)), "OUT OF STOCK", VLOOKUP(D1266,'[2]stock-take'!$A:$E,4,FALSE)))</f>
        <v xml:space="preserve"> </v>
      </c>
      <c r="H1266" s="48">
        <f>IF(ISNA(VLOOKUP(D1266,'[2]stock-take'!$A:$E,3,FALSE)), 0, VLOOKUP(D1266,'[2]stock-take'!$A:$E,3,FALSE))</f>
        <v>0</v>
      </c>
      <c r="I1266" s="48" t="str">
        <f>IF(F1266="", " ",IF(ISNA(VLOOKUP(D1266,'[2]stock-take'!$G:$K,4,FALSE)), "OUT OF STOCK", VLOOKUP(D1266,'[2]stock-take'!$G:$K,4,FALSE)))</f>
        <v xml:space="preserve"> </v>
      </c>
      <c r="J1266" s="39">
        <f>IF(ISNA(VLOOKUP(D1266,'[2]stock-take'!$G:$K,3,FALSE)), 0, VLOOKUP(D1266,'[2]stock-take'!$G:$K,3,FALSE))</f>
        <v>0</v>
      </c>
      <c r="K1266" s="49" t="str">
        <f>IF(F1266="", " ", IF(ISNA(VLOOKUP(D1266,'[2]stock-take'!$M:$Q,4,FALSE)), "OUT OF STOCK", VLOOKUP(D1266,'[2]stock-take'!$M:$Q,4,FALSE)))</f>
        <v xml:space="preserve"> </v>
      </c>
      <c r="L1266" s="47">
        <f>IF(ISNA(VLOOKUP(D1266,'[2]stock-take'!$M:$Q,3,FALSE)), 0, VLOOKUP(D1266,'[2]stock-take'!$M:$Q,3,FALSE))</f>
        <v>0</v>
      </c>
      <c r="M1266" s="48" t="str">
        <f t="shared" si="58"/>
        <v xml:space="preserve"> </v>
      </c>
      <c r="N1266" s="39" t="str">
        <f t="shared" si="59"/>
        <v xml:space="preserve"> </v>
      </c>
    </row>
    <row r="1267" spans="1:14">
      <c r="A1267" s="37">
        <f t="shared" si="57"/>
        <v>1256</v>
      </c>
      <c r="G1267" s="48" t="str">
        <f>IF(F1267=""," ",IF(ISNA(VLOOKUP(D1267,'[2]stock-take'!$A:$E,4,FALSE)), "OUT OF STOCK", VLOOKUP(D1267,'[2]stock-take'!$A:$E,4,FALSE)))</f>
        <v xml:space="preserve"> </v>
      </c>
      <c r="H1267" s="48">
        <f>IF(ISNA(VLOOKUP(D1267,'[2]stock-take'!$A:$E,3,FALSE)), 0, VLOOKUP(D1267,'[2]stock-take'!$A:$E,3,FALSE))</f>
        <v>0</v>
      </c>
      <c r="I1267" s="48" t="str">
        <f>IF(F1267="", " ",IF(ISNA(VLOOKUP(D1267,'[2]stock-take'!$G:$K,4,FALSE)), "OUT OF STOCK", VLOOKUP(D1267,'[2]stock-take'!$G:$K,4,FALSE)))</f>
        <v xml:space="preserve"> </v>
      </c>
      <c r="J1267" s="39">
        <f>IF(ISNA(VLOOKUP(D1267,'[2]stock-take'!$G:$K,3,FALSE)), 0, VLOOKUP(D1267,'[2]stock-take'!$G:$K,3,FALSE))</f>
        <v>0</v>
      </c>
      <c r="K1267" s="49" t="str">
        <f>IF(F1267="", " ", IF(ISNA(VLOOKUP(D1267,'[2]stock-take'!$M:$Q,4,FALSE)), "OUT OF STOCK", VLOOKUP(D1267,'[2]stock-take'!$M:$Q,4,FALSE)))</f>
        <v xml:space="preserve"> </v>
      </c>
      <c r="L1267" s="47">
        <f>IF(ISNA(VLOOKUP(D1267,'[2]stock-take'!$M:$Q,3,FALSE)), 0, VLOOKUP(D1267,'[2]stock-take'!$M:$Q,3,FALSE))</f>
        <v>0</v>
      </c>
      <c r="M1267" s="48" t="str">
        <f t="shared" si="58"/>
        <v xml:space="preserve"> </v>
      </c>
      <c r="N1267" s="39" t="str">
        <f t="shared" si="59"/>
        <v xml:space="preserve"> </v>
      </c>
    </row>
    <row r="1268" spans="1:14">
      <c r="A1268" s="37">
        <f t="shared" si="57"/>
        <v>1257</v>
      </c>
      <c r="G1268" s="48" t="str">
        <f>IF(F1268=""," ",IF(ISNA(VLOOKUP(D1268,'[2]stock-take'!$A:$E,4,FALSE)), "OUT OF STOCK", VLOOKUP(D1268,'[2]stock-take'!$A:$E,4,FALSE)))</f>
        <v xml:space="preserve"> </v>
      </c>
      <c r="H1268" s="48">
        <f>IF(ISNA(VLOOKUP(D1268,'[2]stock-take'!$A:$E,3,FALSE)), 0, VLOOKUP(D1268,'[2]stock-take'!$A:$E,3,FALSE))</f>
        <v>0</v>
      </c>
      <c r="I1268" s="48" t="str">
        <f>IF(F1268="", " ",IF(ISNA(VLOOKUP(D1268,'[2]stock-take'!$G:$K,4,FALSE)), "OUT OF STOCK", VLOOKUP(D1268,'[2]stock-take'!$G:$K,4,FALSE)))</f>
        <v xml:space="preserve"> </v>
      </c>
      <c r="J1268" s="39">
        <f>IF(ISNA(VLOOKUP(D1268,'[2]stock-take'!$G:$K,3,FALSE)), 0, VLOOKUP(D1268,'[2]stock-take'!$G:$K,3,FALSE))</f>
        <v>0</v>
      </c>
      <c r="K1268" s="49" t="str">
        <f>IF(F1268="", " ", IF(ISNA(VLOOKUP(D1268,'[2]stock-take'!$M:$Q,4,FALSE)), "OUT OF STOCK", VLOOKUP(D1268,'[2]stock-take'!$M:$Q,4,FALSE)))</f>
        <v xml:space="preserve"> </v>
      </c>
      <c r="L1268" s="47">
        <f>IF(ISNA(VLOOKUP(D1268,'[2]stock-take'!$M:$Q,3,FALSE)), 0, VLOOKUP(D1268,'[2]stock-take'!$M:$Q,3,FALSE))</f>
        <v>0</v>
      </c>
      <c r="M1268" s="48" t="str">
        <f t="shared" si="58"/>
        <v xml:space="preserve"> </v>
      </c>
      <c r="N1268" s="39" t="str">
        <f t="shared" si="59"/>
        <v xml:space="preserve"> </v>
      </c>
    </row>
    <row r="1269" spans="1:14">
      <c r="A1269" s="37">
        <f t="shared" si="57"/>
        <v>1258</v>
      </c>
      <c r="G1269" s="48" t="str">
        <f>IF(F1269=""," ",IF(ISNA(VLOOKUP(D1269,'[2]stock-take'!$A:$E,4,FALSE)), "OUT OF STOCK", VLOOKUP(D1269,'[2]stock-take'!$A:$E,4,FALSE)))</f>
        <v xml:space="preserve"> </v>
      </c>
      <c r="H1269" s="48">
        <f>IF(ISNA(VLOOKUP(D1269,'[2]stock-take'!$A:$E,3,FALSE)), 0, VLOOKUP(D1269,'[2]stock-take'!$A:$E,3,FALSE))</f>
        <v>0</v>
      </c>
      <c r="I1269" s="48" t="str">
        <f>IF(F1269="", " ",IF(ISNA(VLOOKUP(D1269,'[2]stock-take'!$G:$K,4,FALSE)), "OUT OF STOCK", VLOOKUP(D1269,'[2]stock-take'!$G:$K,4,FALSE)))</f>
        <v xml:space="preserve"> </v>
      </c>
      <c r="J1269" s="39">
        <f>IF(ISNA(VLOOKUP(D1269,'[2]stock-take'!$G:$K,3,FALSE)), 0, VLOOKUP(D1269,'[2]stock-take'!$G:$K,3,FALSE))</f>
        <v>0</v>
      </c>
      <c r="K1269" s="49" t="str">
        <f>IF(F1269="", " ", IF(ISNA(VLOOKUP(D1269,'[2]stock-take'!$M:$Q,4,FALSE)), "OUT OF STOCK", VLOOKUP(D1269,'[2]stock-take'!$M:$Q,4,FALSE)))</f>
        <v xml:space="preserve"> </v>
      </c>
      <c r="L1269" s="47">
        <f>IF(ISNA(VLOOKUP(D1269,'[2]stock-take'!$M:$Q,3,FALSE)), 0, VLOOKUP(D1269,'[2]stock-take'!$M:$Q,3,FALSE))</f>
        <v>0</v>
      </c>
      <c r="M1269" s="48" t="str">
        <f t="shared" si="58"/>
        <v xml:space="preserve"> </v>
      </c>
      <c r="N1269" s="39" t="str">
        <f t="shared" si="59"/>
        <v xml:space="preserve"> </v>
      </c>
    </row>
    <row r="1270" spans="1:14">
      <c r="A1270" s="37">
        <f t="shared" si="57"/>
        <v>1259</v>
      </c>
      <c r="G1270" s="48" t="str">
        <f>IF(F1270=""," ",IF(ISNA(VLOOKUP(D1270,'[2]stock-take'!$A:$E,4,FALSE)), "OUT OF STOCK", VLOOKUP(D1270,'[2]stock-take'!$A:$E,4,FALSE)))</f>
        <v xml:space="preserve"> </v>
      </c>
      <c r="H1270" s="48">
        <f>IF(ISNA(VLOOKUP(D1270,'[2]stock-take'!$A:$E,3,FALSE)), 0, VLOOKUP(D1270,'[2]stock-take'!$A:$E,3,FALSE))</f>
        <v>0</v>
      </c>
      <c r="I1270" s="48" t="str">
        <f>IF(F1270="", " ",IF(ISNA(VLOOKUP(D1270,'[2]stock-take'!$G:$K,4,FALSE)), "OUT OF STOCK", VLOOKUP(D1270,'[2]stock-take'!$G:$K,4,FALSE)))</f>
        <v xml:space="preserve"> </v>
      </c>
      <c r="J1270" s="39">
        <f>IF(ISNA(VLOOKUP(D1270,'[2]stock-take'!$G:$K,3,FALSE)), 0, VLOOKUP(D1270,'[2]stock-take'!$G:$K,3,FALSE))</f>
        <v>0</v>
      </c>
      <c r="K1270" s="49" t="str">
        <f>IF(F1270="", " ", IF(ISNA(VLOOKUP(D1270,'[2]stock-take'!$M:$Q,4,FALSE)), "OUT OF STOCK", VLOOKUP(D1270,'[2]stock-take'!$M:$Q,4,FALSE)))</f>
        <v xml:space="preserve"> </v>
      </c>
      <c r="L1270" s="47">
        <f>IF(ISNA(VLOOKUP(D1270,'[2]stock-take'!$M:$Q,3,FALSE)), 0, VLOOKUP(D1270,'[2]stock-take'!$M:$Q,3,FALSE))</f>
        <v>0</v>
      </c>
      <c r="M1270" s="48" t="str">
        <f t="shared" si="58"/>
        <v xml:space="preserve"> </v>
      </c>
      <c r="N1270" s="39" t="str">
        <f t="shared" si="59"/>
        <v xml:space="preserve"> </v>
      </c>
    </row>
    <row r="1271" spans="1:14">
      <c r="A1271" s="37">
        <f t="shared" si="57"/>
        <v>1260</v>
      </c>
      <c r="G1271" s="48" t="str">
        <f>IF(F1271=""," ",IF(ISNA(VLOOKUP(D1271,'[2]stock-take'!$A:$E,4,FALSE)), "OUT OF STOCK", VLOOKUP(D1271,'[2]stock-take'!$A:$E,4,FALSE)))</f>
        <v xml:space="preserve"> </v>
      </c>
      <c r="H1271" s="48">
        <f>IF(ISNA(VLOOKUP(D1271,'[2]stock-take'!$A:$E,3,FALSE)), 0, VLOOKUP(D1271,'[2]stock-take'!$A:$E,3,FALSE))</f>
        <v>0</v>
      </c>
      <c r="I1271" s="48" t="str">
        <f>IF(F1271="", " ",IF(ISNA(VLOOKUP(D1271,'[2]stock-take'!$G:$K,4,FALSE)), "OUT OF STOCK", VLOOKUP(D1271,'[2]stock-take'!$G:$K,4,FALSE)))</f>
        <v xml:space="preserve"> </v>
      </c>
      <c r="J1271" s="39">
        <f>IF(ISNA(VLOOKUP(D1271,'[2]stock-take'!$G:$K,3,FALSE)), 0, VLOOKUP(D1271,'[2]stock-take'!$G:$K,3,FALSE))</f>
        <v>0</v>
      </c>
      <c r="K1271" s="49" t="str">
        <f>IF(F1271="", " ", IF(ISNA(VLOOKUP(D1271,'[2]stock-take'!$M:$Q,4,FALSE)), "OUT OF STOCK", VLOOKUP(D1271,'[2]stock-take'!$M:$Q,4,FALSE)))</f>
        <v xml:space="preserve"> </v>
      </c>
      <c r="L1271" s="47">
        <f>IF(ISNA(VLOOKUP(D1271,'[2]stock-take'!$M:$Q,3,FALSE)), 0, VLOOKUP(D1271,'[2]stock-take'!$M:$Q,3,FALSE))</f>
        <v>0</v>
      </c>
      <c r="M1271" s="48" t="str">
        <f t="shared" si="58"/>
        <v xml:space="preserve"> </v>
      </c>
      <c r="N1271" s="39" t="str">
        <f t="shared" si="59"/>
        <v xml:space="preserve"> </v>
      </c>
    </row>
    <row r="1272" spans="1:14">
      <c r="A1272" s="37">
        <f t="shared" si="57"/>
        <v>1261</v>
      </c>
      <c r="G1272" s="48" t="str">
        <f>IF(F1272=""," ",IF(ISNA(VLOOKUP(D1272,'[2]stock-take'!$A:$E,4,FALSE)), "OUT OF STOCK", VLOOKUP(D1272,'[2]stock-take'!$A:$E,4,FALSE)))</f>
        <v xml:space="preserve"> </v>
      </c>
      <c r="H1272" s="48">
        <f>IF(ISNA(VLOOKUP(D1272,'[2]stock-take'!$A:$E,3,FALSE)), 0, VLOOKUP(D1272,'[2]stock-take'!$A:$E,3,FALSE))</f>
        <v>0</v>
      </c>
      <c r="I1272" s="48" t="str">
        <f>IF(F1272="", " ",IF(ISNA(VLOOKUP(D1272,'[2]stock-take'!$G:$K,4,FALSE)), "OUT OF STOCK", VLOOKUP(D1272,'[2]stock-take'!$G:$K,4,FALSE)))</f>
        <v xml:space="preserve"> </v>
      </c>
      <c r="J1272" s="39">
        <f>IF(ISNA(VLOOKUP(D1272,'[2]stock-take'!$G:$K,3,FALSE)), 0, VLOOKUP(D1272,'[2]stock-take'!$G:$K,3,FALSE))</f>
        <v>0</v>
      </c>
      <c r="K1272" s="49" t="str">
        <f>IF(F1272="", " ", IF(ISNA(VLOOKUP(D1272,'[2]stock-take'!$M:$Q,4,FALSE)), "OUT OF STOCK", VLOOKUP(D1272,'[2]stock-take'!$M:$Q,4,FALSE)))</f>
        <v xml:space="preserve"> </v>
      </c>
      <c r="L1272" s="47">
        <f>IF(ISNA(VLOOKUP(D1272,'[2]stock-take'!$M:$Q,3,FALSE)), 0, VLOOKUP(D1272,'[2]stock-take'!$M:$Q,3,FALSE))</f>
        <v>0</v>
      </c>
      <c r="M1272" s="48" t="str">
        <f t="shared" si="58"/>
        <v xml:space="preserve"> </v>
      </c>
      <c r="N1272" s="39" t="str">
        <f t="shared" si="59"/>
        <v xml:space="preserve"> </v>
      </c>
    </row>
    <row r="1273" spans="1:14">
      <c r="A1273" s="37">
        <f t="shared" si="57"/>
        <v>1262</v>
      </c>
      <c r="G1273" s="48" t="str">
        <f>IF(F1273=""," ",IF(ISNA(VLOOKUP(D1273,'[2]stock-take'!$A:$E,4,FALSE)), "OUT OF STOCK", VLOOKUP(D1273,'[2]stock-take'!$A:$E,4,FALSE)))</f>
        <v xml:space="preserve"> </v>
      </c>
      <c r="H1273" s="48">
        <f>IF(ISNA(VLOOKUP(D1273,'[2]stock-take'!$A:$E,3,FALSE)), 0, VLOOKUP(D1273,'[2]stock-take'!$A:$E,3,FALSE))</f>
        <v>0</v>
      </c>
      <c r="I1273" s="48" t="str">
        <f>IF(F1273="", " ",IF(ISNA(VLOOKUP(D1273,'[2]stock-take'!$G:$K,4,FALSE)), "OUT OF STOCK", VLOOKUP(D1273,'[2]stock-take'!$G:$K,4,FALSE)))</f>
        <v xml:space="preserve"> </v>
      </c>
      <c r="J1273" s="39">
        <f>IF(ISNA(VLOOKUP(D1273,'[2]stock-take'!$G:$K,3,FALSE)), 0, VLOOKUP(D1273,'[2]stock-take'!$G:$K,3,FALSE))</f>
        <v>0</v>
      </c>
      <c r="K1273" s="49" t="str">
        <f>IF(F1273="", " ", IF(ISNA(VLOOKUP(D1273,'[2]stock-take'!$M:$Q,4,FALSE)), "OUT OF STOCK", VLOOKUP(D1273,'[2]stock-take'!$M:$Q,4,FALSE)))</f>
        <v xml:space="preserve"> </v>
      </c>
      <c r="L1273" s="47">
        <f>IF(ISNA(VLOOKUP(D1273,'[2]stock-take'!$M:$Q,3,FALSE)), 0, VLOOKUP(D1273,'[2]stock-take'!$M:$Q,3,FALSE))</f>
        <v>0</v>
      </c>
      <c r="M1273" s="48" t="str">
        <f t="shared" si="58"/>
        <v xml:space="preserve"> </v>
      </c>
      <c r="N1273" s="39" t="str">
        <f t="shared" si="59"/>
        <v xml:space="preserve"> </v>
      </c>
    </row>
    <row r="1274" spans="1:14">
      <c r="A1274" s="37">
        <f t="shared" si="57"/>
        <v>1263</v>
      </c>
      <c r="G1274" s="48" t="str">
        <f>IF(F1274=""," ",IF(ISNA(VLOOKUP(D1274,'[2]stock-take'!$A:$E,4,FALSE)), "OUT OF STOCK", VLOOKUP(D1274,'[2]stock-take'!$A:$E,4,FALSE)))</f>
        <v xml:space="preserve"> </v>
      </c>
      <c r="H1274" s="48">
        <f>IF(ISNA(VLOOKUP(D1274,'[2]stock-take'!$A:$E,3,FALSE)), 0, VLOOKUP(D1274,'[2]stock-take'!$A:$E,3,FALSE))</f>
        <v>0</v>
      </c>
      <c r="I1274" s="48" t="str">
        <f>IF(F1274="", " ",IF(ISNA(VLOOKUP(D1274,'[2]stock-take'!$G:$K,4,FALSE)), "OUT OF STOCK", VLOOKUP(D1274,'[2]stock-take'!$G:$K,4,FALSE)))</f>
        <v xml:space="preserve"> </v>
      </c>
      <c r="J1274" s="39">
        <f>IF(ISNA(VLOOKUP(D1274,'[2]stock-take'!$G:$K,3,FALSE)), 0, VLOOKUP(D1274,'[2]stock-take'!$G:$K,3,FALSE))</f>
        <v>0</v>
      </c>
      <c r="K1274" s="49" t="str">
        <f>IF(F1274="", " ", IF(ISNA(VLOOKUP(D1274,'[2]stock-take'!$M:$Q,4,FALSE)), "OUT OF STOCK", VLOOKUP(D1274,'[2]stock-take'!$M:$Q,4,FALSE)))</f>
        <v xml:space="preserve"> </v>
      </c>
      <c r="L1274" s="47">
        <f>IF(ISNA(VLOOKUP(D1274,'[2]stock-take'!$M:$Q,3,FALSE)), 0, VLOOKUP(D1274,'[2]stock-take'!$M:$Q,3,FALSE))</f>
        <v>0</v>
      </c>
      <c r="M1274" s="48" t="str">
        <f t="shared" si="58"/>
        <v xml:space="preserve"> </v>
      </c>
      <c r="N1274" s="39" t="str">
        <f t="shared" si="59"/>
        <v xml:space="preserve"> </v>
      </c>
    </row>
    <row r="1275" spans="1:14">
      <c r="A1275" s="37">
        <f t="shared" si="57"/>
        <v>1264</v>
      </c>
      <c r="G1275" s="48" t="str">
        <f>IF(F1275=""," ",IF(ISNA(VLOOKUP(D1275,'[2]stock-take'!$A:$E,4,FALSE)), "OUT OF STOCK", VLOOKUP(D1275,'[2]stock-take'!$A:$E,4,FALSE)))</f>
        <v xml:space="preserve"> </v>
      </c>
      <c r="H1275" s="48">
        <f>IF(ISNA(VLOOKUP(D1275,'[2]stock-take'!$A:$E,3,FALSE)), 0, VLOOKUP(D1275,'[2]stock-take'!$A:$E,3,FALSE))</f>
        <v>0</v>
      </c>
      <c r="I1275" s="48" t="str">
        <f>IF(F1275="", " ",IF(ISNA(VLOOKUP(D1275,'[2]stock-take'!$G:$K,4,FALSE)), "OUT OF STOCK", VLOOKUP(D1275,'[2]stock-take'!$G:$K,4,FALSE)))</f>
        <v xml:space="preserve"> </v>
      </c>
      <c r="J1275" s="39">
        <f>IF(ISNA(VLOOKUP(D1275,'[2]stock-take'!$G:$K,3,FALSE)), 0, VLOOKUP(D1275,'[2]stock-take'!$G:$K,3,FALSE))</f>
        <v>0</v>
      </c>
      <c r="K1275" s="49" t="str">
        <f>IF(F1275="", " ", IF(ISNA(VLOOKUP(D1275,'[2]stock-take'!$M:$Q,4,FALSE)), "OUT OF STOCK", VLOOKUP(D1275,'[2]stock-take'!$M:$Q,4,FALSE)))</f>
        <v xml:space="preserve"> </v>
      </c>
      <c r="L1275" s="47">
        <f>IF(ISNA(VLOOKUP(D1275,'[2]stock-take'!$M:$Q,3,FALSE)), 0, VLOOKUP(D1275,'[2]stock-take'!$M:$Q,3,FALSE))</f>
        <v>0</v>
      </c>
      <c r="M1275" s="48" t="str">
        <f t="shared" si="58"/>
        <v xml:space="preserve"> </v>
      </c>
      <c r="N1275" s="39" t="str">
        <f t="shared" si="59"/>
        <v xml:space="preserve"> </v>
      </c>
    </row>
    <row r="1276" spans="1:14">
      <c r="A1276" s="37">
        <f t="shared" si="57"/>
        <v>1265</v>
      </c>
      <c r="G1276" s="48" t="str">
        <f>IF(F1276=""," ",IF(ISNA(VLOOKUP(D1276,'[2]stock-take'!$A:$E,4,FALSE)), "OUT OF STOCK", VLOOKUP(D1276,'[2]stock-take'!$A:$E,4,FALSE)))</f>
        <v xml:space="preserve"> </v>
      </c>
      <c r="H1276" s="48">
        <f>IF(ISNA(VLOOKUP(D1276,'[2]stock-take'!$A:$E,3,FALSE)), 0, VLOOKUP(D1276,'[2]stock-take'!$A:$E,3,FALSE))</f>
        <v>0</v>
      </c>
      <c r="I1276" s="48" t="str">
        <f>IF(F1276="", " ",IF(ISNA(VLOOKUP(D1276,'[2]stock-take'!$G:$K,4,FALSE)), "OUT OF STOCK", VLOOKUP(D1276,'[2]stock-take'!$G:$K,4,FALSE)))</f>
        <v xml:space="preserve"> </v>
      </c>
      <c r="J1276" s="39">
        <f>IF(ISNA(VLOOKUP(D1276,'[2]stock-take'!$G:$K,3,FALSE)), 0, VLOOKUP(D1276,'[2]stock-take'!$G:$K,3,FALSE))</f>
        <v>0</v>
      </c>
      <c r="K1276" s="49" t="str">
        <f>IF(F1276="", " ", IF(ISNA(VLOOKUP(D1276,'[2]stock-take'!$M:$Q,4,FALSE)), "OUT OF STOCK", VLOOKUP(D1276,'[2]stock-take'!$M:$Q,4,FALSE)))</f>
        <v xml:space="preserve"> </v>
      </c>
      <c r="L1276" s="47">
        <f>IF(ISNA(VLOOKUP(D1276,'[2]stock-take'!$M:$Q,3,FALSE)), 0, VLOOKUP(D1276,'[2]stock-take'!$M:$Q,3,FALSE))</f>
        <v>0</v>
      </c>
      <c r="M1276" s="48" t="str">
        <f t="shared" si="58"/>
        <v xml:space="preserve"> </v>
      </c>
      <c r="N1276" s="39" t="str">
        <f t="shared" si="59"/>
        <v xml:space="preserve"> </v>
      </c>
    </row>
    <row r="1277" spans="1:14">
      <c r="A1277" s="37">
        <f t="shared" si="57"/>
        <v>1266</v>
      </c>
      <c r="G1277" s="48" t="str">
        <f>IF(F1277=""," ",IF(ISNA(VLOOKUP(D1277,'[2]stock-take'!$A:$E,4,FALSE)), "OUT OF STOCK", VLOOKUP(D1277,'[2]stock-take'!$A:$E,4,FALSE)))</f>
        <v xml:space="preserve"> </v>
      </c>
      <c r="H1277" s="48">
        <f>IF(ISNA(VLOOKUP(D1277,'[2]stock-take'!$A:$E,3,FALSE)), 0, VLOOKUP(D1277,'[2]stock-take'!$A:$E,3,FALSE))</f>
        <v>0</v>
      </c>
      <c r="I1277" s="48" t="str">
        <f>IF(F1277="", " ",IF(ISNA(VLOOKUP(D1277,'[2]stock-take'!$G:$K,4,FALSE)), "OUT OF STOCK", VLOOKUP(D1277,'[2]stock-take'!$G:$K,4,FALSE)))</f>
        <v xml:space="preserve"> </v>
      </c>
      <c r="J1277" s="39">
        <f>IF(ISNA(VLOOKUP(D1277,'[2]stock-take'!$G:$K,3,FALSE)), 0, VLOOKUP(D1277,'[2]stock-take'!$G:$K,3,FALSE))</f>
        <v>0</v>
      </c>
      <c r="K1277" s="49" t="str">
        <f>IF(F1277="", " ", IF(ISNA(VLOOKUP(D1277,'[2]stock-take'!$M:$Q,4,FALSE)), "OUT OF STOCK", VLOOKUP(D1277,'[2]stock-take'!$M:$Q,4,FALSE)))</f>
        <v xml:space="preserve"> </v>
      </c>
      <c r="L1277" s="47">
        <f>IF(ISNA(VLOOKUP(D1277,'[2]stock-take'!$M:$Q,3,FALSE)), 0, VLOOKUP(D1277,'[2]stock-take'!$M:$Q,3,FALSE))</f>
        <v>0</v>
      </c>
      <c r="M1277" s="48" t="str">
        <f t="shared" si="58"/>
        <v xml:space="preserve"> </v>
      </c>
      <c r="N1277" s="39" t="str">
        <f t="shared" si="59"/>
        <v xml:space="preserve"> </v>
      </c>
    </row>
    <row r="1278" spans="1:14">
      <c r="A1278" s="37">
        <f t="shared" si="57"/>
        <v>1267</v>
      </c>
      <c r="G1278" s="48" t="str">
        <f>IF(F1278=""," ",IF(ISNA(VLOOKUP(D1278,'[2]stock-take'!$A:$E,4,FALSE)), "OUT OF STOCK", VLOOKUP(D1278,'[2]stock-take'!$A:$E,4,FALSE)))</f>
        <v xml:space="preserve"> </v>
      </c>
      <c r="H1278" s="48">
        <f>IF(ISNA(VLOOKUP(D1278,'[2]stock-take'!$A:$E,3,FALSE)), 0, VLOOKUP(D1278,'[2]stock-take'!$A:$E,3,FALSE))</f>
        <v>0</v>
      </c>
      <c r="I1278" s="48" t="str">
        <f>IF(F1278="", " ",IF(ISNA(VLOOKUP(D1278,'[2]stock-take'!$G:$K,4,FALSE)), "OUT OF STOCK", VLOOKUP(D1278,'[2]stock-take'!$G:$K,4,FALSE)))</f>
        <v xml:space="preserve"> </v>
      </c>
      <c r="J1278" s="39">
        <f>IF(ISNA(VLOOKUP(D1278,'[2]stock-take'!$G:$K,3,FALSE)), 0, VLOOKUP(D1278,'[2]stock-take'!$G:$K,3,FALSE))</f>
        <v>0</v>
      </c>
      <c r="K1278" s="49" t="str">
        <f>IF(F1278="", " ", IF(ISNA(VLOOKUP(D1278,'[2]stock-take'!$M:$Q,4,FALSE)), "OUT OF STOCK", VLOOKUP(D1278,'[2]stock-take'!$M:$Q,4,FALSE)))</f>
        <v xml:space="preserve"> </v>
      </c>
      <c r="L1278" s="47">
        <f>IF(ISNA(VLOOKUP(D1278,'[2]stock-take'!$M:$Q,3,FALSE)), 0, VLOOKUP(D1278,'[2]stock-take'!$M:$Q,3,FALSE))</f>
        <v>0</v>
      </c>
      <c r="M1278" s="48" t="str">
        <f t="shared" si="58"/>
        <v xml:space="preserve"> </v>
      </c>
      <c r="N1278" s="39" t="str">
        <f t="shared" si="59"/>
        <v xml:space="preserve"> </v>
      </c>
    </row>
    <row r="1279" spans="1:14">
      <c r="A1279" s="37">
        <f t="shared" si="57"/>
        <v>1268</v>
      </c>
      <c r="G1279" s="48" t="str">
        <f>IF(F1279=""," ",IF(ISNA(VLOOKUP(D1279,'[2]stock-take'!$A:$E,4,FALSE)), "OUT OF STOCK", VLOOKUP(D1279,'[2]stock-take'!$A:$E,4,FALSE)))</f>
        <v xml:space="preserve"> </v>
      </c>
      <c r="H1279" s="48">
        <f>IF(ISNA(VLOOKUP(D1279,'[2]stock-take'!$A:$E,3,FALSE)), 0, VLOOKUP(D1279,'[2]stock-take'!$A:$E,3,FALSE))</f>
        <v>0</v>
      </c>
      <c r="I1279" s="48" t="str">
        <f>IF(F1279="", " ",IF(ISNA(VLOOKUP(D1279,'[2]stock-take'!$G:$K,4,FALSE)), "OUT OF STOCK", VLOOKUP(D1279,'[2]stock-take'!$G:$K,4,FALSE)))</f>
        <v xml:space="preserve"> </v>
      </c>
      <c r="J1279" s="39">
        <f>IF(ISNA(VLOOKUP(D1279,'[2]stock-take'!$G:$K,3,FALSE)), 0, VLOOKUP(D1279,'[2]stock-take'!$G:$K,3,FALSE))</f>
        <v>0</v>
      </c>
      <c r="K1279" s="49" t="str">
        <f>IF(F1279="", " ", IF(ISNA(VLOOKUP(D1279,'[2]stock-take'!$M:$Q,4,FALSE)), "OUT OF STOCK", VLOOKUP(D1279,'[2]stock-take'!$M:$Q,4,FALSE)))</f>
        <v xml:space="preserve"> </v>
      </c>
      <c r="L1279" s="47">
        <f>IF(ISNA(VLOOKUP(D1279,'[2]stock-take'!$M:$Q,3,FALSE)), 0, VLOOKUP(D1279,'[2]stock-take'!$M:$Q,3,FALSE))</f>
        <v>0</v>
      </c>
      <c r="M1279" s="48" t="str">
        <f t="shared" si="58"/>
        <v xml:space="preserve"> </v>
      </c>
      <c r="N1279" s="39" t="str">
        <f t="shared" si="59"/>
        <v xml:space="preserve"> </v>
      </c>
    </row>
    <row r="1280" spans="1:14">
      <c r="A1280" s="37">
        <f t="shared" si="57"/>
        <v>1269</v>
      </c>
      <c r="G1280" s="48" t="str">
        <f>IF(F1280=""," ",IF(ISNA(VLOOKUP(D1280,'[2]stock-take'!$A:$E,4,FALSE)), "OUT OF STOCK", VLOOKUP(D1280,'[2]stock-take'!$A:$E,4,FALSE)))</f>
        <v xml:space="preserve"> </v>
      </c>
      <c r="H1280" s="48">
        <f>IF(ISNA(VLOOKUP(D1280,'[2]stock-take'!$A:$E,3,FALSE)), 0, VLOOKUP(D1280,'[2]stock-take'!$A:$E,3,FALSE))</f>
        <v>0</v>
      </c>
      <c r="I1280" s="48" t="str">
        <f>IF(F1280="", " ",IF(ISNA(VLOOKUP(D1280,'[2]stock-take'!$G:$K,4,FALSE)), "OUT OF STOCK", VLOOKUP(D1280,'[2]stock-take'!$G:$K,4,FALSE)))</f>
        <v xml:space="preserve"> </v>
      </c>
      <c r="J1280" s="39">
        <f>IF(ISNA(VLOOKUP(D1280,'[2]stock-take'!$G:$K,3,FALSE)), 0, VLOOKUP(D1280,'[2]stock-take'!$G:$K,3,FALSE))</f>
        <v>0</v>
      </c>
      <c r="K1280" s="49" t="str">
        <f>IF(F1280="", " ", IF(ISNA(VLOOKUP(D1280,'[2]stock-take'!$M:$Q,4,FALSE)), "OUT OF STOCK", VLOOKUP(D1280,'[2]stock-take'!$M:$Q,4,FALSE)))</f>
        <v xml:space="preserve"> </v>
      </c>
      <c r="L1280" s="47">
        <f>IF(ISNA(VLOOKUP(D1280,'[2]stock-take'!$M:$Q,3,FALSE)), 0, VLOOKUP(D1280,'[2]stock-take'!$M:$Q,3,FALSE))</f>
        <v>0</v>
      </c>
      <c r="M1280" s="48" t="str">
        <f t="shared" si="58"/>
        <v xml:space="preserve"> </v>
      </c>
      <c r="N1280" s="39" t="str">
        <f t="shared" si="59"/>
        <v xml:space="preserve"> </v>
      </c>
    </row>
    <row r="1281" spans="1:14">
      <c r="A1281" s="37">
        <f t="shared" si="57"/>
        <v>1270</v>
      </c>
      <c r="G1281" s="48" t="str">
        <f>IF(F1281=""," ",IF(ISNA(VLOOKUP(D1281,'[2]stock-take'!$A:$E,4,FALSE)), "OUT OF STOCK", VLOOKUP(D1281,'[2]stock-take'!$A:$E,4,FALSE)))</f>
        <v xml:space="preserve"> </v>
      </c>
      <c r="H1281" s="48">
        <f>IF(ISNA(VLOOKUP(D1281,'[2]stock-take'!$A:$E,3,FALSE)), 0, VLOOKUP(D1281,'[2]stock-take'!$A:$E,3,FALSE))</f>
        <v>0</v>
      </c>
      <c r="I1281" s="48" t="str">
        <f>IF(F1281="", " ",IF(ISNA(VLOOKUP(D1281,'[2]stock-take'!$G:$K,4,FALSE)), "OUT OF STOCK", VLOOKUP(D1281,'[2]stock-take'!$G:$K,4,FALSE)))</f>
        <v xml:space="preserve"> </v>
      </c>
      <c r="J1281" s="39">
        <f>IF(ISNA(VLOOKUP(D1281,'[2]stock-take'!$G:$K,3,FALSE)), 0, VLOOKUP(D1281,'[2]stock-take'!$G:$K,3,FALSE))</f>
        <v>0</v>
      </c>
      <c r="K1281" s="49" t="str">
        <f>IF(F1281="", " ", IF(ISNA(VLOOKUP(D1281,'[2]stock-take'!$M:$Q,4,FALSE)), "OUT OF STOCK", VLOOKUP(D1281,'[2]stock-take'!$M:$Q,4,FALSE)))</f>
        <v xml:space="preserve"> </v>
      </c>
      <c r="L1281" s="47">
        <f>IF(ISNA(VLOOKUP(D1281,'[2]stock-take'!$M:$Q,3,FALSE)), 0, VLOOKUP(D1281,'[2]stock-take'!$M:$Q,3,FALSE))</f>
        <v>0</v>
      </c>
      <c r="M1281" s="48" t="str">
        <f t="shared" si="58"/>
        <v xml:space="preserve"> </v>
      </c>
      <c r="N1281" s="39" t="str">
        <f t="shared" si="59"/>
        <v xml:space="preserve"> </v>
      </c>
    </row>
    <row r="1282" spans="1:14">
      <c r="A1282" s="37">
        <f t="shared" si="57"/>
        <v>1271</v>
      </c>
      <c r="G1282" s="48" t="str">
        <f>IF(F1282=""," ",IF(ISNA(VLOOKUP(D1282,'[2]stock-take'!$A:$E,4,FALSE)), "OUT OF STOCK", VLOOKUP(D1282,'[2]stock-take'!$A:$E,4,FALSE)))</f>
        <v xml:space="preserve"> </v>
      </c>
      <c r="H1282" s="48">
        <f>IF(ISNA(VLOOKUP(D1282,'[2]stock-take'!$A:$E,3,FALSE)), 0, VLOOKUP(D1282,'[2]stock-take'!$A:$E,3,FALSE))</f>
        <v>0</v>
      </c>
      <c r="I1282" s="48" t="str">
        <f>IF(F1282="", " ",IF(ISNA(VLOOKUP(D1282,'[2]stock-take'!$G:$K,4,FALSE)), "OUT OF STOCK", VLOOKUP(D1282,'[2]stock-take'!$G:$K,4,FALSE)))</f>
        <v xml:space="preserve"> </v>
      </c>
      <c r="J1282" s="39">
        <f>IF(ISNA(VLOOKUP(D1282,'[2]stock-take'!$G:$K,3,FALSE)), 0, VLOOKUP(D1282,'[2]stock-take'!$G:$K,3,FALSE))</f>
        <v>0</v>
      </c>
      <c r="K1282" s="49" t="str">
        <f>IF(F1282="", " ", IF(ISNA(VLOOKUP(D1282,'[2]stock-take'!$M:$Q,4,FALSE)), "OUT OF STOCK", VLOOKUP(D1282,'[2]stock-take'!$M:$Q,4,FALSE)))</f>
        <v xml:space="preserve"> </v>
      </c>
      <c r="L1282" s="47">
        <f>IF(ISNA(VLOOKUP(D1282,'[2]stock-take'!$M:$Q,3,FALSE)), 0, VLOOKUP(D1282,'[2]stock-take'!$M:$Q,3,FALSE))</f>
        <v>0</v>
      </c>
      <c r="M1282" s="48" t="str">
        <f t="shared" si="58"/>
        <v xml:space="preserve"> </v>
      </c>
      <c r="N1282" s="39" t="str">
        <f t="shared" si="59"/>
        <v xml:space="preserve"> </v>
      </c>
    </row>
    <row r="1283" spans="1:14">
      <c r="A1283" s="37">
        <f t="shared" si="57"/>
        <v>1272</v>
      </c>
      <c r="G1283" s="48" t="str">
        <f>IF(F1283=""," ",IF(ISNA(VLOOKUP(D1283,'[2]stock-take'!$A:$E,4,FALSE)), "OUT OF STOCK", VLOOKUP(D1283,'[2]stock-take'!$A:$E,4,FALSE)))</f>
        <v xml:space="preserve"> </v>
      </c>
      <c r="H1283" s="48">
        <f>IF(ISNA(VLOOKUP(D1283,'[2]stock-take'!$A:$E,3,FALSE)), 0, VLOOKUP(D1283,'[2]stock-take'!$A:$E,3,FALSE))</f>
        <v>0</v>
      </c>
      <c r="I1283" s="48" t="str">
        <f>IF(F1283="", " ",IF(ISNA(VLOOKUP(D1283,'[2]stock-take'!$G:$K,4,FALSE)), "OUT OF STOCK", VLOOKUP(D1283,'[2]stock-take'!$G:$K,4,FALSE)))</f>
        <v xml:space="preserve"> </v>
      </c>
      <c r="J1283" s="39">
        <f>IF(ISNA(VLOOKUP(D1283,'[2]stock-take'!$G:$K,3,FALSE)), 0, VLOOKUP(D1283,'[2]stock-take'!$G:$K,3,FALSE))</f>
        <v>0</v>
      </c>
      <c r="K1283" s="49" t="str">
        <f>IF(F1283="", " ", IF(ISNA(VLOOKUP(D1283,'[2]stock-take'!$M:$Q,4,FALSE)), "OUT OF STOCK", VLOOKUP(D1283,'[2]stock-take'!$M:$Q,4,FALSE)))</f>
        <v xml:space="preserve"> </v>
      </c>
      <c r="L1283" s="47">
        <f>IF(ISNA(VLOOKUP(D1283,'[2]stock-take'!$M:$Q,3,FALSE)), 0, VLOOKUP(D1283,'[2]stock-take'!$M:$Q,3,FALSE))</f>
        <v>0</v>
      </c>
      <c r="M1283" s="48" t="str">
        <f t="shared" si="58"/>
        <v xml:space="preserve"> </v>
      </c>
      <c r="N1283" s="39" t="str">
        <f t="shared" si="59"/>
        <v xml:space="preserve"> </v>
      </c>
    </row>
    <row r="1284" spans="1:14">
      <c r="A1284" s="37">
        <f t="shared" si="57"/>
        <v>1273</v>
      </c>
      <c r="G1284" s="48" t="str">
        <f>IF(F1284=""," ",IF(ISNA(VLOOKUP(D1284,'[2]stock-take'!$A:$E,4,FALSE)), "OUT OF STOCK", VLOOKUP(D1284,'[2]stock-take'!$A:$E,4,FALSE)))</f>
        <v xml:space="preserve"> </v>
      </c>
      <c r="H1284" s="48">
        <f>IF(ISNA(VLOOKUP(D1284,'[2]stock-take'!$A:$E,3,FALSE)), 0, VLOOKUP(D1284,'[2]stock-take'!$A:$E,3,FALSE))</f>
        <v>0</v>
      </c>
      <c r="I1284" s="48" t="str">
        <f>IF(F1284="", " ",IF(ISNA(VLOOKUP(D1284,'[2]stock-take'!$G:$K,4,FALSE)), "OUT OF STOCK", VLOOKUP(D1284,'[2]stock-take'!$G:$K,4,FALSE)))</f>
        <v xml:space="preserve"> </v>
      </c>
      <c r="J1284" s="39">
        <f>IF(ISNA(VLOOKUP(D1284,'[2]stock-take'!$G:$K,3,FALSE)), 0, VLOOKUP(D1284,'[2]stock-take'!$G:$K,3,FALSE))</f>
        <v>0</v>
      </c>
      <c r="K1284" s="49" t="str">
        <f>IF(F1284="", " ", IF(ISNA(VLOOKUP(D1284,'[2]stock-take'!$M:$Q,4,FALSE)), "OUT OF STOCK", VLOOKUP(D1284,'[2]stock-take'!$M:$Q,4,FALSE)))</f>
        <v xml:space="preserve"> </v>
      </c>
      <c r="L1284" s="47">
        <f>IF(ISNA(VLOOKUP(D1284,'[2]stock-take'!$M:$Q,3,FALSE)), 0, VLOOKUP(D1284,'[2]stock-take'!$M:$Q,3,FALSE))</f>
        <v>0</v>
      </c>
      <c r="M1284" s="48" t="str">
        <f t="shared" si="58"/>
        <v xml:space="preserve"> </v>
      </c>
      <c r="N1284" s="39" t="str">
        <f t="shared" si="59"/>
        <v xml:space="preserve"> </v>
      </c>
    </row>
    <row r="1285" spans="1:14">
      <c r="A1285" s="37">
        <f t="shared" si="57"/>
        <v>1274</v>
      </c>
      <c r="G1285" s="48" t="str">
        <f>IF(F1285=""," ",IF(ISNA(VLOOKUP(D1285,'[2]stock-take'!$A:$E,4,FALSE)), "OUT OF STOCK", VLOOKUP(D1285,'[2]stock-take'!$A:$E,4,FALSE)))</f>
        <v xml:space="preserve"> </v>
      </c>
      <c r="H1285" s="48">
        <f>IF(ISNA(VLOOKUP(D1285,'[2]stock-take'!$A:$E,3,FALSE)), 0, VLOOKUP(D1285,'[2]stock-take'!$A:$E,3,FALSE))</f>
        <v>0</v>
      </c>
      <c r="I1285" s="48" t="str">
        <f>IF(F1285="", " ",IF(ISNA(VLOOKUP(D1285,'[2]stock-take'!$G:$K,4,FALSE)), "OUT OF STOCK", VLOOKUP(D1285,'[2]stock-take'!$G:$K,4,FALSE)))</f>
        <v xml:space="preserve"> </v>
      </c>
      <c r="J1285" s="39">
        <f>IF(ISNA(VLOOKUP(D1285,'[2]stock-take'!$G:$K,3,FALSE)), 0, VLOOKUP(D1285,'[2]stock-take'!$G:$K,3,FALSE))</f>
        <v>0</v>
      </c>
      <c r="K1285" s="49" t="str">
        <f>IF(F1285="", " ", IF(ISNA(VLOOKUP(D1285,'[2]stock-take'!$M:$Q,4,FALSE)), "OUT OF STOCK", VLOOKUP(D1285,'[2]stock-take'!$M:$Q,4,FALSE)))</f>
        <v xml:space="preserve"> </v>
      </c>
      <c r="L1285" s="47">
        <f>IF(ISNA(VLOOKUP(D1285,'[2]stock-take'!$M:$Q,3,FALSE)), 0, VLOOKUP(D1285,'[2]stock-take'!$M:$Q,3,FALSE))</f>
        <v>0</v>
      </c>
      <c r="M1285" s="48" t="str">
        <f t="shared" si="58"/>
        <v xml:space="preserve"> </v>
      </c>
      <c r="N1285" s="39" t="str">
        <f t="shared" si="59"/>
        <v xml:space="preserve"> </v>
      </c>
    </row>
    <row r="1286" spans="1:14">
      <c r="A1286" s="37">
        <f t="shared" si="57"/>
        <v>1275</v>
      </c>
      <c r="G1286" s="48" t="str">
        <f>IF(F1286=""," ",IF(ISNA(VLOOKUP(D1286,'[2]stock-take'!$A:$E,4,FALSE)), "OUT OF STOCK", VLOOKUP(D1286,'[2]stock-take'!$A:$E,4,FALSE)))</f>
        <v xml:space="preserve"> </v>
      </c>
      <c r="H1286" s="48">
        <f>IF(ISNA(VLOOKUP(D1286,'[2]stock-take'!$A:$E,3,FALSE)), 0, VLOOKUP(D1286,'[2]stock-take'!$A:$E,3,FALSE))</f>
        <v>0</v>
      </c>
      <c r="I1286" s="48" t="str">
        <f>IF(F1286="", " ",IF(ISNA(VLOOKUP(D1286,'[2]stock-take'!$G:$K,4,FALSE)), "OUT OF STOCK", VLOOKUP(D1286,'[2]stock-take'!$G:$K,4,FALSE)))</f>
        <v xml:space="preserve"> </v>
      </c>
      <c r="J1286" s="39">
        <f>IF(ISNA(VLOOKUP(D1286,'[2]stock-take'!$G:$K,3,FALSE)), 0, VLOOKUP(D1286,'[2]stock-take'!$G:$K,3,FALSE))</f>
        <v>0</v>
      </c>
      <c r="K1286" s="49" t="str">
        <f>IF(F1286="", " ", IF(ISNA(VLOOKUP(D1286,'[2]stock-take'!$M:$Q,4,FALSE)), "OUT OF STOCK", VLOOKUP(D1286,'[2]stock-take'!$M:$Q,4,FALSE)))</f>
        <v xml:space="preserve"> </v>
      </c>
      <c r="L1286" s="47">
        <f>IF(ISNA(VLOOKUP(D1286,'[2]stock-take'!$M:$Q,3,FALSE)), 0, VLOOKUP(D1286,'[2]stock-take'!$M:$Q,3,FALSE))</f>
        <v>0</v>
      </c>
      <c r="M1286" s="48" t="str">
        <f t="shared" si="58"/>
        <v xml:space="preserve"> </v>
      </c>
      <c r="N1286" s="39" t="str">
        <f t="shared" si="59"/>
        <v xml:space="preserve"> </v>
      </c>
    </row>
    <row r="1287" spans="1:14">
      <c r="A1287" s="37">
        <f t="shared" si="57"/>
        <v>1276</v>
      </c>
      <c r="G1287" s="48" t="str">
        <f>IF(F1287=""," ",IF(ISNA(VLOOKUP(D1287,'[2]stock-take'!$A:$E,4,FALSE)), "OUT OF STOCK", VLOOKUP(D1287,'[2]stock-take'!$A:$E,4,FALSE)))</f>
        <v xml:space="preserve"> </v>
      </c>
      <c r="H1287" s="48">
        <f>IF(ISNA(VLOOKUP(D1287,'[2]stock-take'!$A:$E,3,FALSE)), 0, VLOOKUP(D1287,'[2]stock-take'!$A:$E,3,FALSE))</f>
        <v>0</v>
      </c>
      <c r="I1287" s="48" t="str">
        <f>IF(F1287="", " ",IF(ISNA(VLOOKUP(D1287,'[2]stock-take'!$G:$K,4,FALSE)), "OUT OF STOCK", VLOOKUP(D1287,'[2]stock-take'!$G:$K,4,FALSE)))</f>
        <v xml:space="preserve"> </v>
      </c>
      <c r="J1287" s="39">
        <f>IF(ISNA(VLOOKUP(D1287,'[2]stock-take'!$G:$K,3,FALSE)), 0, VLOOKUP(D1287,'[2]stock-take'!$G:$K,3,FALSE))</f>
        <v>0</v>
      </c>
      <c r="K1287" s="49" t="str">
        <f>IF(F1287="", " ", IF(ISNA(VLOOKUP(D1287,'[2]stock-take'!$M:$Q,4,FALSE)), "OUT OF STOCK", VLOOKUP(D1287,'[2]stock-take'!$M:$Q,4,FALSE)))</f>
        <v xml:space="preserve"> </v>
      </c>
      <c r="L1287" s="47">
        <f>IF(ISNA(VLOOKUP(D1287,'[2]stock-take'!$M:$Q,3,FALSE)), 0, VLOOKUP(D1287,'[2]stock-take'!$M:$Q,3,FALSE))</f>
        <v>0</v>
      </c>
      <c r="M1287" s="48" t="str">
        <f t="shared" si="58"/>
        <v xml:space="preserve"> </v>
      </c>
      <c r="N1287" s="39" t="str">
        <f t="shared" si="59"/>
        <v xml:space="preserve"> </v>
      </c>
    </row>
    <row r="1288" spans="1:14">
      <c r="A1288" s="37">
        <f t="shared" si="57"/>
        <v>1277</v>
      </c>
      <c r="G1288" s="48" t="str">
        <f>IF(F1288=""," ",IF(ISNA(VLOOKUP(D1288,'[2]stock-take'!$A:$E,4,FALSE)), "OUT OF STOCK", VLOOKUP(D1288,'[2]stock-take'!$A:$E,4,FALSE)))</f>
        <v xml:space="preserve"> </v>
      </c>
      <c r="H1288" s="48">
        <f>IF(ISNA(VLOOKUP(D1288,'[2]stock-take'!$A:$E,3,FALSE)), 0, VLOOKUP(D1288,'[2]stock-take'!$A:$E,3,FALSE))</f>
        <v>0</v>
      </c>
      <c r="I1288" s="48" t="str">
        <f>IF(F1288="", " ",IF(ISNA(VLOOKUP(D1288,'[2]stock-take'!$G:$K,4,FALSE)), "OUT OF STOCK", VLOOKUP(D1288,'[2]stock-take'!$G:$K,4,FALSE)))</f>
        <v xml:space="preserve"> </v>
      </c>
      <c r="J1288" s="39">
        <f>IF(ISNA(VLOOKUP(D1288,'[2]stock-take'!$G:$K,3,FALSE)), 0, VLOOKUP(D1288,'[2]stock-take'!$G:$K,3,FALSE))</f>
        <v>0</v>
      </c>
      <c r="K1288" s="49" t="str">
        <f>IF(F1288="", " ", IF(ISNA(VLOOKUP(D1288,'[2]stock-take'!$M:$Q,4,FALSE)), "OUT OF STOCK", VLOOKUP(D1288,'[2]stock-take'!$M:$Q,4,FALSE)))</f>
        <v xml:space="preserve"> </v>
      </c>
      <c r="L1288" s="47">
        <f>IF(ISNA(VLOOKUP(D1288,'[2]stock-take'!$M:$Q,3,FALSE)), 0, VLOOKUP(D1288,'[2]stock-take'!$M:$Q,3,FALSE))</f>
        <v>0</v>
      </c>
      <c r="M1288" s="48" t="str">
        <f t="shared" si="58"/>
        <v xml:space="preserve"> </v>
      </c>
      <c r="N1288" s="39" t="str">
        <f t="shared" si="59"/>
        <v xml:space="preserve"> </v>
      </c>
    </row>
    <row r="1289" spans="1:14">
      <c r="A1289" s="37">
        <f t="shared" si="57"/>
        <v>1278</v>
      </c>
      <c r="G1289" s="48" t="str">
        <f>IF(F1289=""," ",IF(ISNA(VLOOKUP(D1289,'[2]stock-take'!$A:$E,4,FALSE)), "OUT OF STOCK", VLOOKUP(D1289,'[2]stock-take'!$A:$E,4,FALSE)))</f>
        <v xml:space="preserve"> </v>
      </c>
      <c r="H1289" s="48">
        <f>IF(ISNA(VLOOKUP(D1289,'[2]stock-take'!$A:$E,3,FALSE)), 0, VLOOKUP(D1289,'[2]stock-take'!$A:$E,3,FALSE))</f>
        <v>0</v>
      </c>
      <c r="I1289" s="48" t="str">
        <f>IF(F1289="", " ",IF(ISNA(VLOOKUP(D1289,'[2]stock-take'!$G:$K,4,FALSE)), "OUT OF STOCK", VLOOKUP(D1289,'[2]stock-take'!$G:$K,4,FALSE)))</f>
        <v xml:space="preserve"> </v>
      </c>
      <c r="J1289" s="39">
        <f>IF(ISNA(VLOOKUP(D1289,'[2]stock-take'!$G:$K,3,FALSE)), 0, VLOOKUP(D1289,'[2]stock-take'!$G:$K,3,FALSE))</f>
        <v>0</v>
      </c>
      <c r="K1289" s="49" t="str">
        <f>IF(F1289="", " ", IF(ISNA(VLOOKUP(D1289,'[2]stock-take'!$M:$Q,4,FALSE)), "OUT OF STOCK", VLOOKUP(D1289,'[2]stock-take'!$M:$Q,4,FALSE)))</f>
        <v xml:space="preserve"> </v>
      </c>
      <c r="L1289" s="47">
        <f>IF(ISNA(VLOOKUP(D1289,'[2]stock-take'!$M:$Q,3,FALSE)), 0, VLOOKUP(D1289,'[2]stock-take'!$M:$Q,3,FALSE))</f>
        <v>0</v>
      </c>
      <c r="M1289" s="48" t="str">
        <f t="shared" si="58"/>
        <v xml:space="preserve"> </v>
      </c>
      <c r="N1289" s="39" t="str">
        <f t="shared" si="59"/>
        <v xml:space="preserve"> </v>
      </c>
    </row>
    <row r="1290" spans="1:14">
      <c r="A1290" s="37">
        <f t="shared" si="57"/>
        <v>1279</v>
      </c>
      <c r="G1290" s="48" t="str">
        <f>IF(F1290=""," ",IF(ISNA(VLOOKUP(D1290,'[2]stock-take'!$A:$E,4,FALSE)), "OUT OF STOCK", VLOOKUP(D1290,'[2]stock-take'!$A:$E,4,FALSE)))</f>
        <v xml:space="preserve"> </v>
      </c>
      <c r="H1290" s="48">
        <f>IF(ISNA(VLOOKUP(D1290,'[2]stock-take'!$A:$E,3,FALSE)), 0, VLOOKUP(D1290,'[2]stock-take'!$A:$E,3,FALSE))</f>
        <v>0</v>
      </c>
      <c r="I1290" s="48" t="str">
        <f>IF(F1290="", " ",IF(ISNA(VLOOKUP(D1290,'[2]stock-take'!$G:$K,4,FALSE)), "OUT OF STOCK", VLOOKUP(D1290,'[2]stock-take'!$G:$K,4,FALSE)))</f>
        <v xml:space="preserve"> </v>
      </c>
      <c r="J1290" s="39">
        <f>IF(ISNA(VLOOKUP(D1290,'[2]stock-take'!$G:$K,3,FALSE)), 0, VLOOKUP(D1290,'[2]stock-take'!$G:$K,3,FALSE))</f>
        <v>0</v>
      </c>
      <c r="K1290" s="49" t="str">
        <f>IF(F1290="", " ", IF(ISNA(VLOOKUP(D1290,'[2]stock-take'!$M:$Q,4,FALSE)), "OUT OF STOCK", VLOOKUP(D1290,'[2]stock-take'!$M:$Q,4,FALSE)))</f>
        <v xml:space="preserve"> </v>
      </c>
      <c r="L1290" s="47">
        <f>IF(ISNA(VLOOKUP(D1290,'[2]stock-take'!$M:$Q,3,FALSE)), 0, VLOOKUP(D1290,'[2]stock-take'!$M:$Q,3,FALSE))</f>
        <v>0</v>
      </c>
      <c r="M1290" s="48" t="str">
        <f t="shared" si="58"/>
        <v xml:space="preserve"> </v>
      </c>
      <c r="N1290" s="39" t="str">
        <f t="shared" si="59"/>
        <v xml:space="preserve"> </v>
      </c>
    </row>
    <row r="1291" spans="1:14">
      <c r="A1291" s="37">
        <f t="shared" si="57"/>
        <v>1280</v>
      </c>
      <c r="G1291" s="48" t="str">
        <f>IF(F1291=""," ",IF(ISNA(VLOOKUP(D1291,'[2]stock-take'!$A:$E,4,FALSE)), "OUT OF STOCK", VLOOKUP(D1291,'[2]stock-take'!$A:$E,4,FALSE)))</f>
        <v xml:space="preserve"> </v>
      </c>
      <c r="H1291" s="48">
        <f>IF(ISNA(VLOOKUP(D1291,'[2]stock-take'!$A:$E,3,FALSE)), 0, VLOOKUP(D1291,'[2]stock-take'!$A:$E,3,FALSE))</f>
        <v>0</v>
      </c>
      <c r="I1291" s="48" t="str">
        <f>IF(F1291="", " ",IF(ISNA(VLOOKUP(D1291,'[2]stock-take'!$G:$K,4,FALSE)), "OUT OF STOCK", VLOOKUP(D1291,'[2]stock-take'!$G:$K,4,FALSE)))</f>
        <v xml:space="preserve"> </v>
      </c>
      <c r="J1291" s="39">
        <f>IF(ISNA(VLOOKUP(D1291,'[2]stock-take'!$G:$K,3,FALSE)), 0, VLOOKUP(D1291,'[2]stock-take'!$G:$K,3,FALSE))</f>
        <v>0</v>
      </c>
      <c r="K1291" s="49" t="str">
        <f>IF(F1291="", " ", IF(ISNA(VLOOKUP(D1291,'[2]stock-take'!$M:$Q,4,FALSE)), "OUT OF STOCK", VLOOKUP(D1291,'[2]stock-take'!$M:$Q,4,FALSE)))</f>
        <v xml:space="preserve"> </v>
      </c>
      <c r="L1291" s="47">
        <f>IF(ISNA(VLOOKUP(D1291,'[2]stock-take'!$M:$Q,3,FALSE)), 0, VLOOKUP(D1291,'[2]stock-take'!$M:$Q,3,FALSE))</f>
        <v>0</v>
      </c>
      <c r="M1291" s="48" t="str">
        <f t="shared" si="58"/>
        <v xml:space="preserve"> </v>
      </c>
      <c r="N1291" s="39" t="str">
        <f t="shared" si="59"/>
        <v xml:space="preserve"> </v>
      </c>
    </row>
    <row r="1292" spans="1:14">
      <c r="A1292" s="37">
        <f t="shared" ref="A1292:A1355" si="60">ROW(A1292)-11</f>
        <v>1281</v>
      </c>
      <c r="G1292" s="48" t="str">
        <f>IF(F1292=""," ",IF(ISNA(VLOOKUP(D1292,'[2]stock-take'!$A:$E,4,FALSE)), "OUT OF STOCK", VLOOKUP(D1292,'[2]stock-take'!$A:$E,4,FALSE)))</f>
        <v xml:space="preserve"> </v>
      </c>
      <c r="H1292" s="48">
        <f>IF(ISNA(VLOOKUP(D1292,'[2]stock-take'!$A:$E,3,FALSE)), 0, VLOOKUP(D1292,'[2]stock-take'!$A:$E,3,FALSE))</f>
        <v>0</v>
      </c>
      <c r="I1292" s="48" t="str">
        <f>IF(F1292="", " ",IF(ISNA(VLOOKUP(D1292,'[2]stock-take'!$G:$K,4,FALSE)), "OUT OF STOCK", VLOOKUP(D1292,'[2]stock-take'!$G:$K,4,FALSE)))</f>
        <v xml:space="preserve"> </v>
      </c>
      <c r="J1292" s="39">
        <f>IF(ISNA(VLOOKUP(D1292,'[2]stock-take'!$G:$K,3,FALSE)), 0, VLOOKUP(D1292,'[2]stock-take'!$G:$K,3,FALSE))</f>
        <v>0</v>
      </c>
      <c r="K1292" s="49" t="str">
        <f>IF(F1292="", " ", IF(ISNA(VLOOKUP(D1292,'[2]stock-take'!$M:$Q,4,FALSE)), "OUT OF STOCK", VLOOKUP(D1292,'[2]stock-take'!$M:$Q,4,FALSE)))</f>
        <v xml:space="preserve"> </v>
      </c>
      <c r="L1292" s="47">
        <f>IF(ISNA(VLOOKUP(D1292,'[2]stock-take'!$M:$Q,3,FALSE)), 0, VLOOKUP(D1292,'[2]stock-take'!$M:$Q,3,FALSE))</f>
        <v>0</v>
      </c>
      <c r="M1292" s="48" t="str">
        <f t="shared" si="58"/>
        <v xml:space="preserve"> </v>
      </c>
      <c r="N1292" s="39" t="str">
        <f t="shared" si="59"/>
        <v xml:space="preserve"> </v>
      </c>
    </row>
    <row r="1293" spans="1:14">
      <c r="A1293" s="37">
        <f t="shared" si="60"/>
        <v>1282</v>
      </c>
      <c r="G1293" s="48" t="str">
        <f>IF(F1293=""," ",IF(ISNA(VLOOKUP(D1293,'[2]stock-take'!$A:$E,4,FALSE)), "OUT OF STOCK", VLOOKUP(D1293,'[2]stock-take'!$A:$E,4,FALSE)))</f>
        <v xml:space="preserve"> </v>
      </c>
      <c r="H1293" s="48">
        <f>IF(ISNA(VLOOKUP(D1293,'[2]stock-take'!$A:$E,3,FALSE)), 0, VLOOKUP(D1293,'[2]stock-take'!$A:$E,3,FALSE))</f>
        <v>0</v>
      </c>
      <c r="I1293" s="48" t="str">
        <f>IF(F1293="", " ",IF(ISNA(VLOOKUP(D1293,'[2]stock-take'!$G:$K,4,FALSE)), "OUT OF STOCK", VLOOKUP(D1293,'[2]stock-take'!$G:$K,4,FALSE)))</f>
        <v xml:space="preserve"> </v>
      </c>
      <c r="J1293" s="39">
        <f>IF(ISNA(VLOOKUP(D1293,'[2]stock-take'!$G:$K,3,FALSE)), 0, VLOOKUP(D1293,'[2]stock-take'!$G:$K,3,FALSE))</f>
        <v>0</v>
      </c>
      <c r="K1293" s="49" t="str">
        <f>IF(F1293="", " ", IF(ISNA(VLOOKUP(D1293,'[2]stock-take'!$M:$Q,4,FALSE)), "OUT OF STOCK", VLOOKUP(D1293,'[2]stock-take'!$M:$Q,4,FALSE)))</f>
        <v xml:space="preserve"> </v>
      </c>
      <c r="L1293" s="47">
        <f>IF(ISNA(VLOOKUP(D1293,'[2]stock-take'!$M:$Q,3,FALSE)), 0, VLOOKUP(D1293,'[2]stock-take'!$M:$Q,3,FALSE))</f>
        <v>0</v>
      </c>
      <c r="M1293" s="48" t="str">
        <f t="shared" ref="M1293:M1356" si="61">IF(F1293=""," ",IF(H1293&gt;=F1293,"Y",IF(J1293&gt;=F1293,"Y",IF(L1293&gt;=F1293,"Y",IF(SUM(H1293,J1293,L1293)&gt;=F1293,"Y","N")))))</f>
        <v xml:space="preserve"> </v>
      </c>
      <c r="N1293" s="39" t="str">
        <f t="shared" ref="N1293:N1356" si="62">IF(F1293=""," ",IF(H1293&gt;=F1293,"ILOOM",IF(J1293&gt;=F1293,"NO.6",IF(L1293&gt;=F1293,"RMD",IF(SUM(H1293,J1293,L1293)&gt;=F1293,"MULTI","LACK")))))</f>
        <v xml:space="preserve"> </v>
      </c>
    </row>
    <row r="1294" spans="1:14">
      <c r="A1294" s="37">
        <f t="shared" si="60"/>
        <v>1283</v>
      </c>
      <c r="G1294" s="48" t="str">
        <f>IF(F1294=""," ",IF(ISNA(VLOOKUP(D1294,'[2]stock-take'!$A:$E,4,FALSE)), "OUT OF STOCK", VLOOKUP(D1294,'[2]stock-take'!$A:$E,4,FALSE)))</f>
        <v xml:space="preserve"> </v>
      </c>
      <c r="H1294" s="48">
        <f>IF(ISNA(VLOOKUP(D1294,'[2]stock-take'!$A:$E,3,FALSE)), 0, VLOOKUP(D1294,'[2]stock-take'!$A:$E,3,FALSE))</f>
        <v>0</v>
      </c>
      <c r="I1294" s="48" t="str">
        <f>IF(F1294="", " ",IF(ISNA(VLOOKUP(D1294,'[2]stock-take'!$G:$K,4,FALSE)), "OUT OF STOCK", VLOOKUP(D1294,'[2]stock-take'!$G:$K,4,FALSE)))</f>
        <v xml:space="preserve"> </v>
      </c>
      <c r="J1294" s="39">
        <f>IF(ISNA(VLOOKUP(D1294,'[2]stock-take'!$G:$K,3,FALSE)), 0, VLOOKUP(D1294,'[2]stock-take'!$G:$K,3,FALSE))</f>
        <v>0</v>
      </c>
      <c r="K1294" s="49" t="str">
        <f>IF(F1294="", " ", IF(ISNA(VLOOKUP(D1294,'[2]stock-take'!$M:$Q,4,FALSE)), "OUT OF STOCK", VLOOKUP(D1294,'[2]stock-take'!$M:$Q,4,FALSE)))</f>
        <v xml:space="preserve"> </v>
      </c>
      <c r="L1294" s="47">
        <f>IF(ISNA(VLOOKUP(D1294,'[2]stock-take'!$M:$Q,3,FALSE)), 0, VLOOKUP(D1294,'[2]stock-take'!$M:$Q,3,FALSE))</f>
        <v>0</v>
      </c>
      <c r="M1294" s="48" t="str">
        <f t="shared" si="61"/>
        <v xml:space="preserve"> </v>
      </c>
      <c r="N1294" s="39" t="str">
        <f t="shared" si="62"/>
        <v xml:space="preserve"> </v>
      </c>
    </row>
    <row r="1295" spans="1:14">
      <c r="A1295" s="37">
        <f t="shared" si="60"/>
        <v>1284</v>
      </c>
      <c r="G1295" s="48" t="str">
        <f>IF(F1295=""," ",IF(ISNA(VLOOKUP(D1295,'[2]stock-take'!$A:$E,4,FALSE)), "OUT OF STOCK", VLOOKUP(D1295,'[2]stock-take'!$A:$E,4,FALSE)))</f>
        <v xml:space="preserve"> </v>
      </c>
      <c r="H1295" s="48">
        <f>IF(ISNA(VLOOKUP(D1295,'[2]stock-take'!$A:$E,3,FALSE)), 0, VLOOKUP(D1295,'[2]stock-take'!$A:$E,3,FALSE))</f>
        <v>0</v>
      </c>
      <c r="I1295" s="48" t="str">
        <f>IF(F1295="", " ",IF(ISNA(VLOOKUP(D1295,'[2]stock-take'!$G:$K,4,FALSE)), "OUT OF STOCK", VLOOKUP(D1295,'[2]stock-take'!$G:$K,4,FALSE)))</f>
        <v xml:space="preserve"> </v>
      </c>
      <c r="J1295" s="39">
        <f>IF(ISNA(VLOOKUP(D1295,'[2]stock-take'!$G:$K,3,FALSE)), 0, VLOOKUP(D1295,'[2]stock-take'!$G:$K,3,FALSE))</f>
        <v>0</v>
      </c>
      <c r="K1295" s="49" t="str">
        <f>IF(F1295="", " ", IF(ISNA(VLOOKUP(D1295,'[2]stock-take'!$M:$Q,4,FALSE)), "OUT OF STOCK", VLOOKUP(D1295,'[2]stock-take'!$M:$Q,4,FALSE)))</f>
        <v xml:space="preserve"> </v>
      </c>
      <c r="L1295" s="47">
        <f>IF(ISNA(VLOOKUP(D1295,'[2]stock-take'!$M:$Q,3,FALSE)), 0, VLOOKUP(D1295,'[2]stock-take'!$M:$Q,3,FALSE))</f>
        <v>0</v>
      </c>
      <c r="M1295" s="48" t="str">
        <f t="shared" si="61"/>
        <v xml:space="preserve"> </v>
      </c>
      <c r="N1295" s="39" t="str">
        <f t="shared" si="62"/>
        <v xml:space="preserve"> </v>
      </c>
    </row>
    <row r="1296" spans="1:14">
      <c r="A1296" s="37">
        <f t="shared" si="60"/>
        <v>1285</v>
      </c>
      <c r="G1296" s="48" t="str">
        <f>IF(F1296=""," ",IF(ISNA(VLOOKUP(D1296,'[2]stock-take'!$A:$E,4,FALSE)), "OUT OF STOCK", VLOOKUP(D1296,'[2]stock-take'!$A:$E,4,FALSE)))</f>
        <v xml:space="preserve"> </v>
      </c>
      <c r="H1296" s="48">
        <f>IF(ISNA(VLOOKUP(D1296,'[2]stock-take'!$A:$E,3,FALSE)), 0, VLOOKUP(D1296,'[2]stock-take'!$A:$E,3,FALSE))</f>
        <v>0</v>
      </c>
      <c r="I1296" s="48" t="str">
        <f>IF(F1296="", " ",IF(ISNA(VLOOKUP(D1296,'[2]stock-take'!$G:$K,4,FALSE)), "OUT OF STOCK", VLOOKUP(D1296,'[2]stock-take'!$G:$K,4,FALSE)))</f>
        <v xml:space="preserve"> </v>
      </c>
      <c r="J1296" s="39">
        <f>IF(ISNA(VLOOKUP(D1296,'[2]stock-take'!$G:$K,3,FALSE)), 0, VLOOKUP(D1296,'[2]stock-take'!$G:$K,3,FALSE))</f>
        <v>0</v>
      </c>
      <c r="K1296" s="49" t="str">
        <f>IF(F1296="", " ", IF(ISNA(VLOOKUP(D1296,'[2]stock-take'!$M:$Q,4,FALSE)), "OUT OF STOCK", VLOOKUP(D1296,'[2]stock-take'!$M:$Q,4,FALSE)))</f>
        <v xml:space="preserve"> </v>
      </c>
      <c r="L1296" s="47">
        <f>IF(ISNA(VLOOKUP(D1296,'[2]stock-take'!$M:$Q,3,FALSE)), 0, VLOOKUP(D1296,'[2]stock-take'!$M:$Q,3,FALSE))</f>
        <v>0</v>
      </c>
      <c r="M1296" s="48" t="str">
        <f t="shared" si="61"/>
        <v xml:space="preserve"> </v>
      </c>
      <c r="N1296" s="39" t="str">
        <f t="shared" si="62"/>
        <v xml:space="preserve"> </v>
      </c>
    </row>
    <row r="1297" spans="1:14">
      <c r="A1297" s="37">
        <f t="shared" si="60"/>
        <v>1286</v>
      </c>
      <c r="G1297" s="48" t="str">
        <f>IF(F1297=""," ",IF(ISNA(VLOOKUP(D1297,'[2]stock-take'!$A:$E,4,FALSE)), "OUT OF STOCK", VLOOKUP(D1297,'[2]stock-take'!$A:$E,4,FALSE)))</f>
        <v xml:space="preserve"> </v>
      </c>
      <c r="H1297" s="48">
        <f>IF(ISNA(VLOOKUP(D1297,'[2]stock-take'!$A:$E,3,FALSE)), 0, VLOOKUP(D1297,'[2]stock-take'!$A:$E,3,FALSE))</f>
        <v>0</v>
      </c>
      <c r="I1297" s="48" t="str">
        <f>IF(F1297="", " ",IF(ISNA(VLOOKUP(D1297,'[2]stock-take'!$G:$K,4,FALSE)), "OUT OF STOCK", VLOOKUP(D1297,'[2]stock-take'!$G:$K,4,FALSE)))</f>
        <v xml:space="preserve"> </v>
      </c>
      <c r="J1297" s="39">
        <f>IF(ISNA(VLOOKUP(D1297,'[2]stock-take'!$G:$K,3,FALSE)), 0, VLOOKUP(D1297,'[2]stock-take'!$G:$K,3,FALSE))</f>
        <v>0</v>
      </c>
      <c r="K1297" s="49" t="str">
        <f>IF(F1297="", " ", IF(ISNA(VLOOKUP(D1297,'[2]stock-take'!$M:$Q,4,FALSE)), "OUT OF STOCK", VLOOKUP(D1297,'[2]stock-take'!$M:$Q,4,FALSE)))</f>
        <v xml:space="preserve"> </v>
      </c>
      <c r="L1297" s="47">
        <f>IF(ISNA(VLOOKUP(D1297,'[2]stock-take'!$M:$Q,3,FALSE)), 0, VLOOKUP(D1297,'[2]stock-take'!$M:$Q,3,FALSE))</f>
        <v>0</v>
      </c>
      <c r="M1297" s="48" t="str">
        <f t="shared" si="61"/>
        <v xml:space="preserve"> </v>
      </c>
      <c r="N1297" s="39" t="str">
        <f t="shared" si="62"/>
        <v xml:space="preserve"> </v>
      </c>
    </row>
    <row r="1298" spans="1:14">
      <c r="A1298" s="37">
        <f t="shared" si="60"/>
        <v>1287</v>
      </c>
      <c r="G1298" s="48" t="str">
        <f>IF(F1298=""," ",IF(ISNA(VLOOKUP(D1298,'[2]stock-take'!$A:$E,4,FALSE)), "OUT OF STOCK", VLOOKUP(D1298,'[2]stock-take'!$A:$E,4,FALSE)))</f>
        <v xml:space="preserve"> </v>
      </c>
      <c r="H1298" s="48">
        <f>IF(ISNA(VLOOKUP(D1298,'[2]stock-take'!$A:$E,3,FALSE)), 0, VLOOKUP(D1298,'[2]stock-take'!$A:$E,3,FALSE))</f>
        <v>0</v>
      </c>
      <c r="I1298" s="48" t="str">
        <f>IF(F1298="", " ",IF(ISNA(VLOOKUP(D1298,'[2]stock-take'!$G:$K,4,FALSE)), "OUT OF STOCK", VLOOKUP(D1298,'[2]stock-take'!$G:$K,4,FALSE)))</f>
        <v xml:space="preserve"> </v>
      </c>
      <c r="J1298" s="39">
        <f>IF(ISNA(VLOOKUP(D1298,'[2]stock-take'!$G:$K,3,FALSE)), 0, VLOOKUP(D1298,'[2]stock-take'!$G:$K,3,FALSE))</f>
        <v>0</v>
      </c>
      <c r="K1298" s="49" t="str">
        <f>IF(F1298="", " ", IF(ISNA(VLOOKUP(D1298,'[2]stock-take'!$M:$Q,4,FALSE)), "OUT OF STOCK", VLOOKUP(D1298,'[2]stock-take'!$M:$Q,4,FALSE)))</f>
        <v xml:space="preserve"> </v>
      </c>
      <c r="L1298" s="47">
        <f>IF(ISNA(VLOOKUP(D1298,'[2]stock-take'!$M:$Q,3,FALSE)), 0, VLOOKUP(D1298,'[2]stock-take'!$M:$Q,3,FALSE))</f>
        <v>0</v>
      </c>
      <c r="M1298" s="48" t="str">
        <f t="shared" si="61"/>
        <v xml:space="preserve"> </v>
      </c>
      <c r="N1298" s="39" t="str">
        <f t="shared" si="62"/>
        <v xml:space="preserve"> </v>
      </c>
    </row>
    <row r="1299" spans="1:14">
      <c r="A1299" s="37">
        <f t="shared" si="60"/>
        <v>1288</v>
      </c>
      <c r="G1299" s="48" t="str">
        <f>IF(F1299=""," ",IF(ISNA(VLOOKUP(D1299,'[2]stock-take'!$A:$E,4,FALSE)), "OUT OF STOCK", VLOOKUP(D1299,'[2]stock-take'!$A:$E,4,FALSE)))</f>
        <v xml:space="preserve"> </v>
      </c>
      <c r="H1299" s="48">
        <f>IF(ISNA(VLOOKUP(D1299,'[2]stock-take'!$A:$E,3,FALSE)), 0, VLOOKUP(D1299,'[2]stock-take'!$A:$E,3,FALSE))</f>
        <v>0</v>
      </c>
      <c r="I1299" s="48" t="str">
        <f>IF(F1299="", " ",IF(ISNA(VLOOKUP(D1299,'[2]stock-take'!$G:$K,4,FALSE)), "OUT OF STOCK", VLOOKUP(D1299,'[2]stock-take'!$G:$K,4,FALSE)))</f>
        <v xml:space="preserve"> </v>
      </c>
      <c r="J1299" s="39">
        <f>IF(ISNA(VLOOKUP(D1299,'[2]stock-take'!$G:$K,3,FALSE)), 0, VLOOKUP(D1299,'[2]stock-take'!$G:$K,3,FALSE))</f>
        <v>0</v>
      </c>
      <c r="K1299" s="49" t="str">
        <f>IF(F1299="", " ", IF(ISNA(VLOOKUP(D1299,'[2]stock-take'!$M:$Q,4,FALSE)), "OUT OF STOCK", VLOOKUP(D1299,'[2]stock-take'!$M:$Q,4,FALSE)))</f>
        <v xml:space="preserve"> </v>
      </c>
      <c r="L1299" s="47">
        <f>IF(ISNA(VLOOKUP(D1299,'[2]stock-take'!$M:$Q,3,FALSE)), 0, VLOOKUP(D1299,'[2]stock-take'!$M:$Q,3,FALSE))</f>
        <v>0</v>
      </c>
      <c r="M1299" s="48" t="str">
        <f t="shared" si="61"/>
        <v xml:space="preserve"> </v>
      </c>
      <c r="N1299" s="39" t="str">
        <f t="shared" si="62"/>
        <v xml:space="preserve"> </v>
      </c>
    </row>
    <row r="1300" spans="1:14">
      <c r="A1300" s="37">
        <f t="shared" si="60"/>
        <v>1289</v>
      </c>
      <c r="G1300" s="48" t="str">
        <f>IF(F1300=""," ",IF(ISNA(VLOOKUP(D1300,'[2]stock-take'!$A:$E,4,FALSE)), "OUT OF STOCK", VLOOKUP(D1300,'[2]stock-take'!$A:$E,4,FALSE)))</f>
        <v xml:space="preserve"> </v>
      </c>
      <c r="H1300" s="48">
        <f>IF(ISNA(VLOOKUP(D1300,'[2]stock-take'!$A:$E,3,FALSE)), 0, VLOOKUP(D1300,'[2]stock-take'!$A:$E,3,FALSE))</f>
        <v>0</v>
      </c>
      <c r="I1300" s="48" t="str">
        <f>IF(F1300="", " ",IF(ISNA(VLOOKUP(D1300,'[2]stock-take'!$G:$K,4,FALSE)), "OUT OF STOCK", VLOOKUP(D1300,'[2]stock-take'!$G:$K,4,FALSE)))</f>
        <v xml:space="preserve"> </v>
      </c>
      <c r="J1300" s="39">
        <f>IF(ISNA(VLOOKUP(D1300,'[2]stock-take'!$G:$K,3,FALSE)), 0, VLOOKUP(D1300,'[2]stock-take'!$G:$K,3,FALSE))</f>
        <v>0</v>
      </c>
      <c r="K1300" s="49" t="str">
        <f>IF(F1300="", " ", IF(ISNA(VLOOKUP(D1300,'[2]stock-take'!$M:$Q,4,FALSE)), "OUT OF STOCK", VLOOKUP(D1300,'[2]stock-take'!$M:$Q,4,FALSE)))</f>
        <v xml:space="preserve"> </v>
      </c>
      <c r="L1300" s="47">
        <f>IF(ISNA(VLOOKUP(D1300,'[2]stock-take'!$M:$Q,3,FALSE)), 0, VLOOKUP(D1300,'[2]stock-take'!$M:$Q,3,FALSE))</f>
        <v>0</v>
      </c>
      <c r="M1300" s="48" t="str">
        <f t="shared" si="61"/>
        <v xml:space="preserve"> </v>
      </c>
      <c r="N1300" s="39" t="str">
        <f t="shared" si="62"/>
        <v xml:space="preserve"> </v>
      </c>
    </row>
    <row r="1301" spans="1:14">
      <c r="A1301" s="37">
        <f t="shared" si="60"/>
        <v>1290</v>
      </c>
      <c r="G1301" s="48" t="str">
        <f>IF(F1301=""," ",IF(ISNA(VLOOKUP(D1301,'[2]stock-take'!$A:$E,4,FALSE)), "OUT OF STOCK", VLOOKUP(D1301,'[2]stock-take'!$A:$E,4,FALSE)))</f>
        <v xml:space="preserve"> </v>
      </c>
      <c r="H1301" s="48">
        <f>IF(ISNA(VLOOKUP(D1301,'[2]stock-take'!$A:$E,3,FALSE)), 0, VLOOKUP(D1301,'[2]stock-take'!$A:$E,3,FALSE))</f>
        <v>0</v>
      </c>
      <c r="I1301" s="48" t="str">
        <f>IF(F1301="", " ",IF(ISNA(VLOOKUP(D1301,'[2]stock-take'!$G:$K,4,FALSE)), "OUT OF STOCK", VLOOKUP(D1301,'[2]stock-take'!$G:$K,4,FALSE)))</f>
        <v xml:space="preserve"> </v>
      </c>
      <c r="J1301" s="39">
        <f>IF(ISNA(VLOOKUP(D1301,'[2]stock-take'!$G:$K,3,FALSE)), 0, VLOOKUP(D1301,'[2]stock-take'!$G:$K,3,FALSE))</f>
        <v>0</v>
      </c>
      <c r="K1301" s="49" t="str">
        <f>IF(F1301="", " ", IF(ISNA(VLOOKUP(D1301,'[2]stock-take'!$M:$Q,4,FALSE)), "OUT OF STOCK", VLOOKUP(D1301,'[2]stock-take'!$M:$Q,4,FALSE)))</f>
        <v xml:space="preserve"> </v>
      </c>
      <c r="L1301" s="47">
        <f>IF(ISNA(VLOOKUP(D1301,'[2]stock-take'!$M:$Q,3,FALSE)), 0, VLOOKUP(D1301,'[2]stock-take'!$M:$Q,3,FALSE))</f>
        <v>0</v>
      </c>
      <c r="M1301" s="48" t="str">
        <f t="shared" si="61"/>
        <v xml:space="preserve"> </v>
      </c>
      <c r="N1301" s="39" t="str">
        <f t="shared" si="62"/>
        <v xml:space="preserve"> </v>
      </c>
    </row>
    <row r="1302" spans="1:14">
      <c r="A1302" s="37">
        <f t="shared" si="60"/>
        <v>1291</v>
      </c>
      <c r="G1302" s="48" t="str">
        <f>IF(F1302=""," ",IF(ISNA(VLOOKUP(D1302,'[2]stock-take'!$A:$E,4,FALSE)), "OUT OF STOCK", VLOOKUP(D1302,'[2]stock-take'!$A:$E,4,FALSE)))</f>
        <v xml:space="preserve"> </v>
      </c>
      <c r="H1302" s="48">
        <f>IF(ISNA(VLOOKUP(D1302,'[2]stock-take'!$A:$E,3,FALSE)), 0, VLOOKUP(D1302,'[2]stock-take'!$A:$E,3,FALSE))</f>
        <v>0</v>
      </c>
      <c r="I1302" s="48" t="str">
        <f>IF(F1302="", " ",IF(ISNA(VLOOKUP(D1302,'[2]stock-take'!$G:$K,4,FALSE)), "OUT OF STOCK", VLOOKUP(D1302,'[2]stock-take'!$G:$K,4,FALSE)))</f>
        <v xml:space="preserve"> </v>
      </c>
      <c r="J1302" s="39">
        <f>IF(ISNA(VLOOKUP(D1302,'[2]stock-take'!$G:$K,3,FALSE)), 0, VLOOKUP(D1302,'[2]stock-take'!$G:$K,3,FALSE))</f>
        <v>0</v>
      </c>
      <c r="K1302" s="49" t="str">
        <f>IF(F1302="", " ", IF(ISNA(VLOOKUP(D1302,'[2]stock-take'!$M:$Q,4,FALSE)), "OUT OF STOCK", VLOOKUP(D1302,'[2]stock-take'!$M:$Q,4,FALSE)))</f>
        <v xml:space="preserve"> </v>
      </c>
      <c r="L1302" s="47">
        <f>IF(ISNA(VLOOKUP(D1302,'[2]stock-take'!$M:$Q,3,FALSE)), 0, VLOOKUP(D1302,'[2]stock-take'!$M:$Q,3,FALSE))</f>
        <v>0</v>
      </c>
      <c r="M1302" s="48" t="str">
        <f t="shared" si="61"/>
        <v xml:space="preserve"> </v>
      </c>
      <c r="N1302" s="39" t="str">
        <f t="shared" si="62"/>
        <v xml:space="preserve"> </v>
      </c>
    </row>
    <row r="1303" spans="1:14">
      <c r="A1303" s="37">
        <f t="shared" si="60"/>
        <v>1292</v>
      </c>
      <c r="G1303" s="48" t="str">
        <f>IF(F1303=""," ",IF(ISNA(VLOOKUP(D1303,'[2]stock-take'!$A:$E,4,FALSE)), "OUT OF STOCK", VLOOKUP(D1303,'[2]stock-take'!$A:$E,4,FALSE)))</f>
        <v xml:space="preserve"> </v>
      </c>
      <c r="H1303" s="48">
        <f>IF(ISNA(VLOOKUP(D1303,'[2]stock-take'!$A:$E,3,FALSE)), 0, VLOOKUP(D1303,'[2]stock-take'!$A:$E,3,FALSE))</f>
        <v>0</v>
      </c>
      <c r="I1303" s="48" t="str">
        <f>IF(F1303="", " ",IF(ISNA(VLOOKUP(D1303,'[2]stock-take'!$G:$K,4,FALSE)), "OUT OF STOCK", VLOOKUP(D1303,'[2]stock-take'!$G:$K,4,FALSE)))</f>
        <v xml:space="preserve"> </v>
      </c>
      <c r="J1303" s="39">
        <f>IF(ISNA(VLOOKUP(D1303,'[2]stock-take'!$G:$K,3,FALSE)), 0, VLOOKUP(D1303,'[2]stock-take'!$G:$K,3,FALSE))</f>
        <v>0</v>
      </c>
      <c r="K1303" s="49" t="str">
        <f>IF(F1303="", " ", IF(ISNA(VLOOKUP(D1303,'[2]stock-take'!$M:$Q,4,FALSE)), "OUT OF STOCK", VLOOKUP(D1303,'[2]stock-take'!$M:$Q,4,FALSE)))</f>
        <v xml:space="preserve"> </v>
      </c>
      <c r="L1303" s="47">
        <f>IF(ISNA(VLOOKUP(D1303,'[2]stock-take'!$M:$Q,3,FALSE)), 0, VLOOKUP(D1303,'[2]stock-take'!$M:$Q,3,FALSE))</f>
        <v>0</v>
      </c>
      <c r="M1303" s="48" t="str">
        <f t="shared" si="61"/>
        <v xml:space="preserve"> </v>
      </c>
      <c r="N1303" s="39" t="str">
        <f t="shared" si="62"/>
        <v xml:space="preserve"> </v>
      </c>
    </row>
    <row r="1304" spans="1:14">
      <c r="A1304" s="37">
        <f t="shared" si="60"/>
        <v>1293</v>
      </c>
      <c r="G1304" s="48" t="str">
        <f>IF(F1304=""," ",IF(ISNA(VLOOKUP(D1304,'[2]stock-take'!$A:$E,4,FALSE)), "OUT OF STOCK", VLOOKUP(D1304,'[2]stock-take'!$A:$E,4,FALSE)))</f>
        <v xml:space="preserve"> </v>
      </c>
      <c r="H1304" s="48">
        <f>IF(ISNA(VLOOKUP(D1304,'[2]stock-take'!$A:$E,3,FALSE)), 0, VLOOKUP(D1304,'[2]stock-take'!$A:$E,3,FALSE))</f>
        <v>0</v>
      </c>
      <c r="I1304" s="48" t="str">
        <f>IF(F1304="", " ",IF(ISNA(VLOOKUP(D1304,'[2]stock-take'!$G:$K,4,FALSE)), "OUT OF STOCK", VLOOKUP(D1304,'[2]stock-take'!$G:$K,4,FALSE)))</f>
        <v xml:space="preserve"> </v>
      </c>
      <c r="J1304" s="39">
        <f>IF(ISNA(VLOOKUP(D1304,'[2]stock-take'!$G:$K,3,FALSE)), 0, VLOOKUP(D1304,'[2]stock-take'!$G:$K,3,FALSE))</f>
        <v>0</v>
      </c>
      <c r="K1304" s="49" t="str">
        <f>IF(F1304="", " ", IF(ISNA(VLOOKUP(D1304,'[2]stock-take'!$M:$Q,4,FALSE)), "OUT OF STOCK", VLOOKUP(D1304,'[2]stock-take'!$M:$Q,4,FALSE)))</f>
        <v xml:space="preserve"> </v>
      </c>
      <c r="L1304" s="47">
        <f>IF(ISNA(VLOOKUP(D1304,'[2]stock-take'!$M:$Q,3,FALSE)), 0, VLOOKUP(D1304,'[2]stock-take'!$M:$Q,3,FALSE))</f>
        <v>0</v>
      </c>
      <c r="M1304" s="48" t="str">
        <f t="shared" si="61"/>
        <v xml:space="preserve"> </v>
      </c>
      <c r="N1304" s="39" t="str">
        <f t="shared" si="62"/>
        <v xml:space="preserve"> </v>
      </c>
    </row>
    <row r="1305" spans="1:14">
      <c r="A1305" s="37">
        <f t="shared" si="60"/>
        <v>1294</v>
      </c>
      <c r="G1305" s="48" t="str">
        <f>IF(F1305=""," ",IF(ISNA(VLOOKUP(D1305,'[2]stock-take'!$A:$E,4,FALSE)), "OUT OF STOCK", VLOOKUP(D1305,'[2]stock-take'!$A:$E,4,FALSE)))</f>
        <v xml:space="preserve"> </v>
      </c>
      <c r="H1305" s="48">
        <f>IF(ISNA(VLOOKUP(D1305,'[2]stock-take'!$A:$E,3,FALSE)), 0, VLOOKUP(D1305,'[2]stock-take'!$A:$E,3,FALSE))</f>
        <v>0</v>
      </c>
      <c r="I1305" s="48" t="str">
        <f>IF(F1305="", " ",IF(ISNA(VLOOKUP(D1305,'[2]stock-take'!$G:$K,4,FALSE)), "OUT OF STOCK", VLOOKUP(D1305,'[2]stock-take'!$G:$K,4,FALSE)))</f>
        <v xml:space="preserve"> </v>
      </c>
      <c r="J1305" s="39">
        <f>IF(ISNA(VLOOKUP(D1305,'[2]stock-take'!$G:$K,3,FALSE)), 0, VLOOKUP(D1305,'[2]stock-take'!$G:$K,3,FALSE))</f>
        <v>0</v>
      </c>
      <c r="K1305" s="49" t="str">
        <f>IF(F1305="", " ", IF(ISNA(VLOOKUP(D1305,'[2]stock-take'!$M:$Q,4,FALSE)), "OUT OF STOCK", VLOOKUP(D1305,'[2]stock-take'!$M:$Q,4,FALSE)))</f>
        <v xml:space="preserve"> </v>
      </c>
      <c r="L1305" s="47">
        <f>IF(ISNA(VLOOKUP(D1305,'[2]stock-take'!$M:$Q,3,FALSE)), 0, VLOOKUP(D1305,'[2]stock-take'!$M:$Q,3,FALSE))</f>
        <v>0</v>
      </c>
      <c r="M1305" s="48" t="str">
        <f t="shared" si="61"/>
        <v xml:space="preserve"> </v>
      </c>
      <c r="N1305" s="39" t="str">
        <f t="shared" si="62"/>
        <v xml:space="preserve"> </v>
      </c>
    </row>
    <row r="1306" spans="1:14">
      <c r="A1306" s="37">
        <f t="shared" si="60"/>
        <v>1295</v>
      </c>
      <c r="G1306" s="48" t="str">
        <f>IF(F1306=""," ",IF(ISNA(VLOOKUP(D1306,'[2]stock-take'!$A:$E,4,FALSE)), "OUT OF STOCK", VLOOKUP(D1306,'[2]stock-take'!$A:$E,4,FALSE)))</f>
        <v xml:space="preserve"> </v>
      </c>
      <c r="H1306" s="48">
        <f>IF(ISNA(VLOOKUP(D1306,'[2]stock-take'!$A:$E,3,FALSE)), 0, VLOOKUP(D1306,'[2]stock-take'!$A:$E,3,FALSE))</f>
        <v>0</v>
      </c>
      <c r="I1306" s="48" t="str">
        <f>IF(F1306="", " ",IF(ISNA(VLOOKUP(D1306,'[2]stock-take'!$G:$K,4,FALSE)), "OUT OF STOCK", VLOOKUP(D1306,'[2]stock-take'!$G:$K,4,FALSE)))</f>
        <v xml:space="preserve"> </v>
      </c>
      <c r="J1306" s="39">
        <f>IF(ISNA(VLOOKUP(D1306,'[2]stock-take'!$G:$K,3,FALSE)), 0, VLOOKUP(D1306,'[2]stock-take'!$G:$K,3,FALSE))</f>
        <v>0</v>
      </c>
      <c r="K1306" s="49" t="str">
        <f>IF(F1306="", " ", IF(ISNA(VLOOKUP(D1306,'[2]stock-take'!$M:$Q,4,FALSE)), "OUT OF STOCK", VLOOKUP(D1306,'[2]stock-take'!$M:$Q,4,FALSE)))</f>
        <v xml:space="preserve"> </v>
      </c>
      <c r="L1306" s="47">
        <f>IF(ISNA(VLOOKUP(D1306,'[2]stock-take'!$M:$Q,3,FALSE)), 0, VLOOKUP(D1306,'[2]stock-take'!$M:$Q,3,FALSE))</f>
        <v>0</v>
      </c>
      <c r="M1306" s="48" t="str">
        <f t="shared" si="61"/>
        <v xml:space="preserve"> </v>
      </c>
      <c r="N1306" s="39" t="str">
        <f t="shared" si="62"/>
        <v xml:space="preserve"> </v>
      </c>
    </row>
    <row r="1307" spans="1:14">
      <c r="A1307" s="37">
        <f t="shared" si="60"/>
        <v>1296</v>
      </c>
      <c r="G1307" s="48" t="str">
        <f>IF(F1307=""," ",IF(ISNA(VLOOKUP(D1307,'[2]stock-take'!$A:$E,4,FALSE)), "OUT OF STOCK", VLOOKUP(D1307,'[2]stock-take'!$A:$E,4,FALSE)))</f>
        <v xml:space="preserve"> </v>
      </c>
      <c r="H1307" s="48">
        <f>IF(ISNA(VLOOKUP(D1307,'[2]stock-take'!$A:$E,3,FALSE)), 0, VLOOKUP(D1307,'[2]stock-take'!$A:$E,3,FALSE))</f>
        <v>0</v>
      </c>
      <c r="I1307" s="48" t="str">
        <f>IF(F1307="", " ",IF(ISNA(VLOOKUP(D1307,'[2]stock-take'!$G:$K,4,FALSE)), "OUT OF STOCK", VLOOKUP(D1307,'[2]stock-take'!$G:$K,4,FALSE)))</f>
        <v xml:space="preserve"> </v>
      </c>
      <c r="J1307" s="39">
        <f>IF(ISNA(VLOOKUP(D1307,'[2]stock-take'!$G:$K,3,FALSE)), 0, VLOOKUP(D1307,'[2]stock-take'!$G:$K,3,FALSE))</f>
        <v>0</v>
      </c>
      <c r="K1307" s="49" t="str">
        <f>IF(F1307="", " ", IF(ISNA(VLOOKUP(D1307,'[2]stock-take'!$M:$Q,4,FALSE)), "OUT OF STOCK", VLOOKUP(D1307,'[2]stock-take'!$M:$Q,4,FALSE)))</f>
        <v xml:space="preserve"> </v>
      </c>
      <c r="L1307" s="47">
        <f>IF(ISNA(VLOOKUP(D1307,'[2]stock-take'!$M:$Q,3,FALSE)), 0, VLOOKUP(D1307,'[2]stock-take'!$M:$Q,3,FALSE))</f>
        <v>0</v>
      </c>
      <c r="M1307" s="48" t="str">
        <f t="shared" si="61"/>
        <v xml:space="preserve"> </v>
      </c>
      <c r="N1307" s="39" t="str">
        <f t="shared" si="62"/>
        <v xml:space="preserve"> </v>
      </c>
    </row>
    <row r="1308" spans="1:14">
      <c r="A1308" s="37">
        <f t="shared" si="60"/>
        <v>1297</v>
      </c>
      <c r="G1308" s="48" t="str">
        <f>IF(F1308=""," ",IF(ISNA(VLOOKUP(D1308,'[2]stock-take'!$A:$E,4,FALSE)), "OUT OF STOCK", VLOOKUP(D1308,'[2]stock-take'!$A:$E,4,FALSE)))</f>
        <v xml:space="preserve"> </v>
      </c>
      <c r="H1308" s="48">
        <f>IF(ISNA(VLOOKUP(D1308,'[2]stock-take'!$A:$E,3,FALSE)), 0, VLOOKUP(D1308,'[2]stock-take'!$A:$E,3,FALSE))</f>
        <v>0</v>
      </c>
      <c r="I1308" s="48" t="str">
        <f>IF(F1308="", " ",IF(ISNA(VLOOKUP(D1308,'[2]stock-take'!$G:$K,4,FALSE)), "OUT OF STOCK", VLOOKUP(D1308,'[2]stock-take'!$G:$K,4,FALSE)))</f>
        <v xml:space="preserve"> </v>
      </c>
      <c r="J1308" s="39">
        <f>IF(ISNA(VLOOKUP(D1308,'[2]stock-take'!$G:$K,3,FALSE)), 0, VLOOKUP(D1308,'[2]stock-take'!$G:$K,3,FALSE))</f>
        <v>0</v>
      </c>
      <c r="K1308" s="49" t="str">
        <f>IF(F1308="", " ", IF(ISNA(VLOOKUP(D1308,'[2]stock-take'!$M:$Q,4,FALSE)), "OUT OF STOCK", VLOOKUP(D1308,'[2]stock-take'!$M:$Q,4,FALSE)))</f>
        <v xml:space="preserve"> </v>
      </c>
      <c r="L1308" s="47">
        <f>IF(ISNA(VLOOKUP(D1308,'[2]stock-take'!$M:$Q,3,FALSE)), 0, VLOOKUP(D1308,'[2]stock-take'!$M:$Q,3,FALSE))</f>
        <v>0</v>
      </c>
      <c r="M1308" s="48" t="str">
        <f t="shared" si="61"/>
        <v xml:space="preserve"> </v>
      </c>
      <c r="N1308" s="39" t="str">
        <f t="shared" si="62"/>
        <v xml:space="preserve"> </v>
      </c>
    </row>
    <row r="1309" spans="1:14">
      <c r="A1309" s="37">
        <f t="shared" si="60"/>
        <v>1298</v>
      </c>
      <c r="G1309" s="48" t="str">
        <f>IF(F1309=""," ",IF(ISNA(VLOOKUP(D1309,'[2]stock-take'!$A:$E,4,FALSE)), "OUT OF STOCK", VLOOKUP(D1309,'[2]stock-take'!$A:$E,4,FALSE)))</f>
        <v xml:space="preserve"> </v>
      </c>
      <c r="H1309" s="48">
        <f>IF(ISNA(VLOOKUP(D1309,'[2]stock-take'!$A:$E,3,FALSE)), 0, VLOOKUP(D1309,'[2]stock-take'!$A:$E,3,FALSE))</f>
        <v>0</v>
      </c>
      <c r="I1309" s="48" t="str">
        <f>IF(F1309="", " ",IF(ISNA(VLOOKUP(D1309,'[2]stock-take'!$G:$K,4,FALSE)), "OUT OF STOCK", VLOOKUP(D1309,'[2]stock-take'!$G:$K,4,FALSE)))</f>
        <v xml:space="preserve"> </v>
      </c>
      <c r="J1309" s="39">
        <f>IF(ISNA(VLOOKUP(D1309,'[2]stock-take'!$G:$K,3,FALSE)), 0, VLOOKUP(D1309,'[2]stock-take'!$G:$K,3,FALSE))</f>
        <v>0</v>
      </c>
      <c r="K1309" s="49" t="str">
        <f>IF(F1309="", " ", IF(ISNA(VLOOKUP(D1309,'[2]stock-take'!$M:$Q,4,FALSE)), "OUT OF STOCK", VLOOKUP(D1309,'[2]stock-take'!$M:$Q,4,FALSE)))</f>
        <v xml:space="preserve"> </v>
      </c>
      <c r="L1309" s="47">
        <f>IF(ISNA(VLOOKUP(D1309,'[2]stock-take'!$M:$Q,3,FALSE)), 0, VLOOKUP(D1309,'[2]stock-take'!$M:$Q,3,FALSE))</f>
        <v>0</v>
      </c>
      <c r="M1309" s="48" t="str">
        <f t="shared" si="61"/>
        <v xml:space="preserve"> </v>
      </c>
      <c r="N1309" s="39" t="str">
        <f t="shared" si="62"/>
        <v xml:space="preserve"> </v>
      </c>
    </row>
    <row r="1310" spans="1:14">
      <c r="A1310" s="37">
        <f t="shared" si="60"/>
        <v>1299</v>
      </c>
      <c r="G1310" s="48" t="str">
        <f>IF(F1310=""," ",IF(ISNA(VLOOKUP(D1310,'[2]stock-take'!$A:$E,4,FALSE)), "OUT OF STOCK", VLOOKUP(D1310,'[2]stock-take'!$A:$E,4,FALSE)))</f>
        <v xml:space="preserve"> </v>
      </c>
      <c r="H1310" s="48">
        <f>IF(ISNA(VLOOKUP(D1310,'[2]stock-take'!$A:$E,3,FALSE)), 0, VLOOKUP(D1310,'[2]stock-take'!$A:$E,3,FALSE))</f>
        <v>0</v>
      </c>
      <c r="I1310" s="48" t="str">
        <f>IF(F1310="", " ",IF(ISNA(VLOOKUP(D1310,'[2]stock-take'!$G:$K,4,FALSE)), "OUT OF STOCK", VLOOKUP(D1310,'[2]stock-take'!$G:$K,4,FALSE)))</f>
        <v xml:space="preserve"> </v>
      </c>
      <c r="J1310" s="39">
        <f>IF(ISNA(VLOOKUP(D1310,'[2]stock-take'!$G:$K,3,FALSE)), 0, VLOOKUP(D1310,'[2]stock-take'!$G:$K,3,FALSE))</f>
        <v>0</v>
      </c>
      <c r="K1310" s="49" t="str">
        <f>IF(F1310="", " ", IF(ISNA(VLOOKUP(D1310,'[2]stock-take'!$M:$Q,4,FALSE)), "OUT OF STOCK", VLOOKUP(D1310,'[2]stock-take'!$M:$Q,4,FALSE)))</f>
        <v xml:space="preserve"> </v>
      </c>
      <c r="L1310" s="47">
        <f>IF(ISNA(VLOOKUP(D1310,'[2]stock-take'!$M:$Q,3,FALSE)), 0, VLOOKUP(D1310,'[2]stock-take'!$M:$Q,3,FALSE))</f>
        <v>0</v>
      </c>
      <c r="M1310" s="48" t="str">
        <f t="shared" si="61"/>
        <v xml:space="preserve"> </v>
      </c>
      <c r="N1310" s="39" t="str">
        <f t="shared" si="62"/>
        <v xml:space="preserve"> </v>
      </c>
    </row>
    <row r="1311" spans="1:14">
      <c r="A1311" s="37">
        <f t="shared" si="60"/>
        <v>1300</v>
      </c>
      <c r="G1311" s="48" t="str">
        <f>IF(F1311=""," ",IF(ISNA(VLOOKUP(D1311,'[2]stock-take'!$A:$E,4,FALSE)), "OUT OF STOCK", VLOOKUP(D1311,'[2]stock-take'!$A:$E,4,FALSE)))</f>
        <v xml:space="preserve"> </v>
      </c>
      <c r="H1311" s="48">
        <f>IF(ISNA(VLOOKUP(D1311,'[2]stock-take'!$A:$E,3,FALSE)), 0, VLOOKUP(D1311,'[2]stock-take'!$A:$E,3,FALSE))</f>
        <v>0</v>
      </c>
      <c r="I1311" s="48" t="str">
        <f>IF(F1311="", " ",IF(ISNA(VLOOKUP(D1311,'[2]stock-take'!$G:$K,4,FALSE)), "OUT OF STOCK", VLOOKUP(D1311,'[2]stock-take'!$G:$K,4,FALSE)))</f>
        <v xml:space="preserve"> </v>
      </c>
      <c r="J1311" s="39">
        <f>IF(ISNA(VLOOKUP(D1311,'[2]stock-take'!$G:$K,3,FALSE)), 0, VLOOKUP(D1311,'[2]stock-take'!$G:$K,3,FALSE))</f>
        <v>0</v>
      </c>
      <c r="K1311" s="49" t="str">
        <f>IF(F1311="", " ", IF(ISNA(VLOOKUP(D1311,'[2]stock-take'!$M:$Q,4,FALSE)), "OUT OF STOCK", VLOOKUP(D1311,'[2]stock-take'!$M:$Q,4,FALSE)))</f>
        <v xml:space="preserve"> </v>
      </c>
      <c r="L1311" s="47">
        <f>IF(ISNA(VLOOKUP(D1311,'[2]stock-take'!$M:$Q,3,FALSE)), 0, VLOOKUP(D1311,'[2]stock-take'!$M:$Q,3,FALSE))</f>
        <v>0</v>
      </c>
      <c r="M1311" s="48" t="str">
        <f t="shared" si="61"/>
        <v xml:space="preserve"> </v>
      </c>
      <c r="N1311" s="39" t="str">
        <f t="shared" si="62"/>
        <v xml:space="preserve"> </v>
      </c>
    </row>
    <row r="1312" spans="1:14">
      <c r="A1312" s="37">
        <f t="shared" si="60"/>
        <v>1301</v>
      </c>
      <c r="G1312" s="48" t="str">
        <f>IF(F1312=""," ",IF(ISNA(VLOOKUP(D1312,'[2]stock-take'!$A:$E,4,FALSE)), "OUT OF STOCK", VLOOKUP(D1312,'[2]stock-take'!$A:$E,4,FALSE)))</f>
        <v xml:space="preserve"> </v>
      </c>
      <c r="H1312" s="48">
        <f>IF(ISNA(VLOOKUP(D1312,'[2]stock-take'!$A:$E,3,FALSE)), 0, VLOOKUP(D1312,'[2]stock-take'!$A:$E,3,FALSE))</f>
        <v>0</v>
      </c>
      <c r="I1312" s="48" t="str">
        <f>IF(F1312="", " ",IF(ISNA(VLOOKUP(D1312,'[2]stock-take'!$G:$K,4,FALSE)), "OUT OF STOCK", VLOOKUP(D1312,'[2]stock-take'!$G:$K,4,FALSE)))</f>
        <v xml:space="preserve"> </v>
      </c>
      <c r="J1312" s="39">
        <f>IF(ISNA(VLOOKUP(D1312,'[2]stock-take'!$G:$K,3,FALSE)), 0, VLOOKUP(D1312,'[2]stock-take'!$G:$K,3,FALSE))</f>
        <v>0</v>
      </c>
      <c r="K1312" s="49" t="str">
        <f>IF(F1312="", " ", IF(ISNA(VLOOKUP(D1312,'[2]stock-take'!$M:$Q,4,FALSE)), "OUT OF STOCK", VLOOKUP(D1312,'[2]stock-take'!$M:$Q,4,FALSE)))</f>
        <v xml:space="preserve"> </v>
      </c>
      <c r="L1312" s="47">
        <f>IF(ISNA(VLOOKUP(D1312,'[2]stock-take'!$M:$Q,3,FALSE)), 0, VLOOKUP(D1312,'[2]stock-take'!$M:$Q,3,FALSE))</f>
        <v>0</v>
      </c>
      <c r="M1312" s="48" t="str">
        <f t="shared" si="61"/>
        <v xml:space="preserve"> </v>
      </c>
      <c r="N1312" s="39" t="str">
        <f t="shared" si="62"/>
        <v xml:space="preserve"> </v>
      </c>
    </row>
    <row r="1313" spans="1:14">
      <c r="A1313" s="37">
        <f t="shared" si="60"/>
        <v>1302</v>
      </c>
      <c r="G1313" s="48" t="str">
        <f>IF(F1313=""," ",IF(ISNA(VLOOKUP(D1313,'[2]stock-take'!$A:$E,4,FALSE)), "OUT OF STOCK", VLOOKUP(D1313,'[2]stock-take'!$A:$E,4,FALSE)))</f>
        <v xml:space="preserve"> </v>
      </c>
      <c r="H1313" s="48">
        <f>IF(ISNA(VLOOKUP(D1313,'[2]stock-take'!$A:$E,3,FALSE)), 0, VLOOKUP(D1313,'[2]stock-take'!$A:$E,3,FALSE))</f>
        <v>0</v>
      </c>
      <c r="I1313" s="48" t="str">
        <f>IF(F1313="", " ",IF(ISNA(VLOOKUP(D1313,'[2]stock-take'!$G:$K,4,FALSE)), "OUT OF STOCK", VLOOKUP(D1313,'[2]stock-take'!$G:$K,4,FALSE)))</f>
        <v xml:space="preserve"> </v>
      </c>
      <c r="J1313" s="39">
        <f>IF(ISNA(VLOOKUP(D1313,'[2]stock-take'!$G:$K,3,FALSE)), 0, VLOOKUP(D1313,'[2]stock-take'!$G:$K,3,FALSE))</f>
        <v>0</v>
      </c>
      <c r="K1313" s="49" t="str">
        <f>IF(F1313="", " ", IF(ISNA(VLOOKUP(D1313,'[2]stock-take'!$M:$Q,4,FALSE)), "OUT OF STOCK", VLOOKUP(D1313,'[2]stock-take'!$M:$Q,4,FALSE)))</f>
        <v xml:space="preserve"> </v>
      </c>
      <c r="L1313" s="47">
        <f>IF(ISNA(VLOOKUP(D1313,'[2]stock-take'!$M:$Q,3,FALSE)), 0, VLOOKUP(D1313,'[2]stock-take'!$M:$Q,3,FALSE))</f>
        <v>0</v>
      </c>
      <c r="M1313" s="48" t="str">
        <f t="shared" si="61"/>
        <v xml:space="preserve"> </v>
      </c>
      <c r="N1313" s="39" t="str">
        <f t="shared" si="62"/>
        <v xml:space="preserve"> </v>
      </c>
    </row>
    <row r="1314" spans="1:14">
      <c r="A1314" s="37">
        <f t="shared" si="60"/>
        <v>1303</v>
      </c>
      <c r="G1314" s="48" t="str">
        <f>IF(F1314=""," ",IF(ISNA(VLOOKUP(D1314,'[2]stock-take'!$A:$E,4,FALSE)), "OUT OF STOCK", VLOOKUP(D1314,'[2]stock-take'!$A:$E,4,FALSE)))</f>
        <v xml:space="preserve"> </v>
      </c>
      <c r="H1314" s="48">
        <f>IF(ISNA(VLOOKUP(D1314,'[2]stock-take'!$A:$E,3,FALSE)), 0, VLOOKUP(D1314,'[2]stock-take'!$A:$E,3,FALSE))</f>
        <v>0</v>
      </c>
      <c r="I1314" s="48" t="str">
        <f>IF(F1314="", " ",IF(ISNA(VLOOKUP(D1314,'[2]stock-take'!$G:$K,4,FALSE)), "OUT OF STOCK", VLOOKUP(D1314,'[2]stock-take'!$G:$K,4,FALSE)))</f>
        <v xml:space="preserve"> </v>
      </c>
      <c r="J1314" s="39">
        <f>IF(ISNA(VLOOKUP(D1314,'[2]stock-take'!$G:$K,3,FALSE)), 0, VLOOKUP(D1314,'[2]stock-take'!$G:$K,3,FALSE))</f>
        <v>0</v>
      </c>
      <c r="K1314" s="49" t="str">
        <f>IF(F1314="", " ", IF(ISNA(VLOOKUP(D1314,'[2]stock-take'!$M:$Q,4,FALSE)), "OUT OF STOCK", VLOOKUP(D1314,'[2]stock-take'!$M:$Q,4,FALSE)))</f>
        <v xml:space="preserve"> </v>
      </c>
      <c r="L1314" s="47">
        <f>IF(ISNA(VLOOKUP(D1314,'[2]stock-take'!$M:$Q,3,FALSE)), 0, VLOOKUP(D1314,'[2]stock-take'!$M:$Q,3,FALSE))</f>
        <v>0</v>
      </c>
      <c r="M1314" s="48" t="str">
        <f t="shared" si="61"/>
        <v xml:space="preserve"> </v>
      </c>
      <c r="N1314" s="39" t="str">
        <f t="shared" si="62"/>
        <v xml:space="preserve"> </v>
      </c>
    </row>
    <row r="1315" spans="1:14">
      <c r="A1315" s="37">
        <f t="shared" si="60"/>
        <v>1304</v>
      </c>
      <c r="G1315" s="48" t="str">
        <f>IF(F1315=""," ",IF(ISNA(VLOOKUP(D1315,'[2]stock-take'!$A:$E,4,FALSE)), "OUT OF STOCK", VLOOKUP(D1315,'[2]stock-take'!$A:$E,4,FALSE)))</f>
        <v xml:space="preserve"> </v>
      </c>
      <c r="H1315" s="48">
        <f>IF(ISNA(VLOOKUP(D1315,'[2]stock-take'!$A:$E,3,FALSE)), 0, VLOOKUP(D1315,'[2]stock-take'!$A:$E,3,FALSE))</f>
        <v>0</v>
      </c>
      <c r="I1315" s="48" t="str">
        <f>IF(F1315="", " ",IF(ISNA(VLOOKUP(D1315,'[2]stock-take'!$G:$K,4,FALSE)), "OUT OF STOCK", VLOOKUP(D1315,'[2]stock-take'!$G:$K,4,FALSE)))</f>
        <v xml:space="preserve"> </v>
      </c>
      <c r="J1315" s="39">
        <f>IF(ISNA(VLOOKUP(D1315,'[2]stock-take'!$G:$K,3,FALSE)), 0, VLOOKUP(D1315,'[2]stock-take'!$G:$K,3,FALSE))</f>
        <v>0</v>
      </c>
      <c r="K1315" s="49" t="str">
        <f>IF(F1315="", " ", IF(ISNA(VLOOKUP(D1315,'[2]stock-take'!$M:$Q,4,FALSE)), "OUT OF STOCK", VLOOKUP(D1315,'[2]stock-take'!$M:$Q,4,FALSE)))</f>
        <v xml:space="preserve"> </v>
      </c>
      <c r="L1315" s="47">
        <f>IF(ISNA(VLOOKUP(D1315,'[2]stock-take'!$M:$Q,3,FALSE)), 0, VLOOKUP(D1315,'[2]stock-take'!$M:$Q,3,FALSE))</f>
        <v>0</v>
      </c>
      <c r="M1315" s="48" t="str">
        <f t="shared" si="61"/>
        <v xml:space="preserve"> </v>
      </c>
      <c r="N1315" s="39" t="str">
        <f t="shared" si="62"/>
        <v xml:space="preserve"> </v>
      </c>
    </row>
    <row r="1316" spans="1:14">
      <c r="A1316" s="37">
        <f t="shared" si="60"/>
        <v>1305</v>
      </c>
      <c r="G1316" s="48" t="str">
        <f>IF(F1316=""," ",IF(ISNA(VLOOKUP(D1316,'[2]stock-take'!$A:$E,4,FALSE)), "OUT OF STOCK", VLOOKUP(D1316,'[2]stock-take'!$A:$E,4,FALSE)))</f>
        <v xml:space="preserve"> </v>
      </c>
      <c r="H1316" s="48">
        <f>IF(ISNA(VLOOKUP(D1316,'[2]stock-take'!$A:$E,3,FALSE)), 0, VLOOKUP(D1316,'[2]stock-take'!$A:$E,3,FALSE))</f>
        <v>0</v>
      </c>
      <c r="I1316" s="48" t="str">
        <f>IF(F1316="", " ",IF(ISNA(VLOOKUP(D1316,'[2]stock-take'!$G:$K,4,FALSE)), "OUT OF STOCK", VLOOKUP(D1316,'[2]stock-take'!$G:$K,4,FALSE)))</f>
        <v xml:space="preserve"> </v>
      </c>
      <c r="J1316" s="39">
        <f>IF(ISNA(VLOOKUP(D1316,'[2]stock-take'!$G:$K,3,FALSE)), 0, VLOOKUP(D1316,'[2]stock-take'!$G:$K,3,FALSE))</f>
        <v>0</v>
      </c>
      <c r="K1316" s="49" t="str">
        <f>IF(F1316="", " ", IF(ISNA(VLOOKUP(D1316,'[2]stock-take'!$M:$Q,4,FALSE)), "OUT OF STOCK", VLOOKUP(D1316,'[2]stock-take'!$M:$Q,4,FALSE)))</f>
        <v xml:space="preserve"> </v>
      </c>
      <c r="L1316" s="47">
        <f>IF(ISNA(VLOOKUP(D1316,'[2]stock-take'!$M:$Q,3,FALSE)), 0, VLOOKUP(D1316,'[2]stock-take'!$M:$Q,3,FALSE))</f>
        <v>0</v>
      </c>
      <c r="M1316" s="48" t="str">
        <f t="shared" si="61"/>
        <v xml:space="preserve"> </v>
      </c>
      <c r="N1316" s="39" t="str">
        <f t="shared" si="62"/>
        <v xml:space="preserve"> </v>
      </c>
    </row>
    <row r="1317" spans="1:14">
      <c r="A1317" s="37">
        <f t="shared" si="60"/>
        <v>1306</v>
      </c>
      <c r="G1317" s="48" t="str">
        <f>IF(F1317=""," ",IF(ISNA(VLOOKUP(D1317,'[2]stock-take'!$A:$E,4,FALSE)), "OUT OF STOCK", VLOOKUP(D1317,'[2]stock-take'!$A:$E,4,FALSE)))</f>
        <v xml:space="preserve"> </v>
      </c>
      <c r="H1317" s="48">
        <f>IF(ISNA(VLOOKUP(D1317,'[2]stock-take'!$A:$E,3,FALSE)), 0, VLOOKUP(D1317,'[2]stock-take'!$A:$E,3,FALSE))</f>
        <v>0</v>
      </c>
      <c r="I1317" s="48" t="str">
        <f>IF(F1317="", " ",IF(ISNA(VLOOKUP(D1317,'[2]stock-take'!$G:$K,4,FALSE)), "OUT OF STOCK", VLOOKUP(D1317,'[2]stock-take'!$G:$K,4,FALSE)))</f>
        <v xml:space="preserve"> </v>
      </c>
      <c r="J1317" s="39">
        <f>IF(ISNA(VLOOKUP(D1317,'[2]stock-take'!$G:$K,3,FALSE)), 0, VLOOKUP(D1317,'[2]stock-take'!$G:$K,3,FALSE))</f>
        <v>0</v>
      </c>
      <c r="K1317" s="49" t="str">
        <f>IF(F1317="", " ", IF(ISNA(VLOOKUP(D1317,'[2]stock-take'!$M:$Q,4,FALSE)), "OUT OF STOCK", VLOOKUP(D1317,'[2]stock-take'!$M:$Q,4,FALSE)))</f>
        <v xml:space="preserve"> </v>
      </c>
      <c r="L1317" s="47">
        <f>IF(ISNA(VLOOKUP(D1317,'[2]stock-take'!$M:$Q,3,FALSE)), 0, VLOOKUP(D1317,'[2]stock-take'!$M:$Q,3,FALSE))</f>
        <v>0</v>
      </c>
      <c r="M1317" s="48" t="str">
        <f t="shared" si="61"/>
        <v xml:space="preserve"> </v>
      </c>
      <c r="N1317" s="39" t="str">
        <f t="shared" si="62"/>
        <v xml:space="preserve"> </v>
      </c>
    </row>
    <row r="1318" spans="1:14">
      <c r="A1318" s="37">
        <f t="shared" si="60"/>
        <v>1307</v>
      </c>
      <c r="G1318" s="48" t="str">
        <f>IF(F1318=""," ",IF(ISNA(VLOOKUP(D1318,'[2]stock-take'!$A:$E,4,FALSE)), "OUT OF STOCK", VLOOKUP(D1318,'[2]stock-take'!$A:$E,4,FALSE)))</f>
        <v xml:space="preserve"> </v>
      </c>
      <c r="H1318" s="48">
        <f>IF(ISNA(VLOOKUP(D1318,'[2]stock-take'!$A:$E,3,FALSE)), 0, VLOOKUP(D1318,'[2]stock-take'!$A:$E,3,FALSE))</f>
        <v>0</v>
      </c>
      <c r="I1318" s="48" t="str">
        <f>IF(F1318="", " ",IF(ISNA(VLOOKUP(D1318,'[2]stock-take'!$G:$K,4,FALSE)), "OUT OF STOCK", VLOOKUP(D1318,'[2]stock-take'!$G:$K,4,FALSE)))</f>
        <v xml:space="preserve"> </v>
      </c>
      <c r="J1318" s="39">
        <f>IF(ISNA(VLOOKUP(D1318,'[2]stock-take'!$G:$K,3,FALSE)), 0, VLOOKUP(D1318,'[2]stock-take'!$G:$K,3,FALSE))</f>
        <v>0</v>
      </c>
      <c r="K1318" s="49" t="str">
        <f>IF(F1318="", " ", IF(ISNA(VLOOKUP(D1318,'[2]stock-take'!$M:$Q,4,FALSE)), "OUT OF STOCK", VLOOKUP(D1318,'[2]stock-take'!$M:$Q,4,FALSE)))</f>
        <v xml:space="preserve"> </v>
      </c>
      <c r="L1318" s="47">
        <f>IF(ISNA(VLOOKUP(D1318,'[2]stock-take'!$M:$Q,3,FALSE)), 0, VLOOKUP(D1318,'[2]stock-take'!$M:$Q,3,FALSE))</f>
        <v>0</v>
      </c>
      <c r="M1318" s="48" t="str">
        <f t="shared" si="61"/>
        <v xml:space="preserve"> </v>
      </c>
      <c r="N1318" s="39" t="str">
        <f t="shared" si="62"/>
        <v xml:space="preserve"> </v>
      </c>
    </row>
    <row r="1319" spans="1:14">
      <c r="A1319" s="37">
        <f t="shared" si="60"/>
        <v>1308</v>
      </c>
      <c r="G1319" s="48" t="str">
        <f>IF(F1319=""," ",IF(ISNA(VLOOKUP(D1319,'[2]stock-take'!$A:$E,4,FALSE)), "OUT OF STOCK", VLOOKUP(D1319,'[2]stock-take'!$A:$E,4,FALSE)))</f>
        <v xml:space="preserve"> </v>
      </c>
      <c r="H1319" s="48">
        <f>IF(ISNA(VLOOKUP(D1319,'[2]stock-take'!$A:$E,3,FALSE)), 0, VLOOKUP(D1319,'[2]stock-take'!$A:$E,3,FALSE))</f>
        <v>0</v>
      </c>
      <c r="I1319" s="48" t="str">
        <f>IF(F1319="", " ",IF(ISNA(VLOOKUP(D1319,'[2]stock-take'!$G:$K,4,FALSE)), "OUT OF STOCK", VLOOKUP(D1319,'[2]stock-take'!$G:$K,4,FALSE)))</f>
        <v xml:space="preserve"> </v>
      </c>
      <c r="J1319" s="39">
        <f>IF(ISNA(VLOOKUP(D1319,'[2]stock-take'!$G:$K,3,FALSE)), 0, VLOOKUP(D1319,'[2]stock-take'!$G:$K,3,FALSE))</f>
        <v>0</v>
      </c>
      <c r="K1319" s="49" t="str">
        <f>IF(F1319="", " ", IF(ISNA(VLOOKUP(D1319,'[2]stock-take'!$M:$Q,4,FALSE)), "OUT OF STOCK", VLOOKUP(D1319,'[2]stock-take'!$M:$Q,4,FALSE)))</f>
        <v xml:space="preserve"> </v>
      </c>
      <c r="L1319" s="47">
        <f>IF(ISNA(VLOOKUP(D1319,'[2]stock-take'!$M:$Q,3,FALSE)), 0, VLOOKUP(D1319,'[2]stock-take'!$M:$Q,3,FALSE))</f>
        <v>0</v>
      </c>
      <c r="M1319" s="48" t="str">
        <f t="shared" si="61"/>
        <v xml:space="preserve"> </v>
      </c>
      <c r="N1319" s="39" t="str">
        <f t="shared" si="62"/>
        <v xml:space="preserve"> </v>
      </c>
    </row>
    <row r="1320" spans="1:14">
      <c r="A1320" s="37">
        <f t="shared" si="60"/>
        <v>1309</v>
      </c>
      <c r="G1320" s="48" t="str">
        <f>IF(F1320=""," ",IF(ISNA(VLOOKUP(D1320,'[2]stock-take'!$A:$E,4,FALSE)), "OUT OF STOCK", VLOOKUP(D1320,'[2]stock-take'!$A:$E,4,FALSE)))</f>
        <v xml:space="preserve"> </v>
      </c>
      <c r="H1320" s="48">
        <f>IF(ISNA(VLOOKUP(D1320,'[2]stock-take'!$A:$E,3,FALSE)), 0, VLOOKUP(D1320,'[2]stock-take'!$A:$E,3,FALSE))</f>
        <v>0</v>
      </c>
      <c r="I1320" s="48" t="str">
        <f>IF(F1320="", " ",IF(ISNA(VLOOKUP(D1320,'[2]stock-take'!$G:$K,4,FALSE)), "OUT OF STOCK", VLOOKUP(D1320,'[2]stock-take'!$G:$K,4,FALSE)))</f>
        <v xml:space="preserve"> </v>
      </c>
      <c r="J1320" s="39">
        <f>IF(ISNA(VLOOKUP(D1320,'[2]stock-take'!$G:$K,3,FALSE)), 0, VLOOKUP(D1320,'[2]stock-take'!$G:$K,3,FALSE))</f>
        <v>0</v>
      </c>
      <c r="K1320" s="49" t="str">
        <f>IF(F1320="", " ", IF(ISNA(VLOOKUP(D1320,'[2]stock-take'!$M:$Q,4,FALSE)), "OUT OF STOCK", VLOOKUP(D1320,'[2]stock-take'!$M:$Q,4,FALSE)))</f>
        <v xml:space="preserve"> </v>
      </c>
      <c r="L1320" s="47">
        <f>IF(ISNA(VLOOKUP(D1320,'[2]stock-take'!$M:$Q,3,FALSE)), 0, VLOOKUP(D1320,'[2]stock-take'!$M:$Q,3,FALSE))</f>
        <v>0</v>
      </c>
      <c r="M1320" s="48" t="str">
        <f t="shared" si="61"/>
        <v xml:space="preserve"> </v>
      </c>
      <c r="N1320" s="39" t="str">
        <f t="shared" si="62"/>
        <v xml:space="preserve"> </v>
      </c>
    </row>
    <row r="1321" spans="1:14">
      <c r="A1321" s="37">
        <f t="shared" si="60"/>
        <v>1310</v>
      </c>
      <c r="G1321" s="48" t="str">
        <f>IF(F1321=""," ",IF(ISNA(VLOOKUP(D1321,'[2]stock-take'!$A:$E,4,FALSE)), "OUT OF STOCK", VLOOKUP(D1321,'[2]stock-take'!$A:$E,4,FALSE)))</f>
        <v xml:space="preserve"> </v>
      </c>
      <c r="H1321" s="48">
        <f>IF(ISNA(VLOOKUP(D1321,'[2]stock-take'!$A:$E,3,FALSE)), 0, VLOOKUP(D1321,'[2]stock-take'!$A:$E,3,FALSE))</f>
        <v>0</v>
      </c>
      <c r="I1321" s="48" t="str">
        <f>IF(F1321="", " ",IF(ISNA(VLOOKUP(D1321,'[2]stock-take'!$G:$K,4,FALSE)), "OUT OF STOCK", VLOOKUP(D1321,'[2]stock-take'!$G:$K,4,FALSE)))</f>
        <v xml:space="preserve"> </v>
      </c>
      <c r="J1321" s="39">
        <f>IF(ISNA(VLOOKUP(D1321,'[2]stock-take'!$G:$K,3,FALSE)), 0, VLOOKUP(D1321,'[2]stock-take'!$G:$K,3,FALSE))</f>
        <v>0</v>
      </c>
      <c r="K1321" s="49" t="str">
        <f>IF(F1321="", " ", IF(ISNA(VLOOKUP(D1321,'[2]stock-take'!$M:$Q,4,FALSE)), "OUT OF STOCK", VLOOKUP(D1321,'[2]stock-take'!$M:$Q,4,FALSE)))</f>
        <v xml:space="preserve"> </v>
      </c>
      <c r="L1321" s="47">
        <f>IF(ISNA(VLOOKUP(D1321,'[2]stock-take'!$M:$Q,3,FALSE)), 0, VLOOKUP(D1321,'[2]stock-take'!$M:$Q,3,FALSE))</f>
        <v>0</v>
      </c>
      <c r="M1321" s="48" t="str">
        <f t="shared" si="61"/>
        <v xml:space="preserve"> </v>
      </c>
      <c r="N1321" s="39" t="str">
        <f t="shared" si="62"/>
        <v xml:space="preserve"> </v>
      </c>
    </row>
    <row r="1322" spans="1:14">
      <c r="A1322" s="37">
        <f t="shared" si="60"/>
        <v>1311</v>
      </c>
      <c r="G1322" s="48" t="str">
        <f>IF(F1322=""," ",IF(ISNA(VLOOKUP(D1322,'[2]stock-take'!$A:$E,4,FALSE)), "OUT OF STOCK", VLOOKUP(D1322,'[2]stock-take'!$A:$E,4,FALSE)))</f>
        <v xml:space="preserve"> </v>
      </c>
      <c r="H1322" s="48">
        <f>IF(ISNA(VLOOKUP(D1322,'[2]stock-take'!$A:$E,3,FALSE)), 0, VLOOKUP(D1322,'[2]stock-take'!$A:$E,3,FALSE))</f>
        <v>0</v>
      </c>
      <c r="I1322" s="48" t="str">
        <f>IF(F1322="", " ",IF(ISNA(VLOOKUP(D1322,'[2]stock-take'!$G:$K,4,FALSE)), "OUT OF STOCK", VLOOKUP(D1322,'[2]stock-take'!$G:$K,4,FALSE)))</f>
        <v xml:space="preserve"> </v>
      </c>
      <c r="J1322" s="39">
        <f>IF(ISNA(VLOOKUP(D1322,'[2]stock-take'!$G:$K,3,FALSE)), 0, VLOOKUP(D1322,'[2]stock-take'!$G:$K,3,FALSE))</f>
        <v>0</v>
      </c>
      <c r="K1322" s="49" t="str">
        <f>IF(F1322="", " ", IF(ISNA(VLOOKUP(D1322,'[2]stock-take'!$M:$Q,4,FALSE)), "OUT OF STOCK", VLOOKUP(D1322,'[2]stock-take'!$M:$Q,4,FALSE)))</f>
        <v xml:space="preserve"> </v>
      </c>
      <c r="L1322" s="47">
        <f>IF(ISNA(VLOOKUP(D1322,'[2]stock-take'!$M:$Q,3,FALSE)), 0, VLOOKUP(D1322,'[2]stock-take'!$M:$Q,3,FALSE))</f>
        <v>0</v>
      </c>
      <c r="M1322" s="48" t="str">
        <f t="shared" si="61"/>
        <v xml:space="preserve"> </v>
      </c>
      <c r="N1322" s="39" t="str">
        <f t="shared" si="62"/>
        <v xml:space="preserve"> </v>
      </c>
    </row>
    <row r="1323" spans="1:14">
      <c r="A1323" s="37">
        <f t="shared" si="60"/>
        <v>1312</v>
      </c>
      <c r="G1323" s="48" t="str">
        <f>IF(F1323=""," ",IF(ISNA(VLOOKUP(D1323,'[2]stock-take'!$A:$E,4,FALSE)), "OUT OF STOCK", VLOOKUP(D1323,'[2]stock-take'!$A:$E,4,FALSE)))</f>
        <v xml:space="preserve"> </v>
      </c>
      <c r="H1323" s="48">
        <f>IF(ISNA(VLOOKUP(D1323,'[2]stock-take'!$A:$E,3,FALSE)), 0, VLOOKUP(D1323,'[2]stock-take'!$A:$E,3,FALSE))</f>
        <v>0</v>
      </c>
      <c r="I1323" s="48" t="str">
        <f>IF(F1323="", " ",IF(ISNA(VLOOKUP(D1323,'[2]stock-take'!$G:$K,4,FALSE)), "OUT OF STOCK", VLOOKUP(D1323,'[2]stock-take'!$G:$K,4,FALSE)))</f>
        <v xml:space="preserve"> </v>
      </c>
      <c r="J1323" s="39">
        <f>IF(ISNA(VLOOKUP(D1323,'[2]stock-take'!$G:$K,3,FALSE)), 0, VLOOKUP(D1323,'[2]stock-take'!$G:$K,3,FALSE))</f>
        <v>0</v>
      </c>
      <c r="K1323" s="49" t="str">
        <f>IF(F1323="", " ", IF(ISNA(VLOOKUP(D1323,'[2]stock-take'!$M:$Q,4,FALSE)), "OUT OF STOCK", VLOOKUP(D1323,'[2]stock-take'!$M:$Q,4,FALSE)))</f>
        <v xml:space="preserve"> </v>
      </c>
      <c r="L1323" s="47">
        <f>IF(ISNA(VLOOKUP(D1323,'[2]stock-take'!$M:$Q,3,FALSE)), 0, VLOOKUP(D1323,'[2]stock-take'!$M:$Q,3,FALSE))</f>
        <v>0</v>
      </c>
      <c r="M1323" s="48" t="str">
        <f t="shared" si="61"/>
        <v xml:space="preserve"> </v>
      </c>
      <c r="N1323" s="39" t="str">
        <f t="shared" si="62"/>
        <v xml:space="preserve"> </v>
      </c>
    </row>
    <row r="1324" spans="1:14">
      <c r="A1324" s="37">
        <f t="shared" si="60"/>
        <v>1313</v>
      </c>
      <c r="G1324" s="48" t="str">
        <f>IF(F1324=""," ",IF(ISNA(VLOOKUP(D1324,'[2]stock-take'!$A:$E,4,FALSE)), "OUT OF STOCK", VLOOKUP(D1324,'[2]stock-take'!$A:$E,4,FALSE)))</f>
        <v xml:space="preserve"> </v>
      </c>
      <c r="H1324" s="48">
        <f>IF(ISNA(VLOOKUP(D1324,'[2]stock-take'!$A:$E,3,FALSE)), 0, VLOOKUP(D1324,'[2]stock-take'!$A:$E,3,FALSE))</f>
        <v>0</v>
      </c>
      <c r="I1324" s="48" t="str">
        <f>IF(F1324="", " ",IF(ISNA(VLOOKUP(D1324,'[2]stock-take'!$G:$K,4,FALSE)), "OUT OF STOCK", VLOOKUP(D1324,'[2]stock-take'!$G:$K,4,FALSE)))</f>
        <v xml:space="preserve"> </v>
      </c>
      <c r="J1324" s="39">
        <f>IF(ISNA(VLOOKUP(D1324,'[2]stock-take'!$G:$K,3,FALSE)), 0, VLOOKUP(D1324,'[2]stock-take'!$G:$K,3,FALSE))</f>
        <v>0</v>
      </c>
      <c r="K1324" s="49" t="str">
        <f>IF(F1324="", " ", IF(ISNA(VLOOKUP(D1324,'[2]stock-take'!$M:$Q,4,FALSE)), "OUT OF STOCK", VLOOKUP(D1324,'[2]stock-take'!$M:$Q,4,FALSE)))</f>
        <v xml:space="preserve"> </v>
      </c>
      <c r="L1324" s="47">
        <f>IF(ISNA(VLOOKUP(D1324,'[2]stock-take'!$M:$Q,3,FALSE)), 0, VLOOKUP(D1324,'[2]stock-take'!$M:$Q,3,FALSE))</f>
        <v>0</v>
      </c>
      <c r="M1324" s="48" t="str">
        <f t="shared" si="61"/>
        <v xml:space="preserve"> </v>
      </c>
      <c r="N1324" s="39" t="str">
        <f t="shared" si="62"/>
        <v xml:space="preserve"> </v>
      </c>
    </row>
    <row r="1325" spans="1:14">
      <c r="A1325" s="37">
        <f t="shared" si="60"/>
        <v>1314</v>
      </c>
      <c r="G1325" s="48" t="str">
        <f>IF(F1325=""," ",IF(ISNA(VLOOKUP(D1325,'[2]stock-take'!$A:$E,4,FALSE)), "OUT OF STOCK", VLOOKUP(D1325,'[2]stock-take'!$A:$E,4,FALSE)))</f>
        <v xml:space="preserve"> </v>
      </c>
      <c r="H1325" s="48">
        <f>IF(ISNA(VLOOKUP(D1325,'[2]stock-take'!$A:$E,3,FALSE)), 0, VLOOKUP(D1325,'[2]stock-take'!$A:$E,3,FALSE))</f>
        <v>0</v>
      </c>
      <c r="I1325" s="48" t="str">
        <f>IF(F1325="", " ",IF(ISNA(VLOOKUP(D1325,'[2]stock-take'!$G:$K,4,FALSE)), "OUT OF STOCK", VLOOKUP(D1325,'[2]stock-take'!$G:$K,4,FALSE)))</f>
        <v xml:space="preserve"> </v>
      </c>
      <c r="J1325" s="39">
        <f>IF(ISNA(VLOOKUP(D1325,'[2]stock-take'!$G:$K,3,FALSE)), 0, VLOOKUP(D1325,'[2]stock-take'!$G:$K,3,FALSE))</f>
        <v>0</v>
      </c>
      <c r="K1325" s="49" t="str">
        <f>IF(F1325="", " ", IF(ISNA(VLOOKUP(D1325,'[2]stock-take'!$M:$Q,4,FALSE)), "OUT OF STOCK", VLOOKUP(D1325,'[2]stock-take'!$M:$Q,4,FALSE)))</f>
        <v xml:space="preserve"> </v>
      </c>
      <c r="L1325" s="47">
        <f>IF(ISNA(VLOOKUP(D1325,'[2]stock-take'!$M:$Q,3,FALSE)), 0, VLOOKUP(D1325,'[2]stock-take'!$M:$Q,3,FALSE))</f>
        <v>0</v>
      </c>
      <c r="M1325" s="48" t="str">
        <f t="shared" si="61"/>
        <v xml:space="preserve"> </v>
      </c>
      <c r="N1325" s="39" t="str">
        <f t="shared" si="62"/>
        <v xml:space="preserve"> </v>
      </c>
    </row>
    <row r="1326" spans="1:14">
      <c r="A1326" s="37">
        <f t="shared" si="60"/>
        <v>1315</v>
      </c>
      <c r="G1326" s="48" t="str">
        <f>IF(F1326=""," ",IF(ISNA(VLOOKUP(D1326,'[2]stock-take'!$A:$E,4,FALSE)), "OUT OF STOCK", VLOOKUP(D1326,'[2]stock-take'!$A:$E,4,FALSE)))</f>
        <v xml:space="preserve"> </v>
      </c>
      <c r="H1326" s="48">
        <f>IF(ISNA(VLOOKUP(D1326,'[2]stock-take'!$A:$E,3,FALSE)), 0, VLOOKUP(D1326,'[2]stock-take'!$A:$E,3,FALSE))</f>
        <v>0</v>
      </c>
      <c r="I1326" s="48" t="str">
        <f>IF(F1326="", " ",IF(ISNA(VLOOKUP(D1326,'[2]stock-take'!$G:$K,4,FALSE)), "OUT OF STOCK", VLOOKUP(D1326,'[2]stock-take'!$G:$K,4,FALSE)))</f>
        <v xml:space="preserve"> </v>
      </c>
      <c r="J1326" s="39">
        <f>IF(ISNA(VLOOKUP(D1326,'[2]stock-take'!$G:$K,3,FALSE)), 0, VLOOKUP(D1326,'[2]stock-take'!$G:$K,3,FALSE))</f>
        <v>0</v>
      </c>
      <c r="K1326" s="49" t="str">
        <f>IF(F1326="", " ", IF(ISNA(VLOOKUP(D1326,'[2]stock-take'!$M:$Q,4,FALSE)), "OUT OF STOCK", VLOOKUP(D1326,'[2]stock-take'!$M:$Q,4,FALSE)))</f>
        <v xml:space="preserve"> </v>
      </c>
      <c r="L1326" s="47">
        <f>IF(ISNA(VLOOKUP(D1326,'[2]stock-take'!$M:$Q,3,FALSE)), 0, VLOOKUP(D1326,'[2]stock-take'!$M:$Q,3,FALSE))</f>
        <v>0</v>
      </c>
      <c r="M1326" s="48" t="str">
        <f t="shared" si="61"/>
        <v xml:space="preserve"> </v>
      </c>
      <c r="N1326" s="39" t="str">
        <f t="shared" si="62"/>
        <v xml:space="preserve"> </v>
      </c>
    </row>
    <row r="1327" spans="1:14">
      <c r="A1327" s="37">
        <f t="shared" si="60"/>
        <v>1316</v>
      </c>
      <c r="G1327" s="48" t="str">
        <f>IF(F1327=""," ",IF(ISNA(VLOOKUP(D1327,'[2]stock-take'!$A:$E,4,FALSE)), "OUT OF STOCK", VLOOKUP(D1327,'[2]stock-take'!$A:$E,4,FALSE)))</f>
        <v xml:space="preserve"> </v>
      </c>
      <c r="H1327" s="48">
        <f>IF(ISNA(VLOOKUP(D1327,'[2]stock-take'!$A:$E,3,FALSE)), 0, VLOOKUP(D1327,'[2]stock-take'!$A:$E,3,FALSE))</f>
        <v>0</v>
      </c>
      <c r="I1327" s="48" t="str">
        <f>IF(F1327="", " ",IF(ISNA(VLOOKUP(D1327,'[2]stock-take'!$G:$K,4,FALSE)), "OUT OF STOCK", VLOOKUP(D1327,'[2]stock-take'!$G:$K,4,FALSE)))</f>
        <v xml:space="preserve"> </v>
      </c>
      <c r="J1327" s="39">
        <f>IF(ISNA(VLOOKUP(D1327,'[2]stock-take'!$G:$K,3,FALSE)), 0, VLOOKUP(D1327,'[2]stock-take'!$G:$K,3,FALSE))</f>
        <v>0</v>
      </c>
      <c r="K1327" s="49" t="str">
        <f>IF(F1327="", " ", IF(ISNA(VLOOKUP(D1327,'[2]stock-take'!$M:$Q,4,FALSE)), "OUT OF STOCK", VLOOKUP(D1327,'[2]stock-take'!$M:$Q,4,FALSE)))</f>
        <v xml:space="preserve"> </v>
      </c>
      <c r="L1327" s="47">
        <f>IF(ISNA(VLOOKUP(D1327,'[2]stock-take'!$M:$Q,3,FALSE)), 0, VLOOKUP(D1327,'[2]stock-take'!$M:$Q,3,FALSE))</f>
        <v>0</v>
      </c>
      <c r="M1327" s="48" t="str">
        <f t="shared" si="61"/>
        <v xml:space="preserve"> </v>
      </c>
      <c r="N1327" s="39" t="str">
        <f t="shared" si="62"/>
        <v xml:space="preserve"> </v>
      </c>
    </row>
    <row r="1328" spans="1:14">
      <c r="A1328" s="37">
        <f t="shared" si="60"/>
        <v>1317</v>
      </c>
      <c r="G1328" s="48" t="str">
        <f>IF(F1328=""," ",IF(ISNA(VLOOKUP(D1328,'[2]stock-take'!$A:$E,4,FALSE)), "OUT OF STOCK", VLOOKUP(D1328,'[2]stock-take'!$A:$E,4,FALSE)))</f>
        <v xml:space="preserve"> </v>
      </c>
      <c r="H1328" s="48">
        <f>IF(ISNA(VLOOKUP(D1328,'[2]stock-take'!$A:$E,3,FALSE)), 0, VLOOKUP(D1328,'[2]stock-take'!$A:$E,3,FALSE))</f>
        <v>0</v>
      </c>
      <c r="I1328" s="48" t="str">
        <f>IF(F1328="", " ",IF(ISNA(VLOOKUP(D1328,'[2]stock-take'!$G:$K,4,FALSE)), "OUT OF STOCK", VLOOKUP(D1328,'[2]stock-take'!$G:$K,4,FALSE)))</f>
        <v xml:space="preserve"> </v>
      </c>
      <c r="J1328" s="39">
        <f>IF(ISNA(VLOOKUP(D1328,'[2]stock-take'!$G:$K,3,FALSE)), 0, VLOOKUP(D1328,'[2]stock-take'!$G:$K,3,FALSE))</f>
        <v>0</v>
      </c>
      <c r="K1328" s="49" t="str">
        <f>IF(F1328="", " ", IF(ISNA(VLOOKUP(D1328,'[2]stock-take'!$M:$Q,4,FALSE)), "OUT OF STOCK", VLOOKUP(D1328,'[2]stock-take'!$M:$Q,4,FALSE)))</f>
        <v xml:space="preserve"> </v>
      </c>
      <c r="L1328" s="47">
        <f>IF(ISNA(VLOOKUP(D1328,'[2]stock-take'!$M:$Q,3,FALSE)), 0, VLOOKUP(D1328,'[2]stock-take'!$M:$Q,3,FALSE))</f>
        <v>0</v>
      </c>
      <c r="M1328" s="48" t="str">
        <f t="shared" si="61"/>
        <v xml:space="preserve"> </v>
      </c>
      <c r="N1328" s="39" t="str">
        <f t="shared" si="62"/>
        <v xml:space="preserve"> </v>
      </c>
    </row>
    <row r="1329" spans="1:14">
      <c r="A1329" s="37">
        <f t="shared" si="60"/>
        <v>1318</v>
      </c>
      <c r="G1329" s="48" t="str">
        <f>IF(F1329=""," ",IF(ISNA(VLOOKUP(D1329,'[2]stock-take'!$A:$E,4,FALSE)), "OUT OF STOCK", VLOOKUP(D1329,'[2]stock-take'!$A:$E,4,FALSE)))</f>
        <v xml:space="preserve"> </v>
      </c>
      <c r="H1329" s="48">
        <f>IF(ISNA(VLOOKUP(D1329,'[2]stock-take'!$A:$E,3,FALSE)), 0, VLOOKUP(D1329,'[2]stock-take'!$A:$E,3,FALSE))</f>
        <v>0</v>
      </c>
      <c r="I1329" s="48" t="str">
        <f>IF(F1329="", " ",IF(ISNA(VLOOKUP(D1329,'[2]stock-take'!$G:$K,4,FALSE)), "OUT OF STOCK", VLOOKUP(D1329,'[2]stock-take'!$G:$K,4,FALSE)))</f>
        <v xml:space="preserve"> </v>
      </c>
      <c r="J1329" s="39">
        <f>IF(ISNA(VLOOKUP(D1329,'[2]stock-take'!$G:$K,3,FALSE)), 0, VLOOKUP(D1329,'[2]stock-take'!$G:$K,3,FALSE))</f>
        <v>0</v>
      </c>
      <c r="K1329" s="49" t="str">
        <f>IF(F1329="", " ", IF(ISNA(VLOOKUP(D1329,'[2]stock-take'!$M:$Q,4,FALSE)), "OUT OF STOCK", VLOOKUP(D1329,'[2]stock-take'!$M:$Q,4,FALSE)))</f>
        <v xml:space="preserve"> </v>
      </c>
      <c r="L1329" s="47">
        <f>IF(ISNA(VLOOKUP(D1329,'[2]stock-take'!$M:$Q,3,FALSE)), 0, VLOOKUP(D1329,'[2]stock-take'!$M:$Q,3,FALSE))</f>
        <v>0</v>
      </c>
      <c r="M1329" s="48" t="str">
        <f t="shared" si="61"/>
        <v xml:space="preserve"> </v>
      </c>
      <c r="N1329" s="39" t="str">
        <f t="shared" si="62"/>
        <v xml:space="preserve"> </v>
      </c>
    </row>
    <row r="1330" spans="1:14">
      <c r="A1330" s="37">
        <f t="shared" si="60"/>
        <v>1319</v>
      </c>
      <c r="G1330" s="48" t="str">
        <f>IF(F1330=""," ",IF(ISNA(VLOOKUP(D1330,'[2]stock-take'!$A:$E,4,FALSE)), "OUT OF STOCK", VLOOKUP(D1330,'[2]stock-take'!$A:$E,4,FALSE)))</f>
        <v xml:space="preserve"> </v>
      </c>
      <c r="H1330" s="48">
        <f>IF(ISNA(VLOOKUP(D1330,'[2]stock-take'!$A:$E,3,FALSE)), 0, VLOOKUP(D1330,'[2]stock-take'!$A:$E,3,FALSE))</f>
        <v>0</v>
      </c>
      <c r="I1330" s="48" t="str">
        <f>IF(F1330="", " ",IF(ISNA(VLOOKUP(D1330,'[2]stock-take'!$G:$K,4,FALSE)), "OUT OF STOCK", VLOOKUP(D1330,'[2]stock-take'!$G:$K,4,FALSE)))</f>
        <v xml:space="preserve"> </v>
      </c>
      <c r="J1330" s="39">
        <f>IF(ISNA(VLOOKUP(D1330,'[2]stock-take'!$G:$K,3,FALSE)), 0, VLOOKUP(D1330,'[2]stock-take'!$G:$K,3,FALSE))</f>
        <v>0</v>
      </c>
      <c r="K1330" s="49" t="str">
        <f>IF(F1330="", " ", IF(ISNA(VLOOKUP(D1330,'[2]stock-take'!$M:$Q,4,FALSE)), "OUT OF STOCK", VLOOKUP(D1330,'[2]stock-take'!$M:$Q,4,FALSE)))</f>
        <v xml:space="preserve"> </v>
      </c>
      <c r="L1330" s="47">
        <f>IF(ISNA(VLOOKUP(D1330,'[2]stock-take'!$M:$Q,3,FALSE)), 0, VLOOKUP(D1330,'[2]stock-take'!$M:$Q,3,FALSE))</f>
        <v>0</v>
      </c>
      <c r="M1330" s="48" t="str">
        <f t="shared" si="61"/>
        <v xml:space="preserve"> </v>
      </c>
      <c r="N1330" s="39" t="str">
        <f t="shared" si="62"/>
        <v xml:space="preserve"> </v>
      </c>
    </row>
    <row r="1331" spans="1:14">
      <c r="A1331" s="37">
        <f t="shared" si="60"/>
        <v>1320</v>
      </c>
      <c r="G1331" s="48" t="str">
        <f>IF(F1331=""," ",IF(ISNA(VLOOKUP(D1331,'[2]stock-take'!$A:$E,4,FALSE)), "OUT OF STOCK", VLOOKUP(D1331,'[2]stock-take'!$A:$E,4,FALSE)))</f>
        <v xml:space="preserve"> </v>
      </c>
      <c r="H1331" s="48">
        <f>IF(ISNA(VLOOKUP(D1331,'[2]stock-take'!$A:$E,3,FALSE)), 0, VLOOKUP(D1331,'[2]stock-take'!$A:$E,3,FALSE))</f>
        <v>0</v>
      </c>
      <c r="I1331" s="48" t="str">
        <f>IF(F1331="", " ",IF(ISNA(VLOOKUP(D1331,'[2]stock-take'!$G:$K,4,FALSE)), "OUT OF STOCK", VLOOKUP(D1331,'[2]stock-take'!$G:$K,4,FALSE)))</f>
        <v xml:space="preserve"> </v>
      </c>
      <c r="J1331" s="39">
        <f>IF(ISNA(VLOOKUP(D1331,'[2]stock-take'!$G:$K,3,FALSE)), 0, VLOOKUP(D1331,'[2]stock-take'!$G:$K,3,FALSE))</f>
        <v>0</v>
      </c>
      <c r="K1331" s="49" t="str">
        <f>IF(F1331="", " ", IF(ISNA(VLOOKUP(D1331,'[2]stock-take'!$M:$Q,4,FALSE)), "OUT OF STOCK", VLOOKUP(D1331,'[2]stock-take'!$M:$Q,4,FALSE)))</f>
        <v xml:space="preserve"> </v>
      </c>
      <c r="L1331" s="47">
        <f>IF(ISNA(VLOOKUP(D1331,'[2]stock-take'!$M:$Q,3,FALSE)), 0, VLOOKUP(D1331,'[2]stock-take'!$M:$Q,3,FALSE))</f>
        <v>0</v>
      </c>
      <c r="M1331" s="48" t="str">
        <f t="shared" si="61"/>
        <v xml:space="preserve"> </v>
      </c>
      <c r="N1331" s="39" t="str">
        <f t="shared" si="62"/>
        <v xml:space="preserve"> </v>
      </c>
    </row>
    <row r="1332" spans="1:14">
      <c r="A1332" s="37">
        <f t="shared" si="60"/>
        <v>1321</v>
      </c>
      <c r="G1332" s="48" t="str">
        <f>IF(F1332=""," ",IF(ISNA(VLOOKUP(D1332,'[2]stock-take'!$A:$E,4,FALSE)), "OUT OF STOCK", VLOOKUP(D1332,'[2]stock-take'!$A:$E,4,FALSE)))</f>
        <v xml:space="preserve"> </v>
      </c>
      <c r="H1332" s="48">
        <f>IF(ISNA(VLOOKUP(D1332,'[2]stock-take'!$A:$E,3,FALSE)), 0, VLOOKUP(D1332,'[2]stock-take'!$A:$E,3,FALSE))</f>
        <v>0</v>
      </c>
      <c r="I1332" s="48" t="str">
        <f>IF(F1332="", " ",IF(ISNA(VLOOKUP(D1332,'[2]stock-take'!$G:$K,4,FALSE)), "OUT OF STOCK", VLOOKUP(D1332,'[2]stock-take'!$G:$K,4,FALSE)))</f>
        <v xml:space="preserve"> </v>
      </c>
      <c r="J1332" s="39">
        <f>IF(ISNA(VLOOKUP(D1332,'[2]stock-take'!$G:$K,3,FALSE)), 0, VLOOKUP(D1332,'[2]stock-take'!$G:$K,3,FALSE))</f>
        <v>0</v>
      </c>
      <c r="K1332" s="49" t="str">
        <f>IF(F1332="", " ", IF(ISNA(VLOOKUP(D1332,'[2]stock-take'!$M:$Q,4,FALSE)), "OUT OF STOCK", VLOOKUP(D1332,'[2]stock-take'!$M:$Q,4,FALSE)))</f>
        <v xml:space="preserve"> </v>
      </c>
      <c r="L1332" s="47">
        <f>IF(ISNA(VLOOKUP(D1332,'[2]stock-take'!$M:$Q,3,FALSE)), 0, VLOOKUP(D1332,'[2]stock-take'!$M:$Q,3,FALSE))</f>
        <v>0</v>
      </c>
      <c r="M1332" s="48" t="str">
        <f t="shared" si="61"/>
        <v xml:space="preserve"> </v>
      </c>
      <c r="N1332" s="39" t="str">
        <f t="shared" si="62"/>
        <v xml:space="preserve"> </v>
      </c>
    </row>
    <row r="1333" spans="1:14">
      <c r="A1333" s="37">
        <f t="shared" si="60"/>
        <v>1322</v>
      </c>
      <c r="G1333" s="48" t="str">
        <f>IF(F1333=""," ",IF(ISNA(VLOOKUP(D1333,'[2]stock-take'!$A:$E,4,FALSE)), "OUT OF STOCK", VLOOKUP(D1333,'[2]stock-take'!$A:$E,4,FALSE)))</f>
        <v xml:space="preserve"> </v>
      </c>
      <c r="H1333" s="48">
        <f>IF(ISNA(VLOOKUP(D1333,'[2]stock-take'!$A:$E,3,FALSE)), 0, VLOOKUP(D1333,'[2]stock-take'!$A:$E,3,FALSE))</f>
        <v>0</v>
      </c>
      <c r="I1333" s="48" t="str">
        <f>IF(F1333="", " ",IF(ISNA(VLOOKUP(D1333,'[2]stock-take'!$G:$K,4,FALSE)), "OUT OF STOCK", VLOOKUP(D1333,'[2]stock-take'!$G:$K,4,FALSE)))</f>
        <v xml:space="preserve"> </v>
      </c>
      <c r="J1333" s="39">
        <f>IF(ISNA(VLOOKUP(D1333,'[2]stock-take'!$G:$K,3,FALSE)), 0, VLOOKUP(D1333,'[2]stock-take'!$G:$K,3,FALSE))</f>
        <v>0</v>
      </c>
      <c r="K1333" s="49" t="str">
        <f>IF(F1333="", " ", IF(ISNA(VLOOKUP(D1333,'[2]stock-take'!$M:$Q,4,FALSE)), "OUT OF STOCK", VLOOKUP(D1333,'[2]stock-take'!$M:$Q,4,FALSE)))</f>
        <v xml:space="preserve"> </v>
      </c>
      <c r="L1333" s="47">
        <f>IF(ISNA(VLOOKUP(D1333,'[2]stock-take'!$M:$Q,3,FALSE)), 0, VLOOKUP(D1333,'[2]stock-take'!$M:$Q,3,FALSE))</f>
        <v>0</v>
      </c>
      <c r="M1333" s="48" t="str">
        <f t="shared" si="61"/>
        <v xml:space="preserve"> </v>
      </c>
      <c r="N1333" s="39" t="str">
        <f t="shared" si="62"/>
        <v xml:space="preserve"> </v>
      </c>
    </row>
    <row r="1334" spans="1:14">
      <c r="A1334" s="37">
        <f t="shared" si="60"/>
        <v>1323</v>
      </c>
      <c r="G1334" s="48" t="str">
        <f>IF(F1334=""," ",IF(ISNA(VLOOKUP(D1334,'[2]stock-take'!$A:$E,4,FALSE)), "OUT OF STOCK", VLOOKUP(D1334,'[2]stock-take'!$A:$E,4,FALSE)))</f>
        <v xml:space="preserve"> </v>
      </c>
      <c r="H1334" s="48">
        <f>IF(ISNA(VLOOKUP(D1334,'[2]stock-take'!$A:$E,3,FALSE)), 0, VLOOKUP(D1334,'[2]stock-take'!$A:$E,3,FALSE))</f>
        <v>0</v>
      </c>
      <c r="I1334" s="48" t="str">
        <f>IF(F1334="", " ",IF(ISNA(VLOOKUP(D1334,'[2]stock-take'!$G:$K,4,FALSE)), "OUT OF STOCK", VLOOKUP(D1334,'[2]stock-take'!$G:$K,4,FALSE)))</f>
        <v xml:space="preserve"> </v>
      </c>
      <c r="J1334" s="39">
        <f>IF(ISNA(VLOOKUP(D1334,'[2]stock-take'!$G:$K,3,FALSE)), 0, VLOOKUP(D1334,'[2]stock-take'!$G:$K,3,FALSE))</f>
        <v>0</v>
      </c>
      <c r="K1334" s="49" t="str">
        <f>IF(F1334="", " ", IF(ISNA(VLOOKUP(D1334,'[2]stock-take'!$M:$Q,4,FALSE)), "OUT OF STOCK", VLOOKUP(D1334,'[2]stock-take'!$M:$Q,4,FALSE)))</f>
        <v xml:space="preserve"> </v>
      </c>
      <c r="L1334" s="47">
        <f>IF(ISNA(VLOOKUP(D1334,'[2]stock-take'!$M:$Q,3,FALSE)), 0, VLOOKUP(D1334,'[2]stock-take'!$M:$Q,3,FALSE))</f>
        <v>0</v>
      </c>
      <c r="M1334" s="48" t="str">
        <f t="shared" si="61"/>
        <v xml:space="preserve"> </v>
      </c>
      <c r="N1334" s="39" t="str">
        <f t="shared" si="62"/>
        <v xml:space="preserve"> </v>
      </c>
    </row>
    <row r="1335" spans="1:14">
      <c r="A1335" s="37">
        <f t="shared" si="60"/>
        <v>1324</v>
      </c>
      <c r="G1335" s="48" t="str">
        <f>IF(F1335=""," ",IF(ISNA(VLOOKUP(D1335,'[2]stock-take'!$A:$E,4,FALSE)), "OUT OF STOCK", VLOOKUP(D1335,'[2]stock-take'!$A:$E,4,FALSE)))</f>
        <v xml:space="preserve"> </v>
      </c>
      <c r="H1335" s="48">
        <f>IF(ISNA(VLOOKUP(D1335,'[2]stock-take'!$A:$E,3,FALSE)), 0, VLOOKUP(D1335,'[2]stock-take'!$A:$E,3,FALSE))</f>
        <v>0</v>
      </c>
      <c r="I1335" s="48" t="str">
        <f>IF(F1335="", " ",IF(ISNA(VLOOKUP(D1335,'[2]stock-take'!$G:$K,4,FALSE)), "OUT OF STOCK", VLOOKUP(D1335,'[2]stock-take'!$G:$K,4,FALSE)))</f>
        <v xml:space="preserve"> </v>
      </c>
      <c r="J1335" s="39">
        <f>IF(ISNA(VLOOKUP(D1335,'[2]stock-take'!$G:$K,3,FALSE)), 0, VLOOKUP(D1335,'[2]stock-take'!$G:$K,3,FALSE))</f>
        <v>0</v>
      </c>
      <c r="K1335" s="49" t="str">
        <f>IF(F1335="", " ", IF(ISNA(VLOOKUP(D1335,'[2]stock-take'!$M:$Q,4,FALSE)), "OUT OF STOCK", VLOOKUP(D1335,'[2]stock-take'!$M:$Q,4,FALSE)))</f>
        <v xml:space="preserve"> </v>
      </c>
      <c r="L1335" s="47">
        <f>IF(ISNA(VLOOKUP(D1335,'[2]stock-take'!$M:$Q,3,FALSE)), 0, VLOOKUP(D1335,'[2]stock-take'!$M:$Q,3,FALSE))</f>
        <v>0</v>
      </c>
      <c r="M1335" s="48" t="str">
        <f t="shared" si="61"/>
        <v xml:space="preserve"> </v>
      </c>
      <c r="N1335" s="39" t="str">
        <f t="shared" si="62"/>
        <v xml:space="preserve"> </v>
      </c>
    </row>
    <row r="1336" spans="1:14">
      <c r="A1336" s="37">
        <f t="shared" si="60"/>
        <v>1325</v>
      </c>
      <c r="G1336" s="48" t="str">
        <f>IF(F1336=""," ",IF(ISNA(VLOOKUP(D1336,'[2]stock-take'!$A:$E,4,FALSE)), "OUT OF STOCK", VLOOKUP(D1336,'[2]stock-take'!$A:$E,4,FALSE)))</f>
        <v xml:space="preserve"> </v>
      </c>
      <c r="H1336" s="48">
        <f>IF(ISNA(VLOOKUP(D1336,'[2]stock-take'!$A:$E,3,FALSE)), 0, VLOOKUP(D1336,'[2]stock-take'!$A:$E,3,FALSE))</f>
        <v>0</v>
      </c>
      <c r="I1336" s="48" t="str">
        <f>IF(F1336="", " ",IF(ISNA(VLOOKUP(D1336,'[2]stock-take'!$G:$K,4,FALSE)), "OUT OF STOCK", VLOOKUP(D1336,'[2]stock-take'!$G:$K,4,FALSE)))</f>
        <v xml:space="preserve"> </v>
      </c>
      <c r="J1336" s="39">
        <f>IF(ISNA(VLOOKUP(D1336,'[2]stock-take'!$G:$K,3,FALSE)), 0, VLOOKUP(D1336,'[2]stock-take'!$G:$K,3,FALSE))</f>
        <v>0</v>
      </c>
      <c r="K1336" s="49" t="str">
        <f>IF(F1336="", " ", IF(ISNA(VLOOKUP(D1336,'[2]stock-take'!$M:$Q,4,FALSE)), "OUT OF STOCK", VLOOKUP(D1336,'[2]stock-take'!$M:$Q,4,FALSE)))</f>
        <v xml:space="preserve"> </v>
      </c>
      <c r="L1336" s="47">
        <f>IF(ISNA(VLOOKUP(D1336,'[2]stock-take'!$M:$Q,3,FALSE)), 0, VLOOKUP(D1336,'[2]stock-take'!$M:$Q,3,FALSE))</f>
        <v>0</v>
      </c>
      <c r="M1336" s="48" t="str">
        <f t="shared" si="61"/>
        <v xml:space="preserve"> </v>
      </c>
      <c r="N1336" s="39" t="str">
        <f t="shared" si="62"/>
        <v xml:space="preserve"> </v>
      </c>
    </row>
    <row r="1337" spans="1:14">
      <c r="A1337" s="37">
        <f t="shared" si="60"/>
        <v>1326</v>
      </c>
      <c r="G1337" s="48" t="str">
        <f>IF(F1337=""," ",IF(ISNA(VLOOKUP(D1337,'[2]stock-take'!$A:$E,4,FALSE)), "OUT OF STOCK", VLOOKUP(D1337,'[2]stock-take'!$A:$E,4,FALSE)))</f>
        <v xml:space="preserve"> </v>
      </c>
      <c r="H1337" s="48">
        <f>IF(ISNA(VLOOKUP(D1337,'[2]stock-take'!$A:$E,3,FALSE)), 0, VLOOKUP(D1337,'[2]stock-take'!$A:$E,3,FALSE))</f>
        <v>0</v>
      </c>
      <c r="I1337" s="48" t="str">
        <f>IF(F1337="", " ",IF(ISNA(VLOOKUP(D1337,'[2]stock-take'!$G:$K,4,FALSE)), "OUT OF STOCK", VLOOKUP(D1337,'[2]stock-take'!$G:$K,4,FALSE)))</f>
        <v xml:space="preserve"> </v>
      </c>
      <c r="J1337" s="39">
        <f>IF(ISNA(VLOOKUP(D1337,'[2]stock-take'!$G:$K,3,FALSE)), 0, VLOOKUP(D1337,'[2]stock-take'!$G:$K,3,FALSE))</f>
        <v>0</v>
      </c>
      <c r="K1337" s="49" t="str">
        <f>IF(F1337="", " ", IF(ISNA(VLOOKUP(D1337,'[2]stock-take'!$M:$Q,4,FALSE)), "OUT OF STOCK", VLOOKUP(D1337,'[2]stock-take'!$M:$Q,4,FALSE)))</f>
        <v xml:space="preserve"> </v>
      </c>
      <c r="L1337" s="47">
        <f>IF(ISNA(VLOOKUP(D1337,'[2]stock-take'!$M:$Q,3,FALSE)), 0, VLOOKUP(D1337,'[2]stock-take'!$M:$Q,3,FALSE))</f>
        <v>0</v>
      </c>
      <c r="M1337" s="48" t="str">
        <f t="shared" si="61"/>
        <v xml:space="preserve"> </v>
      </c>
      <c r="N1337" s="39" t="str">
        <f t="shared" si="62"/>
        <v xml:space="preserve"> </v>
      </c>
    </row>
    <row r="1338" spans="1:14">
      <c r="A1338" s="37">
        <f t="shared" si="60"/>
        <v>1327</v>
      </c>
      <c r="G1338" s="48" t="str">
        <f>IF(F1338=""," ",IF(ISNA(VLOOKUP(D1338,'[2]stock-take'!$A:$E,4,FALSE)), "OUT OF STOCK", VLOOKUP(D1338,'[2]stock-take'!$A:$E,4,FALSE)))</f>
        <v xml:space="preserve"> </v>
      </c>
      <c r="H1338" s="48">
        <f>IF(ISNA(VLOOKUP(D1338,'[2]stock-take'!$A:$E,3,FALSE)), 0, VLOOKUP(D1338,'[2]stock-take'!$A:$E,3,FALSE))</f>
        <v>0</v>
      </c>
      <c r="I1338" s="48" t="str">
        <f>IF(F1338="", " ",IF(ISNA(VLOOKUP(D1338,'[2]stock-take'!$G:$K,4,FALSE)), "OUT OF STOCK", VLOOKUP(D1338,'[2]stock-take'!$G:$K,4,FALSE)))</f>
        <v xml:space="preserve"> </v>
      </c>
      <c r="J1338" s="39">
        <f>IF(ISNA(VLOOKUP(D1338,'[2]stock-take'!$G:$K,3,FALSE)), 0, VLOOKUP(D1338,'[2]stock-take'!$G:$K,3,FALSE))</f>
        <v>0</v>
      </c>
      <c r="K1338" s="49" t="str">
        <f>IF(F1338="", " ", IF(ISNA(VLOOKUP(D1338,'[2]stock-take'!$M:$Q,4,FALSE)), "OUT OF STOCK", VLOOKUP(D1338,'[2]stock-take'!$M:$Q,4,FALSE)))</f>
        <v xml:space="preserve"> </v>
      </c>
      <c r="L1338" s="47">
        <f>IF(ISNA(VLOOKUP(D1338,'[2]stock-take'!$M:$Q,3,FALSE)), 0, VLOOKUP(D1338,'[2]stock-take'!$M:$Q,3,FALSE))</f>
        <v>0</v>
      </c>
      <c r="M1338" s="48" t="str">
        <f t="shared" si="61"/>
        <v xml:space="preserve"> </v>
      </c>
      <c r="N1338" s="39" t="str">
        <f t="shared" si="62"/>
        <v xml:space="preserve"> </v>
      </c>
    </row>
    <row r="1339" spans="1:14">
      <c r="A1339" s="37">
        <f t="shared" si="60"/>
        <v>1328</v>
      </c>
      <c r="G1339" s="48" t="str">
        <f>IF(F1339=""," ",IF(ISNA(VLOOKUP(D1339,'[2]stock-take'!$A:$E,4,FALSE)), "OUT OF STOCK", VLOOKUP(D1339,'[2]stock-take'!$A:$E,4,FALSE)))</f>
        <v xml:space="preserve"> </v>
      </c>
      <c r="H1339" s="48">
        <f>IF(ISNA(VLOOKUP(D1339,'[2]stock-take'!$A:$E,3,FALSE)), 0, VLOOKUP(D1339,'[2]stock-take'!$A:$E,3,FALSE))</f>
        <v>0</v>
      </c>
      <c r="I1339" s="48" t="str">
        <f>IF(F1339="", " ",IF(ISNA(VLOOKUP(D1339,'[2]stock-take'!$G:$K,4,FALSE)), "OUT OF STOCK", VLOOKUP(D1339,'[2]stock-take'!$G:$K,4,FALSE)))</f>
        <v xml:space="preserve"> </v>
      </c>
      <c r="J1339" s="39">
        <f>IF(ISNA(VLOOKUP(D1339,'[2]stock-take'!$G:$K,3,FALSE)), 0, VLOOKUP(D1339,'[2]stock-take'!$G:$K,3,FALSE))</f>
        <v>0</v>
      </c>
      <c r="K1339" s="49" t="str">
        <f>IF(F1339="", " ", IF(ISNA(VLOOKUP(D1339,'[2]stock-take'!$M:$Q,4,FALSE)), "OUT OF STOCK", VLOOKUP(D1339,'[2]stock-take'!$M:$Q,4,FALSE)))</f>
        <v xml:space="preserve"> </v>
      </c>
      <c r="L1339" s="47">
        <f>IF(ISNA(VLOOKUP(D1339,'[2]stock-take'!$M:$Q,3,FALSE)), 0, VLOOKUP(D1339,'[2]stock-take'!$M:$Q,3,FALSE))</f>
        <v>0</v>
      </c>
      <c r="M1339" s="48" t="str">
        <f t="shared" si="61"/>
        <v xml:space="preserve"> </v>
      </c>
      <c r="N1339" s="39" t="str">
        <f t="shared" si="62"/>
        <v xml:space="preserve"> </v>
      </c>
    </row>
    <row r="1340" spans="1:14">
      <c r="A1340" s="37">
        <f t="shared" si="60"/>
        <v>1329</v>
      </c>
      <c r="G1340" s="48" t="str">
        <f>IF(F1340=""," ",IF(ISNA(VLOOKUP(D1340,'[2]stock-take'!$A:$E,4,FALSE)), "OUT OF STOCK", VLOOKUP(D1340,'[2]stock-take'!$A:$E,4,FALSE)))</f>
        <v xml:space="preserve"> </v>
      </c>
      <c r="H1340" s="48">
        <f>IF(ISNA(VLOOKUP(D1340,'[2]stock-take'!$A:$E,3,FALSE)), 0, VLOOKUP(D1340,'[2]stock-take'!$A:$E,3,FALSE))</f>
        <v>0</v>
      </c>
      <c r="I1340" s="48" t="str">
        <f>IF(F1340="", " ",IF(ISNA(VLOOKUP(D1340,'[2]stock-take'!$G:$K,4,FALSE)), "OUT OF STOCK", VLOOKUP(D1340,'[2]stock-take'!$G:$K,4,FALSE)))</f>
        <v xml:space="preserve"> </v>
      </c>
      <c r="J1340" s="39">
        <f>IF(ISNA(VLOOKUP(D1340,'[2]stock-take'!$G:$K,3,FALSE)), 0, VLOOKUP(D1340,'[2]stock-take'!$G:$K,3,FALSE))</f>
        <v>0</v>
      </c>
      <c r="K1340" s="49" t="str">
        <f>IF(F1340="", " ", IF(ISNA(VLOOKUP(D1340,'[2]stock-take'!$M:$Q,4,FALSE)), "OUT OF STOCK", VLOOKUP(D1340,'[2]stock-take'!$M:$Q,4,FALSE)))</f>
        <v xml:space="preserve"> </v>
      </c>
      <c r="L1340" s="47">
        <f>IF(ISNA(VLOOKUP(D1340,'[2]stock-take'!$M:$Q,3,FALSE)), 0, VLOOKUP(D1340,'[2]stock-take'!$M:$Q,3,FALSE))</f>
        <v>0</v>
      </c>
      <c r="M1340" s="48" t="str">
        <f t="shared" si="61"/>
        <v xml:space="preserve"> </v>
      </c>
      <c r="N1340" s="39" t="str">
        <f t="shared" si="62"/>
        <v xml:space="preserve"> </v>
      </c>
    </row>
    <row r="1341" spans="1:14">
      <c r="A1341" s="37">
        <f t="shared" si="60"/>
        <v>1330</v>
      </c>
      <c r="G1341" s="48" t="str">
        <f>IF(F1341=""," ",IF(ISNA(VLOOKUP(D1341,'[2]stock-take'!$A:$E,4,FALSE)), "OUT OF STOCK", VLOOKUP(D1341,'[2]stock-take'!$A:$E,4,FALSE)))</f>
        <v xml:space="preserve"> </v>
      </c>
      <c r="H1341" s="48">
        <f>IF(ISNA(VLOOKUP(D1341,'[2]stock-take'!$A:$E,3,FALSE)), 0, VLOOKUP(D1341,'[2]stock-take'!$A:$E,3,FALSE))</f>
        <v>0</v>
      </c>
      <c r="I1341" s="48" t="str">
        <f>IF(F1341="", " ",IF(ISNA(VLOOKUP(D1341,'[2]stock-take'!$G:$K,4,FALSE)), "OUT OF STOCK", VLOOKUP(D1341,'[2]stock-take'!$G:$K,4,FALSE)))</f>
        <v xml:space="preserve"> </v>
      </c>
      <c r="J1341" s="39">
        <f>IF(ISNA(VLOOKUP(D1341,'[2]stock-take'!$G:$K,3,FALSE)), 0, VLOOKUP(D1341,'[2]stock-take'!$G:$K,3,FALSE))</f>
        <v>0</v>
      </c>
      <c r="K1341" s="49" t="str">
        <f>IF(F1341="", " ", IF(ISNA(VLOOKUP(D1341,'[2]stock-take'!$M:$Q,4,FALSE)), "OUT OF STOCK", VLOOKUP(D1341,'[2]stock-take'!$M:$Q,4,FALSE)))</f>
        <v xml:space="preserve"> </v>
      </c>
      <c r="L1341" s="47">
        <f>IF(ISNA(VLOOKUP(D1341,'[2]stock-take'!$M:$Q,3,FALSE)), 0, VLOOKUP(D1341,'[2]stock-take'!$M:$Q,3,FALSE))</f>
        <v>0</v>
      </c>
      <c r="M1341" s="48" t="str">
        <f t="shared" si="61"/>
        <v xml:space="preserve"> </v>
      </c>
      <c r="N1341" s="39" t="str">
        <f t="shared" si="62"/>
        <v xml:space="preserve"> </v>
      </c>
    </row>
    <row r="1342" spans="1:14">
      <c r="A1342" s="37">
        <f t="shared" si="60"/>
        <v>1331</v>
      </c>
      <c r="G1342" s="48" t="str">
        <f>IF(F1342=""," ",IF(ISNA(VLOOKUP(D1342,'[2]stock-take'!$A:$E,4,FALSE)), "OUT OF STOCK", VLOOKUP(D1342,'[2]stock-take'!$A:$E,4,FALSE)))</f>
        <v xml:space="preserve"> </v>
      </c>
      <c r="H1342" s="48">
        <f>IF(ISNA(VLOOKUP(D1342,'[2]stock-take'!$A:$E,3,FALSE)), 0, VLOOKUP(D1342,'[2]stock-take'!$A:$E,3,FALSE))</f>
        <v>0</v>
      </c>
      <c r="I1342" s="48" t="str">
        <f>IF(F1342="", " ",IF(ISNA(VLOOKUP(D1342,'[2]stock-take'!$G:$K,4,FALSE)), "OUT OF STOCK", VLOOKUP(D1342,'[2]stock-take'!$G:$K,4,FALSE)))</f>
        <v xml:space="preserve"> </v>
      </c>
      <c r="J1342" s="39">
        <f>IF(ISNA(VLOOKUP(D1342,'[2]stock-take'!$G:$K,3,FALSE)), 0, VLOOKUP(D1342,'[2]stock-take'!$G:$K,3,FALSE))</f>
        <v>0</v>
      </c>
      <c r="K1342" s="49" t="str">
        <f>IF(F1342="", " ", IF(ISNA(VLOOKUP(D1342,'[2]stock-take'!$M:$Q,4,FALSE)), "OUT OF STOCK", VLOOKUP(D1342,'[2]stock-take'!$M:$Q,4,FALSE)))</f>
        <v xml:space="preserve"> </v>
      </c>
      <c r="L1342" s="47">
        <f>IF(ISNA(VLOOKUP(D1342,'[2]stock-take'!$M:$Q,3,FALSE)), 0, VLOOKUP(D1342,'[2]stock-take'!$M:$Q,3,FALSE))</f>
        <v>0</v>
      </c>
      <c r="M1342" s="48" t="str">
        <f t="shared" si="61"/>
        <v xml:space="preserve"> </v>
      </c>
      <c r="N1342" s="39" t="str">
        <f t="shared" si="62"/>
        <v xml:space="preserve"> </v>
      </c>
    </row>
    <row r="1343" spans="1:14">
      <c r="A1343" s="37">
        <f t="shared" si="60"/>
        <v>1332</v>
      </c>
      <c r="G1343" s="48" t="str">
        <f>IF(F1343=""," ",IF(ISNA(VLOOKUP(D1343,'[2]stock-take'!$A:$E,4,FALSE)), "OUT OF STOCK", VLOOKUP(D1343,'[2]stock-take'!$A:$E,4,FALSE)))</f>
        <v xml:space="preserve"> </v>
      </c>
      <c r="H1343" s="48">
        <f>IF(ISNA(VLOOKUP(D1343,'[2]stock-take'!$A:$E,3,FALSE)), 0, VLOOKUP(D1343,'[2]stock-take'!$A:$E,3,FALSE))</f>
        <v>0</v>
      </c>
      <c r="I1343" s="48" t="str">
        <f>IF(F1343="", " ",IF(ISNA(VLOOKUP(D1343,'[2]stock-take'!$G:$K,4,FALSE)), "OUT OF STOCK", VLOOKUP(D1343,'[2]stock-take'!$G:$K,4,FALSE)))</f>
        <v xml:space="preserve"> </v>
      </c>
      <c r="J1343" s="39">
        <f>IF(ISNA(VLOOKUP(D1343,'[2]stock-take'!$G:$K,3,FALSE)), 0, VLOOKUP(D1343,'[2]stock-take'!$G:$K,3,FALSE))</f>
        <v>0</v>
      </c>
      <c r="K1343" s="49" t="str">
        <f>IF(F1343="", " ", IF(ISNA(VLOOKUP(D1343,'[2]stock-take'!$M:$Q,4,FALSE)), "OUT OF STOCK", VLOOKUP(D1343,'[2]stock-take'!$M:$Q,4,FALSE)))</f>
        <v xml:space="preserve"> </v>
      </c>
      <c r="L1343" s="47">
        <f>IF(ISNA(VLOOKUP(D1343,'[2]stock-take'!$M:$Q,3,FALSE)), 0, VLOOKUP(D1343,'[2]stock-take'!$M:$Q,3,FALSE))</f>
        <v>0</v>
      </c>
      <c r="M1343" s="48" t="str">
        <f t="shared" si="61"/>
        <v xml:space="preserve"> </v>
      </c>
      <c r="N1343" s="39" t="str">
        <f t="shared" si="62"/>
        <v xml:space="preserve"> </v>
      </c>
    </row>
    <row r="1344" spans="1:14">
      <c r="A1344" s="37">
        <f t="shared" si="60"/>
        <v>1333</v>
      </c>
      <c r="G1344" s="48" t="str">
        <f>IF(F1344=""," ",IF(ISNA(VLOOKUP(D1344,'[2]stock-take'!$A:$E,4,FALSE)), "OUT OF STOCK", VLOOKUP(D1344,'[2]stock-take'!$A:$E,4,FALSE)))</f>
        <v xml:space="preserve"> </v>
      </c>
      <c r="H1344" s="48">
        <f>IF(ISNA(VLOOKUP(D1344,'[2]stock-take'!$A:$E,3,FALSE)), 0, VLOOKUP(D1344,'[2]stock-take'!$A:$E,3,FALSE))</f>
        <v>0</v>
      </c>
      <c r="I1344" s="48" t="str">
        <f>IF(F1344="", " ",IF(ISNA(VLOOKUP(D1344,'[2]stock-take'!$G:$K,4,FALSE)), "OUT OF STOCK", VLOOKUP(D1344,'[2]stock-take'!$G:$K,4,FALSE)))</f>
        <v xml:space="preserve"> </v>
      </c>
      <c r="J1344" s="39">
        <f>IF(ISNA(VLOOKUP(D1344,'[2]stock-take'!$G:$K,3,FALSE)), 0, VLOOKUP(D1344,'[2]stock-take'!$G:$K,3,FALSE))</f>
        <v>0</v>
      </c>
      <c r="K1344" s="49" t="str">
        <f>IF(F1344="", " ", IF(ISNA(VLOOKUP(D1344,'[2]stock-take'!$M:$Q,4,FALSE)), "OUT OF STOCK", VLOOKUP(D1344,'[2]stock-take'!$M:$Q,4,FALSE)))</f>
        <v xml:space="preserve"> </v>
      </c>
      <c r="L1344" s="47">
        <f>IF(ISNA(VLOOKUP(D1344,'[2]stock-take'!$M:$Q,3,FALSE)), 0, VLOOKUP(D1344,'[2]stock-take'!$M:$Q,3,FALSE))</f>
        <v>0</v>
      </c>
      <c r="M1344" s="48" t="str">
        <f t="shared" si="61"/>
        <v xml:space="preserve"> </v>
      </c>
      <c r="N1344" s="39" t="str">
        <f t="shared" si="62"/>
        <v xml:space="preserve"> </v>
      </c>
    </row>
    <row r="1345" spans="1:14">
      <c r="A1345" s="37">
        <f t="shared" si="60"/>
        <v>1334</v>
      </c>
      <c r="G1345" s="48" t="str">
        <f>IF(F1345=""," ",IF(ISNA(VLOOKUP(D1345,'[2]stock-take'!$A:$E,4,FALSE)), "OUT OF STOCK", VLOOKUP(D1345,'[2]stock-take'!$A:$E,4,FALSE)))</f>
        <v xml:space="preserve"> </v>
      </c>
      <c r="H1345" s="48">
        <f>IF(ISNA(VLOOKUP(D1345,'[2]stock-take'!$A:$E,3,FALSE)), 0, VLOOKUP(D1345,'[2]stock-take'!$A:$E,3,FALSE))</f>
        <v>0</v>
      </c>
      <c r="I1345" s="48" t="str">
        <f>IF(F1345="", " ",IF(ISNA(VLOOKUP(D1345,'[2]stock-take'!$G:$K,4,FALSE)), "OUT OF STOCK", VLOOKUP(D1345,'[2]stock-take'!$G:$K,4,FALSE)))</f>
        <v xml:space="preserve"> </v>
      </c>
      <c r="J1345" s="39">
        <f>IF(ISNA(VLOOKUP(D1345,'[2]stock-take'!$G:$K,3,FALSE)), 0, VLOOKUP(D1345,'[2]stock-take'!$G:$K,3,FALSE))</f>
        <v>0</v>
      </c>
      <c r="K1345" s="49" t="str">
        <f>IF(F1345="", " ", IF(ISNA(VLOOKUP(D1345,'[2]stock-take'!$M:$Q,4,FALSE)), "OUT OF STOCK", VLOOKUP(D1345,'[2]stock-take'!$M:$Q,4,FALSE)))</f>
        <v xml:space="preserve"> </v>
      </c>
      <c r="L1345" s="47">
        <f>IF(ISNA(VLOOKUP(D1345,'[2]stock-take'!$M:$Q,3,FALSE)), 0, VLOOKUP(D1345,'[2]stock-take'!$M:$Q,3,FALSE))</f>
        <v>0</v>
      </c>
      <c r="M1345" s="48" t="str">
        <f t="shared" si="61"/>
        <v xml:space="preserve"> </v>
      </c>
      <c r="N1345" s="39" t="str">
        <f t="shared" si="62"/>
        <v xml:space="preserve"> </v>
      </c>
    </row>
    <row r="1346" spans="1:14">
      <c r="A1346" s="37">
        <f t="shared" si="60"/>
        <v>1335</v>
      </c>
      <c r="G1346" s="48" t="str">
        <f>IF(F1346=""," ",IF(ISNA(VLOOKUP(D1346,'[2]stock-take'!$A:$E,4,FALSE)), "OUT OF STOCK", VLOOKUP(D1346,'[2]stock-take'!$A:$E,4,FALSE)))</f>
        <v xml:space="preserve"> </v>
      </c>
      <c r="H1346" s="48">
        <f>IF(ISNA(VLOOKUP(D1346,'[2]stock-take'!$A:$E,3,FALSE)), 0, VLOOKUP(D1346,'[2]stock-take'!$A:$E,3,FALSE))</f>
        <v>0</v>
      </c>
      <c r="I1346" s="48" t="str">
        <f>IF(F1346="", " ",IF(ISNA(VLOOKUP(D1346,'[2]stock-take'!$G:$K,4,FALSE)), "OUT OF STOCK", VLOOKUP(D1346,'[2]stock-take'!$G:$K,4,FALSE)))</f>
        <v xml:space="preserve"> </v>
      </c>
      <c r="J1346" s="39">
        <f>IF(ISNA(VLOOKUP(D1346,'[2]stock-take'!$G:$K,3,FALSE)), 0, VLOOKUP(D1346,'[2]stock-take'!$G:$K,3,FALSE))</f>
        <v>0</v>
      </c>
      <c r="K1346" s="49" t="str">
        <f>IF(F1346="", " ", IF(ISNA(VLOOKUP(D1346,'[2]stock-take'!$M:$Q,4,FALSE)), "OUT OF STOCK", VLOOKUP(D1346,'[2]stock-take'!$M:$Q,4,FALSE)))</f>
        <v xml:space="preserve"> </v>
      </c>
      <c r="L1346" s="47">
        <f>IF(ISNA(VLOOKUP(D1346,'[2]stock-take'!$M:$Q,3,FALSE)), 0, VLOOKUP(D1346,'[2]stock-take'!$M:$Q,3,FALSE))</f>
        <v>0</v>
      </c>
      <c r="M1346" s="48" t="str">
        <f t="shared" si="61"/>
        <v xml:space="preserve"> </v>
      </c>
      <c r="N1346" s="39" t="str">
        <f t="shared" si="62"/>
        <v xml:space="preserve"> </v>
      </c>
    </row>
    <row r="1347" spans="1:14">
      <c r="A1347" s="37">
        <f t="shared" si="60"/>
        <v>1336</v>
      </c>
      <c r="G1347" s="48" t="str">
        <f>IF(F1347=""," ",IF(ISNA(VLOOKUP(D1347,'[2]stock-take'!$A:$E,4,FALSE)), "OUT OF STOCK", VLOOKUP(D1347,'[2]stock-take'!$A:$E,4,FALSE)))</f>
        <v xml:space="preserve"> </v>
      </c>
      <c r="H1347" s="48">
        <f>IF(ISNA(VLOOKUP(D1347,'[2]stock-take'!$A:$E,3,FALSE)), 0, VLOOKUP(D1347,'[2]stock-take'!$A:$E,3,FALSE))</f>
        <v>0</v>
      </c>
      <c r="I1347" s="48" t="str">
        <f>IF(F1347="", " ",IF(ISNA(VLOOKUP(D1347,'[2]stock-take'!$G:$K,4,FALSE)), "OUT OF STOCK", VLOOKUP(D1347,'[2]stock-take'!$G:$K,4,FALSE)))</f>
        <v xml:space="preserve"> </v>
      </c>
      <c r="J1347" s="39">
        <f>IF(ISNA(VLOOKUP(D1347,'[2]stock-take'!$G:$K,3,FALSE)), 0, VLOOKUP(D1347,'[2]stock-take'!$G:$K,3,FALSE))</f>
        <v>0</v>
      </c>
      <c r="K1347" s="49" t="str">
        <f>IF(F1347="", " ", IF(ISNA(VLOOKUP(D1347,'[2]stock-take'!$M:$Q,4,FALSE)), "OUT OF STOCK", VLOOKUP(D1347,'[2]stock-take'!$M:$Q,4,FALSE)))</f>
        <v xml:space="preserve"> </v>
      </c>
      <c r="L1347" s="47">
        <f>IF(ISNA(VLOOKUP(D1347,'[2]stock-take'!$M:$Q,3,FALSE)), 0, VLOOKUP(D1347,'[2]stock-take'!$M:$Q,3,FALSE))</f>
        <v>0</v>
      </c>
      <c r="M1347" s="48" t="str">
        <f t="shared" si="61"/>
        <v xml:space="preserve"> </v>
      </c>
      <c r="N1347" s="39" t="str">
        <f t="shared" si="62"/>
        <v xml:space="preserve"> </v>
      </c>
    </row>
    <row r="1348" spans="1:14">
      <c r="A1348" s="37">
        <f t="shared" si="60"/>
        <v>1337</v>
      </c>
      <c r="G1348" s="48" t="str">
        <f>IF(F1348=""," ",IF(ISNA(VLOOKUP(D1348,'[2]stock-take'!$A:$E,4,FALSE)), "OUT OF STOCK", VLOOKUP(D1348,'[2]stock-take'!$A:$E,4,FALSE)))</f>
        <v xml:space="preserve"> </v>
      </c>
      <c r="H1348" s="48">
        <f>IF(ISNA(VLOOKUP(D1348,'[2]stock-take'!$A:$E,3,FALSE)), 0, VLOOKUP(D1348,'[2]stock-take'!$A:$E,3,FALSE))</f>
        <v>0</v>
      </c>
      <c r="I1348" s="48" t="str">
        <f>IF(F1348="", " ",IF(ISNA(VLOOKUP(D1348,'[2]stock-take'!$G:$K,4,FALSE)), "OUT OF STOCK", VLOOKUP(D1348,'[2]stock-take'!$G:$K,4,FALSE)))</f>
        <v xml:space="preserve"> </v>
      </c>
      <c r="J1348" s="39">
        <f>IF(ISNA(VLOOKUP(D1348,'[2]stock-take'!$G:$K,3,FALSE)), 0, VLOOKUP(D1348,'[2]stock-take'!$G:$K,3,FALSE))</f>
        <v>0</v>
      </c>
      <c r="K1348" s="49" t="str">
        <f>IF(F1348="", " ", IF(ISNA(VLOOKUP(D1348,'[2]stock-take'!$M:$Q,4,FALSE)), "OUT OF STOCK", VLOOKUP(D1348,'[2]stock-take'!$M:$Q,4,FALSE)))</f>
        <v xml:space="preserve"> </v>
      </c>
      <c r="L1348" s="47">
        <f>IF(ISNA(VLOOKUP(D1348,'[2]stock-take'!$M:$Q,3,FALSE)), 0, VLOOKUP(D1348,'[2]stock-take'!$M:$Q,3,FALSE))</f>
        <v>0</v>
      </c>
      <c r="M1348" s="48" t="str">
        <f t="shared" si="61"/>
        <v xml:space="preserve"> </v>
      </c>
      <c r="N1348" s="39" t="str">
        <f t="shared" si="62"/>
        <v xml:space="preserve"> </v>
      </c>
    </row>
    <row r="1349" spans="1:14">
      <c r="A1349" s="37">
        <f t="shared" si="60"/>
        <v>1338</v>
      </c>
      <c r="G1349" s="48" t="str">
        <f>IF(F1349=""," ",IF(ISNA(VLOOKUP(D1349,'[2]stock-take'!$A:$E,4,FALSE)), "OUT OF STOCK", VLOOKUP(D1349,'[2]stock-take'!$A:$E,4,FALSE)))</f>
        <v xml:space="preserve"> </v>
      </c>
      <c r="H1349" s="48">
        <f>IF(ISNA(VLOOKUP(D1349,'[2]stock-take'!$A:$E,3,FALSE)), 0, VLOOKUP(D1349,'[2]stock-take'!$A:$E,3,FALSE))</f>
        <v>0</v>
      </c>
      <c r="I1349" s="48" t="str">
        <f>IF(F1349="", " ",IF(ISNA(VLOOKUP(D1349,'[2]stock-take'!$G:$K,4,FALSE)), "OUT OF STOCK", VLOOKUP(D1349,'[2]stock-take'!$G:$K,4,FALSE)))</f>
        <v xml:space="preserve"> </v>
      </c>
      <c r="J1349" s="39">
        <f>IF(ISNA(VLOOKUP(D1349,'[2]stock-take'!$G:$K,3,FALSE)), 0, VLOOKUP(D1349,'[2]stock-take'!$G:$K,3,FALSE))</f>
        <v>0</v>
      </c>
      <c r="K1349" s="49" t="str">
        <f>IF(F1349="", " ", IF(ISNA(VLOOKUP(D1349,'[2]stock-take'!$M:$Q,4,FALSE)), "OUT OF STOCK", VLOOKUP(D1349,'[2]stock-take'!$M:$Q,4,FALSE)))</f>
        <v xml:space="preserve"> </v>
      </c>
      <c r="L1349" s="47">
        <f>IF(ISNA(VLOOKUP(D1349,'[2]stock-take'!$M:$Q,3,FALSE)), 0, VLOOKUP(D1349,'[2]stock-take'!$M:$Q,3,FALSE))</f>
        <v>0</v>
      </c>
      <c r="M1349" s="48" t="str">
        <f t="shared" si="61"/>
        <v xml:space="preserve"> </v>
      </c>
      <c r="N1349" s="39" t="str">
        <f t="shared" si="62"/>
        <v xml:space="preserve"> </v>
      </c>
    </row>
    <row r="1350" spans="1:14">
      <c r="A1350" s="37">
        <f t="shared" si="60"/>
        <v>1339</v>
      </c>
      <c r="G1350" s="48" t="str">
        <f>IF(F1350=""," ",IF(ISNA(VLOOKUP(D1350,'[2]stock-take'!$A:$E,4,FALSE)), "OUT OF STOCK", VLOOKUP(D1350,'[2]stock-take'!$A:$E,4,FALSE)))</f>
        <v xml:space="preserve"> </v>
      </c>
      <c r="H1350" s="48">
        <f>IF(ISNA(VLOOKUP(D1350,'[2]stock-take'!$A:$E,3,FALSE)), 0, VLOOKUP(D1350,'[2]stock-take'!$A:$E,3,FALSE))</f>
        <v>0</v>
      </c>
      <c r="I1350" s="48" t="str">
        <f>IF(F1350="", " ",IF(ISNA(VLOOKUP(D1350,'[2]stock-take'!$G:$K,4,FALSE)), "OUT OF STOCK", VLOOKUP(D1350,'[2]stock-take'!$G:$K,4,FALSE)))</f>
        <v xml:space="preserve"> </v>
      </c>
      <c r="J1350" s="39">
        <f>IF(ISNA(VLOOKUP(D1350,'[2]stock-take'!$G:$K,3,FALSE)), 0, VLOOKUP(D1350,'[2]stock-take'!$G:$K,3,FALSE))</f>
        <v>0</v>
      </c>
      <c r="K1350" s="49" t="str">
        <f>IF(F1350="", " ", IF(ISNA(VLOOKUP(D1350,'[2]stock-take'!$M:$Q,4,FALSE)), "OUT OF STOCK", VLOOKUP(D1350,'[2]stock-take'!$M:$Q,4,FALSE)))</f>
        <v xml:space="preserve"> </v>
      </c>
      <c r="L1350" s="47">
        <f>IF(ISNA(VLOOKUP(D1350,'[2]stock-take'!$M:$Q,3,FALSE)), 0, VLOOKUP(D1350,'[2]stock-take'!$M:$Q,3,FALSE))</f>
        <v>0</v>
      </c>
      <c r="M1350" s="48" t="str">
        <f t="shared" si="61"/>
        <v xml:space="preserve"> </v>
      </c>
      <c r="N1350" s="39" t="str">
        <f t="shared" si="62"/>
        <v xml:space="preserve"> </v>
      </c>
    </row>
    <row r="1351" spans="1:14">
      <c r="A1351" s="37">
        <f t="shared" si="60"/>
        <v>1340</v>
      </c>
      <c r="G1351" s="48" t="str">
        <f>IF(F1351=""," ",IF(ISNA(VLOOKUP(D1351,'[2]stock-take'!$A:$E,4,FALSE)), "OUT OF STOCK", VLOOKUP(D1351,'[2]stock-take'!$A:$E,4,FALSE)))</f>
        <v xml:space="preserve"> </v>
      </c>
      <c r="H1351" s="48">
        <f>IF(ISNA(VLOOKUP(D1351,'[2]stock-take'!$A:$E,3,FALSE)), 0, VLOOKUP(D1351,'[2]stock-take'!$A:$E,3,FALSE))</f>
        <v>0</v>
      </c>
      <c r="I1351" s="48" t="str">
        <f>IF(F1351="", " ",IF(ISNA(VLOOKUP(D1351,'[2]stock-take'!$G:$K,4,FALSE)), "OUT OF STOCK", VLOOKUP(D1351,'[2]stock-take'!$G:$K,4,FALSE)))</f>
        <v xml:space="preserve"> </v>
      </c>
      <c r="J1351" s="39">
        <f>IF(ISNA(VLOOKUP(D1351,'[2]stock-take'!$G:$K,3,FALSE)), 0, VLOOKUP(D1351,'[2]stock-take'!$G:$K,3,FALSE))</f>
        <v>0</v>
      </c>
      <c r="K1351" s="49" t="str">
        <f>IF(F1351="", " ", IF(ISNA(VLOOKUP(D1351,'[2]stock-take'!$M:$Q,4,FALSE)), "OUT OF STOCK", VLOOKUP(D1351,'[2]stock-take'!$M:$Q,4,FALSE)))</f>
        <v xml:space="preserve"> </v>
      </c>
      <c r="L1351" s="47">
        <f>IF(ISNA(VLOOKUP(D1351,'[2]stock-take'!$M:$Q,3,FALSE)), 0, VLOOKUP(D1351,'[2]stock-take'!$M:$Q,3,FALSE))</f>
        <v>0</v>
      </c>
      <c r="M1351" s="48" t="str">
        <f t="shared" si="61"/>
        <v xml:space="preserve"> </v>
      </c>
      <c r="N1351" s="39" t="str">
        <f t="shared" si="62"/>
        <v xml:space="preserve"> </v>
      </c>
    </row>
    <row r="1352" spans="1:14">
      <c r="A1352" s="37">
        <f t="shared" si="60"/>
        <v>1341</v>
      </c>
      <c r="G1352" s="48" t="str">
        <f>IF(F1352=""," ",IF(ISNA(VLOOKUP(D1352,'[2]stock-take'!$A:$E,4,FALSE)), "OUT OF STOCK", VLOOKUP(D1352,'[2]stock-take'!$A:$E,4,FALSE)))</f>
        <v xml:space="preserve"> </v>
      </c>
      <c r="H1352" s="48">
        <f>IF(ISNA(VLOOKUP(D1352,'[2]stock-take'!$A:$E,3,FALSE)), 0, VLOOKUP(D1352,'[2]stock-take'!$A:$E,3,FALSE))</f>
        <v>0</v>
      </c>
      <c r="I1352" s="48" t="str">
        <f>IF(F1352="", " ",IF(ISNA(VLOOKUP(D1352,'[2]stock-take'!$G:$K,4,FALSE)), "OUT OF STOCK", VLOOKUP(D1352,'[2]stock-take'!$G:$K,4,FALSE)))</f>
        <v xml:space="preserve"> </v>
      </c>
      <c r="J1352" s="39">
        <f>IF(ISNA(VLOOKUP(D1352,'[2]stock-take'!$G:$K,3,FALSE)), 0, VLOOKUP(D1352,'[2]stock-take'!$G:$K,3,FALSE))</f>
        <v>0</v>
      </c>
      <c r="K1352" s="49" t="str">
        <f>IF(F1352="", " ", IF(ISNA(VLOOKUP(D1352,'[2]stock-take'!$M:$Q,4,FALSE)), "OUT OF STOCK", VLOOKUP(D1352,'[2]stock-take'!$M:$Q,4,FALSE)))</f>
        <v xml:space="preserve"> </v>
      </c>
      <c r="L1352" s="47">
        <f>IF(ISNA(VLOOKUP(D1352,'[2]stock-take'!$M:$Q,3,FALSE)), 0, VLOOKUP(D1352,'[2]stock-take'!$M:$Q,3,FALSE))</f>
        <v>0</v>
      </c>
      <c r="M1352" s="48" t="str">
        <f t="shared" si="61"/>
        <v xml:space="preserve"> </v>
      </c>
      <c r="N1352" s="39" t="str">
        <f t="shared" si="62"/>
        <v xml:space="preserve"> </v>
      </c>
    </row>
    <row r="1353" spans="1:14">
      <c r="A1353" s="37">
        <f t="shared" si="60"/>
        <v>1342</v>
      </c>
      <c r="G1353" s="48" t="str">
        <f>IF(F1353=""," ",IF(ISNA(VLOOKUP(D1353,'[2]stock-take'!$A:$E,4,FALSE)), "OUT OF STOCK", VLOOKUP(D1353,'[2]stock-take'!$A:$E,4,FALSE)))</f>
        <v xml:space="preserve"> </v>
      </c>
      <c r="H1353" s="48">
        <f>IF(ISNA(VLOOKUP(D1353,'[2]stock-take'!$A:$E,3,FALSE)), 0, VLOOKUP(D1353,'[2]stock-take'!$A:$E,3,FALSE))</f>
        <v>0</v>
      </c>
      <c r="I1353" s="48" t="str">
        <f>IF(F1353="", " ",IF(ISNA(VLOOKUP(D1353,'[2]stock-take'!$G:$K,4,FALSE)), "OUT OF STOCK", VLOOKUP(D1353,'[2]stock-take'!$G:$K,4,FALSE)))</f>
        <v xml:space="preserve"> </v>
      </c>
      <c r="J1353" s="39">
        <f>IF(ISNA(VLOOKUP(D1353,'[2]stock-take'!$G:$K,3,FALSE)), 0, VLOOKUP(D1353,'[2]stock-take'!$G:$K,3,FALSE))</f>
        <v>0</v>
      </c>
      <c r="K1353" s="49" t="str">
        <f>IF(F1353="", " ", IF(ISNA(VLOOKUP(D1353,'[2]stock-take'!$M:$Q,4,FALSE)), "OUT OF STOCK", VLOOKUP(D1353,'[2]stock-take'!$M:$Q,4,FALSE)))</f>
        <v xml:space="preserve"> </v>
      </c>
      <c r="L1353" s="47">
        <f>IF(ISNA(VLOOKUP(D1353,'[2]stock-take'!$M:$Q,3,FALSE)), 0, VLOOKUP(D1353,'[2]stock-take'!$M:$Q,3,FALSE))</f>
        <v>0</v>
      </c>
      <c r="M1353" s="48" t="str">
        <f t="shared" si="61"/>
        <v xml:space="preserve"> </v>
      </c>
      <c r="N1353" s="39" t="str">
        <f t="shared" si="62"/>
        <v xml:space="preserve"> </v>
      </c>
    </row>
    <row r="1354" spans="1:14">
      <c r="A1354" s="37">
        <f t="shared" si="60"/>
        <v>1343</v>
      </c>
      <c r="G1354" s="48" t="str">
        <f>IF(F1354=""," ",IF(ISNA(VLOOKUP(D1354,'[2]stock-take'!$A:$E,4,FALSE)), "OUT OF STOCK", VLOOKUP(D1354,'[2]stock-take'!$A:$E,4,FALSE)))</f>
        <v xml:space="preserve"> </v>
      </c>
      <c r="H1354" s="48">
        <f>IF(ISNA(VLOOKUP(D1354,'[2]stock-take'!$A:$E,3,FALSE)), 0, VLOOKUP(D1354,'[2]stock-take'!$A:$E,3,FALSE))</f>
        <v>0</v>
      </c>
      <c r="I1354" s="48" t="str">
        <f>IF(F1354="", " ",IF(ISNA(VLOOKUP(D1354,'[2]stock-take'!$G:$K,4,FALSE)), "OUT OF STOCK", VLOOKUP(D1354,'[2]stock-take'!$G:$K,4,FALSE)))</f>
        <v xml:space="preserve"> </v>
      </c>
      <c r="J1354" s="39">
        <f>IF(ISNA(VLOOKUP(D1354,'[2]stock-take'!$G:$K,3,FALSE)), 0, VLOOKUP(D1354,'[2]stock-take'!$G:$K,3,FALSE))</f>
        <v>0</v>
      </c>
      <c r="K1354" s="49" t="str">
        <f>IF(F1354="", " ", IF(ISNA(VLOOKUP(D1354,'[2]stock-take'!$M:$Q,4,FALSE)), "OUT OF STOCK", VLOOKUP(D1354,'[2]stock-take'!$M:$Q,4,FALSE)))</f>
        <v xml:space="preserve"> </v>
      </c>
      <c r="L1354" s="47">
        <f>IF(ISNA(VLOOKUP(D1354,'[2]stock-take'!$M:$Q,3,FALSE)), 0, VLOOKUP(D1354,'[2]stock-take'!$M:$Q,3,FALSE))</f>
        <v>0</v>
      </c>
      <c r="M1354" s="48" t="str">
        <f t="shared" si="61"/>
        <v xml:space="preserve"> </v>
      </c>
      <c r="N1354" s="39" t="str">
        <f t="shared" si="62"/>
        <v xml:space="preserve"> </v>
      </c>
    </row>
    <row r="1355" spans="1:14">
      <c r="A1355" s="37">
        <f t="shared" si="60"/>
        <v>1344</v>
      </c>
      <c r="G1355" s="48" t="str">
        <f>IF(F1355=""," ",IF(ISNA(VLOOKUP(D1355,'[2]stock-take'!$A:$E,4,FALSE)), "OUT OF STOCK", VLOOKUP(D1355,'[2]stock-take'!$A:$E,4,FALSE)))</f>
        <v xml:space="preserve"> </v>
      </c>
      <c r="H1355" s="48">
        <f>IF(ISNA(VLOOKUP(D1355,'[2]stock-take'!$A:$E,3,FALSE)), 0, VLOOKUP(D1355,'[2]stock-take'!$A:$E,3,FALSE))</f>
        <v>0</v>
      </c>
      <c r="I1355" s="48" t="str">
        <f>IF(F1355="", " ",IF(ISNA(VLOOKUP(D1355,'[2]stock-take'!$G:$K,4,FALSE)), "OUT OF STOCK", VLOOKUP(D1355,'[2]stock-take'!$G:$K,4,FALSE)))</f>
        <v xml:space="preserve"> </v>
      </c>
      <c r="J1355" s="39">
        <f>IF(ISNA(VLOOKUP(D1355,'[2]stock-take'!$G:$K,3,FALSE)), 0, VLOOKUP(D1355,'[2]stock-take'!$G:$K,3,FALSE))</f>
        <v>0</v>
      </c>
      <c r="K1355" s="49" t="str">
        <f>IF(F1355="", " ", IF(ISNA(VLOOKUP(D1355,'[2]stock-take'!$M:$Q,4,FALSE)), "OUT OF STOCK", VLOOKUP(D1355,'[2]stock-take'!$M:$Q,4,FALSE)))</f>
        <v xml:space="preserve"> </v>
      </c>
      <c r="L1355" s="47">
        <f>IF(ISNA(VLOOKUP(D1355,'[2]stock-take'!$M:$Q,3,FALSE)), 0, VLOOKUP(D1355,'[2]stock-take'!$M:$Q,3,FALSE))</f>
        <v>0</v>
      </c>
      <c r="M1355" s="48" t="str">
        <f t="shared" si="61"/>
        <v xml:space="preserve"> </v>
      </c>
      <c r="N1355" s="39" t="str">
        <f t="shared" si="62"/>
        <v xml:space="preserve"> </v>
      </c>
    </row>
    <row r="1356" spans="1:14">
      <c r="A1356" s="37">
        <f t="shared" ref="A1356:A1419" si="63">ROW(A1356)-11</f>
        <v>1345</v>
      </c>
      <c r="G1356" s="48" t="str">
        <f>IF(F1356=""," ",IF(ISNA(VLOOKUP(D1356,'[2]stock-take'!$A:$E,4,FALSE)), "OUT OF STOCK", VLOOKUP(D1356,'[2]stock-take'!$A:$E,4,FALSE)))</f>
        <v xml:space="preserve"> </v>
      </c>
      <c r="H1356" s="48">
        <f>IF(ISNA(VLOOKUP(D1356,'[2]stock-take'!$A:$E,3,FALSE)), 0, VLOOKUP(D1356,'[2]stock-take'!$A:$E,3,FALSE))</f>
        <v>0</v>
      </c>
      <c r="I1356" s="48" t="str">
        <f>IF(F1356="", " ",IF(ISNA(VLOOKUP(D1356,'[2]stock-take'!$G:$K,4,FALSE)), "OUT OF STOCK", VLOOKUP(D1356,'[2]stock-take'!$G:$K,4,FALSE)))</f>
        <v xml:space="preserve"> </v>
      </c>
      <c r="J1356" s="39">
        <f>IF(ISNA(VLOOKUP(D1356,'[2]stock-take'!$G:$K,3,FALSE)), 0, VLOOKUP(D1356,'[2]stock-take'!$G:$K,3,FALSE))</f>
        <v>0</v>
      </c>
      <c r="K1356" s="49" t="str">
        <f>IF(F1356="", " ", IF(ISNA(VLOOKUP(D1356,'[2]stock-take'!$M:$Q,4,FALSE)), "OUT OF STOCK", VLOOKUP(D1356,'[2]stock-take'!$M:$Q,4,FALSE)))</f>
        <v xml:space="preserve"> </v>
      </c>
      <c r="L1356" s="47">
        <f>IF(ISNA(VLOOKUP(D1356,'[2]stock-take'!$M:$Q,3,FALSE)), 0, VLOOKUP(D1356,'[2]stock-take'!$M:$Q,3,FALSE))</f>
        <v>0</v>
      </c>
      <c r="M1356" s="48" t="str">
        <f t="shared" si="61"/>
        <v xml:space="preserve"> </v>
      </c>
      <c r="N1356" s="39" t="str">
        <f t="shared" si="62"/>
        <v xml:space="preserve"> </v>
      </c>
    </row>
    <row r="1357" spans="1:14">
      <c r="A1357" s="37">
        <f t="shared" si="63"/>
        <v>1346</v>
      </c>
      <c r="G1357" s="48" t="str">
        <f>IF(F1357=""," ",IF(ISNA(VLOOKUP(D1357,'[2]stock-take'!$A:$E,4,FALSE)), "OUT OF STOCK", VLOOKUP(D1357,'[2]stock-take'!$A:$E,4,FALSE)))</f>
        <v xml:space="preserve"> </v>
      </c>
      <c r="H1357" s="48">
        <f>IF(ISNA(VLOOKUP(D1357,'[2]stock-take'!$A:$E,3,FALSE)), 0, VLOOKUP(D1357,'[2]stock-take'!$A:$E,3,FALSE))</f>
        <v>0</v>
      </c>
      <c r="I1357" s="48" t="str">
        <f>IF(F1357="", " ",IF(ISNA(VLOOKUP(D1357,'[2]stock-take'!$G:$K,4,FALSE)), "OUT OF STOCK", VLOOKUP(D1357,'[2]stock-take'!$G:$K,4,FALSE)))</f>
        <v xml:space="preserve"> </v>
      </c>
      <c r="J1357" s="39">
        <f>IF(ISNA(VLOOKUP(D1357,'[2]stock-take'!$G:$K,3,FALSE)), 0, VLOOKUP(D1357,'[2]stock-take'!$G:$K,3,FALSE))</f>
        <v>0</v>
      </c>
      <c r="K1357" s="49" t="str">
        <f>IF(F1357="", " ", IF(ISNA(VLOOKUP(D1357,'[2]stock-take'!$M:$Q,4,FALSE)), "OUT OF STOCK", VLOOKUP(D1357,'[2]stock-take'!$M:$Q,4,FALSE)))</f>
        <v xml:space="preserve"> </v>
      </c>
      <c r="L1357" s="47">
        <f>IF(ISNA(VLOOKUP(D1357,'[2]stock-take'!$M:$Q,3,FALSE)), 0, VLOOKUP(D1357,'[2]stock-take'!$M:$Q,3,FALSE))</f>
        <v>0</v>
      </c>
      <c r="M1357" s="48" t="str">
        <f t="shared" ref="M1357:M1420" si="64">IF(F1357=""," ",IF(H1357&gt;=F1357,"Y",IF(J1357&gt;=F1357,"Y",IF(L1357&gt;=F1357,"Y",IF(SUM(H1357,J1357,L1357)&gt;=F1357,"Y","N")))))</f>
        <v xml:space="preserve"> </v>
      </c>
      <c r="N1357" s="39" t="str">
        <f t="shared" ref="N1357:N1420" si="65">IF(F1357=""," ",IF(H1357&gt;=F1357,"ILOOM",IF(J1357&gt;=F1357,"NO.6",IF(L1357&gt;=F1357,"RMD",IF(SUM(H1357,J1357,L1357)&gt;=F1357,"MULTI","LACK")))))</f>
        <v xml:space="preserve"> </v>
      </c>
    </row>
    <row r="1358" spans="1:14">
      <c r="A1358" s="37">
        <f t="shared" si="63"/>
        <v>1347</v>
      </c>
      <c r="G1358" s="48" t="str">
        <f>IF(F1358=""," ",IF(ISNA(VLOOKUP(D1358,'[2]stock-take'!$A:$E,4,FALSE)), "OUT OF STOCK", VLOOKUP(D1358,'[2]stock-take'!$A:$E,4,FALSE)))</f>
        <v xml:space="preserve"> </v>
      </c>
      <c r="H1358" s="48">
        <f>IF(ISNA(VLOOKUP(D1358,'[2]stock-take'!$A:$E,3,FALSE)), 0, VLOOKUP(D1358,'[2]stock-take'!$A:$E,3,FALSE))</f>
        <v>0</v>
      </c>
      <c r="I1358" s="48" t="str">
        <f>IF(F1358="", " ",IF(ISNA(VLOOKUP(D1358,'[2]stock-take'!$G:$K,4,FALSE)), "OUT OF STOCK", VLOOKUP(D1358,'[2]stock-take'!$G:$K,4,FALSE)))</f>
        <v xml:space="preserve"> </v>
      </c>
      <c r="J1358" s="39">
        <f>IF(ISNA(VLOOKUP(D1358,'[2]stock-take'!$G:$K,3,FALSE)), 0, VLOOKUP(D1358,'[2]stock-take'!$G:$K,3,FALSE))</f>
        <v>0</v>
      </c>
      <c r="K1358" s="49" t="str">
        <f>IF(F1358="", " ", IF(ISNA(VLOOKUP(D1358,'[2]stock-take'!$M:$Q,4,FALSE)), "OUT OF STOCK", VLOOKUP(D1358,'[2]stock-take'!$M:$Q,4,FALSE)))</f>
        <v xml:space="preserve"> </v>
      </c>
      <c r="L1358" s="47">
        <f>IF(ISNA(VLOOKUP(D1358,'[2]stock-take'!$M:$Q,3,FALSE)), 0, VLOOKUP(D1358,'[2]stock-take'!$M:$Q,3,FALSE))</f>
        <v>0</v>
      </c>
      <c r="M1358" s="48" t="str">
        <f t="shared" si="64"/>
        <v xml:space="preserve"> </v>
      </c>
      <c r="N1358" s="39" t="str">
        <f t="shared" si="65"/>
        <v xml:space="preserve"> </v>
      </c>
    </row>
    <row r="1359" spans="1:14">
      <c r="A1359" s="37">
        <f t="shared" si="63"/>
        <v>1348</v>
      </c>
      <c r="G1359" s="48" t="str">
        <f>IF(F1359=""," ",IF(ISNA(VLOOKUP(D1359,'[2]stock-take'!$A:$E,4,FALSE)), "OUT OF STOCK", VLOOKUP(D1359,'[2]stock-take'!$A:$E,4,FALSE)))</f>
        <v xml:space="preserve"> </v>
      </c>
      <c r="H1359" s="48">
        <f>IF(ISNA(VLOOKUP(D1359,'[2]stock-take'!$A:$E,3,FALSE)), 0, VLOOKUP(D1359,'[2]stock-take'!$A:$E,3,FALSE))</f>
        <v>0</v>
      </c>
      <c r="I1359" s="48" t="str">
        <f>IF(F1359="", " ",IF(ISNA(VLOOKUP(D1359,'[2]stock-take'!$G:$K,4,FALSE)), "OUT OF STOCK", VLOOKUP(D1359,'[2]stock-take'!$G:$K,4,FALSE)))</f>
        <v xml:space="preserve"> </v>
      </c>
      <c r="J1359" s="39">
        <f>IF(ISNA(VLOOKUP(D1359,'[2]stock-take'!$G:$K,3,FALSE)), 0, VLOOKUP(D1359,'[2]stock-take'!$G:$K,3,FALSE))</f>
        <v>0</v>
      </c>
      <c r="K1359" s="49" t="str">
        <f>IF(F1359="", " ", IF(ISNA(VLOOKUP(D1359,'[2]stock-take'!$M:$Q,4,FALSE)), "OUT OF STOCK", VLOOKUP(D1359,'[2]stock-take'!$M:$Q,4,FALSE)))</f>
        <v xml:space="preserve"> </v>
      </c>
      <c r="L1359" s="47">
        <f>IF(ISNA(VLOOKUP(D1359,'[2]stock-take'!$M:$Q,3,FALSE)), 0, VLOOKUP(D1359,'[2]stock-take'!$M:$Q,3,FALSE))</f>
        <v>0</v>
      </c>
      <c r="M1359" s="48" t="str">
        <f t="shared" si="64"/>
        <v xml:space="preserve"> </v>
      </c>
      <c r="N1359" s="39" t="str">
        <f t="shared" si="65"/>
        <v xml:space="preserve"> </v>
      </c>
    </row>
    <row r="1360" spans="1:14">
      <c r="A1360" s="37">
        <f t="shared" si="63"/>
        <v>1349</v>
      </c>
      <c r="G1360" s="48" t="str">
        <f>IF(F1360=""," ",IF(ISNA(VLOOKUP(D1360,'[2]stock-take'!$A:$E,4,FALSE)), "OUT OF STOCK", VLOOKUP(D1360,'[2]stock-take'!$A:$E,4,FALSE)))</f>
        <v xml:space="preserve"> </v>
      </c>
      <c r="H1360" s="48">
        <f>IF(ISNA(VLOOKUP(D1360,'[2]stock-take'!$A:$E,3,FALSE)), 0, VLOOKUP(D1360,'[2]stock-take'!$A:$E,3,FALSE))</f>
        <v>0</v>
      </c>
      <c r="I1360" s="48" t="str">
        <f>IF(F1360="", " ",IF(ISNA(VLOOKUP(D1360,'[2]stock-take'!$G:$K,4,FALSE)), "OUT OF STOCK", VLOOKUP(D1360,'[2]stock-take'!$G:$K,4,FALSE)))</f>
        <v xml:space="preserve"> </v>
      </c>
      <c r="J1360" s="39">
        <f>IF(ISNA(VLOOKUP(D1360,'[2]stock-take'!$G:$K,3,FALSE)), 0, VLOOKUP(D1360,'[2]stock-take'!$G:$K,3,FALSE))</f>
        <v>0</v>
      </c>
      <c r="K1360" s="49" t="str">
        <f>IF(F1360="", " ", IF(ISNA(VLOOKUP(D1360,'[2]stock-take'!$M:$Q,4,FALSE)), "OUT OF STOCK", VLOOKUP(D1360,'[2]stock-take'!$M:$Q,4,FALSE)))</f>
        <v xml:space="preserve"> </v>
      </c>
      <c r="L1360" s="47">
        <f>IF(ISNA(VLOOKUP(D1360,'[2]stock-take'!$M:$Q,3,FALSE)), 0, VLOOKUP(D1360,'[2]stock-take'!$M:$Q,3,FALSE))</f>
        <v>0</v>
      </c>
      <c r="M1360" s="48" t="str">
        <f t="shared" si="64"/>
        <v xml:space="preserve"> </v>
      </c>
      <c r="N1360" s="39" t="str">
        <f t="shared" si="65"/>
        <v xml:space="preserve"> </v>
      </c>
    </row>
    <row r="1361" spans="1:14">
      <c r="A1361" s="37">
        <f t="shared" si="63"/>
        <v>1350</v>
      </c>
      <c r="G1361" s="48" t="str">
        <f>IF(F1361=""," ",IF(ISNA(VLOOKUP(D1361,'[2]stock-take'!$A:$E,4,FALSE)), "OUT OF STOCK", VLOOKUP(D1361,'[2]stock-take'!$A:$E,4,FALSE)))</f>
        <v xml:space="preserve"> </v>
      </c>
      <c r="H1361" s="48">
        <f>IF(ISNA(VLOOKUP(D1361,'[2]stock-take'!$A:$E,3,FALSE)), 0, VLOOKUP(D1361,'[2]stock-take'!$A:$E,3,FALSE))</f>
        <v>0</v>
      </c>
      <c r="I1361" s="48" t="str">
        <f>IF(F1361="", " ",IF(ISNA(VLOOKUP(D1361,'[2]stock-take'!$G:$K,4,FALSE)), "OUT OF STOCK", VLOOKUP(D1361,'[2]stock-take'!$G:$K,4,FALSE)))</f>
        <v xml:space="preserve"> </v>
      </c>
      <c r="J1361" s="39">
        <f>IF(ISNA(VLOOKUP(D1361,'[2]stock-take'!$G:$K,3,FALSE)), 0, VLOOKUP(D1361,'[2]stock-take'!$G:$K,3,FALSE))</f>
        <v>0</v>
      </c>
      <c r="K1361" s="49" t="str">
        <f>IF(F1361="", " ", IF(ISNA(VLOOKUP(D1361,'[2]stock-take'!$M:$Q,4,FALSE)), "OUT OF STOCK", VLOOKUP(D1361,'[2]stock-take'!$M:$Q,4,FALSE)))</f>
        <v xml:space="preserve"> </v>
      </c>
      <c r="L1361" s="47">
        <f>IF(ISNA(VLOOKUP(D1361,'[2]stock-take'!$M:$Q,3,FALSE)), 0, VLOOKUP(D1361,'[2]stock-take'!$M:$Q,3,FALSE))</f>
        <v>0</v>
      </c>
      <c r="M1361" s="48" t="str">
        <f t="shared" si="64"/>
        <v xml:space="preserve"> </v>
      </c>
      <c r="N1361" s="39" t="str">
        <f t="shared" si="65"/>
        <v xml:space="preserve"> </v>
      </c>
    </row>
    <row r="1362" spans="1:14">
      <c r="A1362" s="37">
        <f t="shared" si="63"/>
        <v>1351</v>
      </c>
      <c r="G1362" s="48" t="str">
        <f>IF(F1362=""," ",IF(ISNA(VLOOKUP(D1362,'[2]stock-take'!$A:$E,4,FALSE)), "OUT OF STOCK", VLOOKUP(D1362,'[2]stock-take'!$A:$E,4,FALSE)))</f>
        <v xml:space="preserve"> </v>
      </c>
      <c r="H1362" s="48">
        <f>IF(ISNA(VLOOKUP(D1362,'[2]stock-take'!$A:$E,3,FALSE)), 0, VLOOKUP(D1362,'[2]stock-take'!$A:$E,3,FALSE))</f>
        <v>0</v>
      </c>
      <c r="I1362" s="48" t="str">
        <f>IF(F1362="", " ",IF(ISNA(VLOOKUP(D1362,'[2]stock-take'!$G:$K,4,FALSE)), "OUT OF STOCK", VLOOKUP(D1362,'[2]stock-take'!$G:$K,4,FALSE)))</f>
        <v xml:space="preserve"> </v>
      </c>
      <c r="J1362" s="39">
        <f>IF(ISNA(VLOOKUP(D1362,'[2]stock-take'!$G:$K,3,FALSE)), 0, VLOOKUP(D1362,'[2]stock-take'!$G:$K,3,FALSE))</f>
        <v>0</v>
      </c>
      <c r="K1362" s="49" t="str">
        <f>IF(F1362="", " ", IF(ISNA(VLOOKUP(D1362,'[2]stock-take'!$M:$Q,4,FALSE)), "OUT OF STOCK", VLOOKUP(D1362,'[2]stock-take'!$M:$Q,4,FALSE)))</f>
        <v xml:space="preserve"> </v>
      </c>
      <c r="L1362" s="47">
        <f>IF(ISNA(VLOOKUP(D1362,'[2]stock-take'!$M:$Q,3,FALSE)), 0, VLOOKUP(D1362,'[2]stock-take'!$M:$Q,3,FALSE))</f>
        <v>0</v>
      </c>
      <c r="M1362" s="48" t="str">
        <f t="shared" si="64"/>
        <v xml:space="preserve"> </v>
      </c>
      <c r="N1362" s="39" t="str">
        <f t="shared" si="65"/>
        <v xml:space="preserve"> </v>
      </c>
    </row>
    <row r="1363" spans="1:14">
      <c r="A1363" s="37">
        <f t="shared" si="63"/>
        <v>1352</v>
      </c>
      <c r="G1363" s="48" t="str">
        <f>IF(F1363=""," ",IF(ISNA(VLOOKUP(D1363,'[2]stock-take'!$A:$E,4,FALSE)), "OUT OF STOCK", VLOOKUP(D1363,'[2]stock-take'!$A:$E,4,FALSE)))</f>
        <v xml:space="preserve"> </v>
      </c>
      <c r="H1363" s="48">
        <f>IF(ISNA(VLOOKUP(D1363,'[2]stock-take'!$A:$E,3,FALSE)), 0, VLOOKUP(D1363,'[2]stock-take'!$A:$E,3,FALSE))</f>
        <v>0</v>
      </c>
      <c r="I1363" s="48" t="str">
        <f>IF(F1363="", " ",IF(ISNA(VLOOKUP(D1363,'[2]stock-take'!$G:$K,4,FALSE)), "OUT OF STOCK", VLOOKUP(D1363,'[2]stock-take'!$G:$K,4,FALSE)))</f>
        <v xml:space="preserve"> </v>
      </c>
      <c r="J1363" s="39">
        <f>IF(ISNA(VLOOKUP(D1363,'[2]stock-take'!$G:$K,3,FALSE)), 0, VLOOKUP(D1363,'[2]stock-take'!$G:$K,3,FALSE))</f>
        <v>0</v>
      </c>
      <c r="K1363" s="49" t="str">
        <f>IF(F1363="", " ", IF(ISNA(VLOOKUP(D1363,'[2]stock-take'!$M:$Q,4,FALSE)), "OUT OF STOCK", VLOOKUP(D1363,'[2]stock-take'!$M:$Q,4,FALSE)))</f>
        <v xml:space="preserve"> </v>
      </c>
      <c r="L1363" s="47">
        <f>IF(ISNA(VLOOKUP(D1363,'[2]stock-take'!$M:$Q,3,FALSE)), 0, VLOOKUP(D1363,'[2]stock-take'!$M:$Q,3,FALSE))</f>
        <v>0</v>
      </c>
      <c r="M1363" s="48" t="str">
        <f t="shared" si="64"/>
        <v xml:space="preserve"> </v>
      </c>
      <c r="N1363" s="39" t="str">
        <f t="shared" si="65"/>
        <v xml:space="preserve"> </v>
      </c>
    </row>
    <row r="1364" spans="1:14">
      <c r="A1364" s="37">
        <f t="shared" si="63"/>
        <v>1353</v>
      </c>
      <c r="G1364" s="48" t="str">
        <f>IF(F1364=""," ",IF(ISNA(VLOOKUP(D1364,'[2]stock-take'!$A:$E,4,FALSE)), "OUT OF STOCK", VLOOKUP(D1364,'[2]stock-take'!$A:$E,4,FALSE)))</f>
        <v xml:space="preserve"> </v>
      </c>
      <c r="H1364" s="48">
        <f>IF(ISNA(VLOOKUP(D1364,'[2]stock-take'!$A:$E,3,FALSE)), 0, VLOOKUP(D1364,'[2]stock-take'!$A:$E,3,FALSE))</f>
        <v>0</v>
      </c>
      <c r="I1364" s="48" t="str">
        <f>IF(F1364="", " ",IF(ISNA(VLOOKUP(D1364,'[2]stock-take'!$G:$K,4,FALSE)), "OUT OF STOCK", VLOOKUP(D1364,'[2]stock-take'!$G:$K,4,FALSE)))</f>
        <v xml:space="preserve"> </v>
      </c>
      <c r="J1364" s="39">
        <f>IF(ISNA(VLOOKUP(D1364,'[2]stock-take'!$G:$K,3,FALSE)), 0, VLOOKUP(D1364,'[2]stock-take'!$G:$K,3,FALSE))</f>
        <v>0</v>
      </c>
      <c r="K1364" s="49" t="str">
        <f>IF(F1364="", " ", IF(ISNA(VLOOKUP(D1364,'[2]stock-take'!$M:$Q,4,FALSE)), "OUT OF STOCK", VLOOKUP(D1364,'[2]stock-take'!$M:$Q,4,FALSE)))</f>
        <v xml:space="preserve"> </v>
      </c>
      <c r="L1364" s="47">
        <f>IF(ISNA(VLOOKUP(D1364,'[2]stock-take'!$M:$Q,3,FALSE)), 0, VLOOKUP(D1364,'[2]stock-take'!$M:$Q,3,FALSE))</f>
        <v>0</v>
      </c>
      <c r="M1364" s="48" t="str">
        <f t="shared" si="64"/>
        <v xml:space="preserve"> </v>
      </c>
      <c r="N1364" s="39" t="str">
        <f t="shared" si="65"/>
        <v xml:space="preserve"> </v>
      </c>
    </row>
    <row r="1365" spans="1:14">
      <c r="A1365" s="37">
        <f t="shared" si="63"/>
        <v>1354</v>
      </c>
      <c r="G1365" s="48" t="str">
        <f>IF(F1365=""," ",IF(ISNA(VLOOKUP(D1365,'[2]stock-take'!$A:$E,4,FALSE)), "OUT OF STOCK", VLOOKUP(D1365,'[2]stock-take'!$A:$E,4,FALSE)))</f>
        <v xml:space="preserve"> </v>
      </c>
      <c r="H1365" s="48">
        <f>IF(ISNA(VLOOKUP(D1365,'[2]stock-take'!$A:$E,3,FALSE)), 0, VLOOKUP(D1365,'[2]stock-take'!$A:$E,3,FALSE))</f>
        <v>0</v>
      </c>
      <c r="I1365" s="48" t="str">
        <f>IF(F1365="", " ",IF(ISNA(VLOOKUP(D1365,'[2]stock-take'!$G:$K,4,FALSE)), "OUT OF STOCK", VLOOKUP(D1365,'[2]stock-take'!$G:$K,4,FALSE)))</f>
        <v xml:space="preserve"> </v>
      </c>
      <c r="J1365" s="39">
        <f>IF(ISNA(VLOOKUP(D1365,'[2]stock-take'!$G:$K,3,FALSE)), 0, VLOOKUP(D1365,'[2]stock-take'!$G:$K,3,FALSE))</f>
        <v>0</v>
      </c>
      <c r="K1365" s="49" t="str">
        <f>IF(F1365="", " ", IF(ISNA(VLOOKUP(D1365,'[2]stock-take'!$M:$Q,4,FALSE)), "OUT OF STOCK", VLOOKUP(D1365,'[2]stock-take'!$M:$Q,4,FALSE)))</f>
        <v xml:space="preserve"> </v>
      </c>
      <c r="L1365" s="47">
        <f>IF(ISNA(VLOOKUP(D1365,'[2]stock-take'!$M:$Q,3,FALSE)), 0, VLOOKUP(D1365,'[2]stock-take'!$M:$Q,3,FALSE))</f>
        <v>0</v>
      </c>
      <c r="M1365" s="48" t="str">
        <f t="shared" si="64"/>
        <v xml:space="preserve"> </v>
      </c>
      <c r="N1365" s="39" t="str">
        <f t="shared" si="65"/>
        <v xml:space="preserve"> </v>
      </c>
    </row>
    <row r="1366" spans="1:14">
      <c r="A1366" s="37">
        <f t="shared" si="63"/>
        <v>1355</v>
      </c>
      <c r="G1366" s="48" t="str">
        <f>IF(F1366=""," ",IF(ISNA(VLOOKUP(D1366,'[2]stock-take'!$A:$E,4,FALSE)), "OUT OF STOCK", VLOOKUP(D1366,'[2]stock-take'!$A:$E,4,FALSE)))</f>
        <v xml:space="preserve"> </v>
      </c>
      <c r="H1366" s="48">
        <f>IF(ISNA(VLOOKUP(D1366,'[2]stock-take'!$A:$E,3,FALSE)), 0, VLOOKUP(D1366,'[2]stock-take'!$A:$E,3,FALSE))</f>
        <v>0</v>
      </c>
      <c r="I1366" s="48" t="str">
        <f>IF(F1366="", " ",IF(ISNA(VLOOKUP(D1366,'[2]stock-take'!$G:$K,4,FALSE)), "OUT OF STOCK", VLOOKUP(D1366,'[2]stock-take'!$G:$K,4,FALSE)))</f>
        <v xml:space="preserve"> </v>
      </c>
      <c r="J1366" s="39">
        <f>IF(ISNA(VLOOKUP(D1366,'[2]stock-take'!$G:$K,3,FALSE)), 0, VLOOKUP(D1366,'[2]stock-take'!$G:$K,3,FALSE))</f>
        <v>0</v>
      </c>
      <c r="K1366" s="49" t="str">
        <f>IF(F1366="", " ", IF(ISNA(VLOOKUP(D1366,'[2]stock-take'!$M:$Q,4,FALSE)), "OUT OF STOCK", VLOOKUP(D1366,'[2]stock-take'!$M:$Q,4,FALSE)))</f>
        <v xml:space="preserve"> </v>
      </c>
      <c r="L1366" s="47">
        <f>IF(ISNA(VLOOKUP(D1366,'[2]stock-take'!$M:$Q,3,FALSE)), 0, VLOOKUP(D1366,'[2]stock-take'!$M:$Q,3,FALSE))</f>
        <v>0</v>
      </c>
      <c r="M1366" s="48" t="str">
        <f t="shared" si="64"/>
        <v xml:space="preserve"> </v>
      </c>
      <c r="N1366" s="39" t="str">
        <f t="shared" si="65"/>
        <v xml:space="preserve"> </v>
      </c>
    </row>
    <row r="1367" spans="1:14">
      <c r="A1367" s="37">
        <f t="shared" si="63"/>
        <v>1356</v>
      </c>
      <c r="G1367" s="48" t="str">
        <f>IF(F1367=""," ",IF(ISNA(VLOOKUP(D1367,'[2]stock-take'!$A:$E,4,FALSE)), "OUT OF STOCK", VLOOKUP(D1367,'[2]stock-take'!$A:$E,4,FALSE)))</f>
        <v xml:space="preserve"> </v>
      </c>
      <c r="H1367" s="48">
        <f>IF(ISNA(VLOOKUP(D1367,'[2]stock-take'!$A:$E,3,FALSE)), 0, VLOOKUP(D1367,'[2]stock-take'!$A:$E,3,FALSE))</f>
        <v>0</v>
      </c>
      <c r="I1367" s="48" t="str">
        <f>IF(F1367="", " ",IF(ISNA(VLOOKUP(D1367,'[2]stock-take'!$G:$K,4,FALSE)), "OUT OF STOCK", VLOOKUP(D1367,'[2]stock-take'!$G:$K,4,FALSE)))</f>
        <v xml:space="preserve"> </v>
      </c>
      <c r="J1367" s="39">
        <f>IF(ISNA(VLOOKUP(D1367,'[2]stock-take'!$G:$K,3,FALSE)), 0, VLOOKUP(D1367,'[2]stock-take'!$G:$K,3,FALSE))</f>
        <v>0</v>
      </c>
      <c r="K1367" s="49" t="str">
        <f>IF(F1367="", " ", IF(ISNA(VLOOKUP(D1367,'[2]stock-take'!$M:$Q,4,FALSE)), "OUT OF STOCK", VLOOKUP(D1367,'[2]stock-take'!$M:$Q,4,FALSE)))</f>
        <v xml:space="preserve"> </v>
      </c>
      <c r="L1367" s="47">
        <f>IF(ISNA(VLOOKUP(D1367,'[2]stock-take'!$M:$Q,3,FALSE)), 0, VLOOKUP(D1367,'[2]stock-take'!$M:$Q,3,FALSE))</f>
        <v>0</v>
      </c>
      <c r="M1367" s="48" t="str">
        <f t="shared" si="64"/>
        <v xml:space="preserve"> </v>
      </c>
      <c r="N1367" s="39" t="str">
        <f t="shared" si="65"/>
        <v xml:space="preserve"> </v>
      </c>
    </row>
    <row r="1368" spans="1:14">
      <c r="A1368" s="37">
        <f t="shared" si="63"/>
        <v>1357</v>
      </c>
      <c r="G1368" s="48" t="str">
        <f>IF(F1368=""," ",IF(ISNA(VLOOKUP(D1368,'[2]stock-take'!$A:$E,4,FALSE)), "OUT OF STOCK", VLOOKUP(D1368,'[2]stock-take'!$A:$E,4,FALSE)))</f>
        <v xml:space="preserve"> </v>
      </c>
      <c r="H1368" s="48">
        <f>IF(ISNA(VLOOKUP(D1368,'[2]stock-take'!$A:$E,3,FALSE)), 0, VLOOKUP(D1368,'[2]stock-take'!$A:$E,3,FALSE))</f>
        <v>0</v>
      </c>
      <c r="I1368" s="48" t="str">
        <f>IF(F1368="", " ",IF(ISNA(VLOOKUP(D1368,'[2]stock-take'!$G:$K,4,FALSE)), "OUT OF STOCK", VLOOKUP(D1368,'[2]stock-take'!$G:$K,4,FALSE)))</f>
        <v xml:space="preserve"> </v>
      </c>
      <c r="J1368" s="39">
        <f>IF(ISNA(VLOOKUP(D1368,'[2]stock-take'!$G:$K,3,FALSE)), 0, VLOOKUP(D1368,'[2]stock-take'!$G:$K,3,FALSE))</f>
        <v>0</v>
      </c>
      <c r="K1368" s="49" t="str">
        <f>IF(F1368="", " ", IF(ISNA(VLOOKUP(D1368,'[2]stock-take'!$M:$Q,4,FALSE)), "OUT OF STOCK", VLOOKUP(D1368,'[2]stock-take'!$M:$Q,4,FALSE)))</f>
        <v xml:space="preserve"> </v>
      </c>
      <c r="L1368" s="47">
        <f>IF(ISNA(VLOOKUP(D1368,'[2]stock-take'!$M:$Q,3,FALSE)), 0, VLOOKUP(D1368,'[2]stock-take'!$M:$Q,3,FALSE))</f>
        <v>0</v>
      </c>
      <c r="M1368" s="48" t="str">
        <f t="shared" si="64"/>
        <v xml:space="preserve"> </v>
      </c>
      <c r="N1368" s="39" t="str">
        <f t="shared" si="65"/>
        <v xml:space="preserve"> </v>
      </c>
    </row>
    <row r="1369" spans="1:14">
      <c r="A1369" s="37">
        <f t="shared" si="63"/>
        <v>1358</v>
      </c>
      <c r="G1369" s="48" t="str">
        <f>IF(F1369=""," ",IF(ISNA(VLOOKUP(D1369,'[2]stock-take'!$A:$E,4,FALSE)), "OUT OF STOCK", VLOOKUP(D1369,'[2]stock-take'!$A:$E,4,FALSE)))</f>
        <v xml:space="preserve"> </v>
      </c>
      <c r="H1369" s="48">
        <f>IF(ISNA(VLOOKUP(D1369,'[2]stock-take'!$A:$E,3,FALSE)), 0, VLOOKUP(D1369,'[2]stock-take'!$A:$E,3,FALSE))</f>
        <v>0</v>
      </c>
      <c r="I1369" s="48" t="str">
        <f>IF(F1369="", " ",IF(ISNA(VLOOKUP(D1369,'[2]stock-take'!$G:$K,4,FALSE)), "OUT OF STOCK", VLOOKUP(D1369,'[2]stock-take'!$G:$K,4,FALSE)))</f>
        <v xml:space="preserve"> </v>
      </c>
      <c r="J1369" s="39">
        <f>IF(ISNA(VLOOKUP(D1369,'[2]stock-take'!$G:$K,3,FALSE)), 0, VLOOKUP(D1369,'[2]stock-take'!$G:$K,3,FALSE))</f>
        <v>0</v>
      </c>
      <c r="K1369" s="49" t="str">
        <f>IF(F1369="", " ", IF(ISNA(VLOOKUP(D1369,'[2]stock-take'!$M:$Q,4,FALSE)), "OUT OF STOCK", VLOOKUP(D1369,'[2]stock-take'!$M:$Q,4,FALSE)))</f>
        <v xml:space="preserve"> </v>
      </c>
      <c r="L1369" s="47">
        <f>IF(ISNA(VLOOKUP(D1369,'[2]stock-take'!$M:$Q,3,FALSE)), 0, VLOOKUP(D1369,'[2]stock-take'!$M:$Q,3,FALSE))</f>
        <v>0</v>
      </c>
      <c r="M1369" s="48" t="str">
        <f t="shared" si="64"/>
        <v xml:space="preserve"> </v>
      </c>
      <c r="N1369" s="39" t="str">
        <f t="shared" si="65"/>
        <v xml:space="preserve"> </v>
      </c>
    </row>
    <row r="1370" spans="1:14">
      <c r="A1370" s="37">
        <f t="shared" si="63"/>
        <v>1359</v>
      </c>
      <c r="G1370" s="48" t="str">
        <f>IF(F1370=""," ",IF(ISNA(VLOOKUP(D1370,'[2]stock-take'!$A:$E,4,FALSE)), "OUT OF STOCK", VLOOKUP(D1370,'[2]stock-take'!$A:$E,4,FALSE)))</f>
        <v xml:space="preserve"> </v>
      </c>
      <c r="H1370" s="48">
        <f>IF(ISNA(VLOOKUP(D1370,'[2]stock-take'!$A:$E,3,FALSE)), 0, VLOOKUP(D1370,'[2]stock-take'!$A:$E,3,FALSE))</f>
        <v>0</v>
      </c>
      <c r="I1370" s="48" t="str">
        <f>IF(F1370="", " ",IF(ISNA(VLOOKUP(D1370,'[2]stock-take'!$G:$K,4,FALSE)), "OUT OF STOCK", VLOOKUP(D1370,'[2]stock-take'!$G:$K,4,FALSE)))</f>
        <v xml:space="preserve"> </v>
      </c>
      <c r="J1370" s="39">
        <f>IF(ISNA(VLOOKUP(D1370,'[2]stock-take'!$G:$K,3,FALSE)), 0, VLOOKUP(D1370,'[2]stock-take'!$G:$K,3,FALSE))</f>
        <v>0</v>
      </c>
      <c r="K1370" s="49" t="str">
        <f>IF(F1370="", " ", IF(ISNA(VLOOKUP(D1370,'[2]stock-take'!$M:$Q,4,FALSE)), "OUT OF STOCK", VLOOKUP(D1370,'[2]stock-take'!$M:$Q,4,FALSE)))</f>
        <v xml:space="preserve"> </v>
      </c>
      <c r="L1370" s="47">
        <f>IF(ISNA(VLOOKUP(D1370,'[2]stock-take'!$M:$Q,3,FALSE)), 0, VLOOKUP(D1370,'[2]stock-take'!$M:$Q,3,FALSE))</f>
        <v>0</v>
      </c>
      <c r="M1370" s="48" t="str">
        <f t="shared" si="64"/>
        <v xml:space="preserve"> </v>
      </c>
      <c r="N1370" s="39" t="str">
        <f t="shared" si="65"/>
        <v xml:space="preserve"> </v>
      </c>
    </row>
    <row r="1371" spans="1:14">
      <c r="A1371" s="37">
        <f t="shared" si="63"/>
        <v>1360</v>
      </c>
      <c r="G1371" s="48" t="str">
        <f>IF(F1371=""," ",IF(ISNA(VLOOKUP(D1371,'[2]stock-take'!$A:$E,4,FALSE)), "OUT OF STOCK", VLOOKUP(D1371,'[2]stock-take'!$A:$E,4,FALSE)))</f>
        <v xml:space="preserve"> </v>
      </c>
      <c r="H1371" s="48">
        <f>IF(ISNA(VLOOKUP(D1371,'[2]stock-take'!$A:$E,3,FALSE)), 0, VLOOKUP(D1371,'[2]stock-take'!$A:$E,3,FALSE))</f>
        <v>0</v>
      </c>
      <c r="I1371" s="48" t="str">
        <f>IF(F1371="", " ",IF(ISNA(VLOOKUP(D1371,'[2]stock-take'!$G:$K,4,FALSE)), "OUT OF STOCK", VLOOKUP(D1371,'[2]stock-take'!$G:$K,4,FALSE)))</f>
        <v xml:space="preserve"> </v>
      </c>
      <c r="J1371" s="39">
        <f>IF(ISNA(VLOOKUP(D1371,'[2]stock-take'!$G:$K,3,FALSE)), 0, VLOOKUP(D1371,'[2]stock-take'!$G:$K,3,FALSE))</f>
        <v>0</v>
      </c>
      <c r="K1371" s="49" t="str">
        <f>IF(F1371="", " ", IF(ISNA(VLOOKUP(D1371,'[2]stock-take'!$M:$Q,4,FALSE)), "OUT OF STOCK", VLOOKUP(D1371,'[2]stock-take'!$M:$Q,4,FALSE)))</f>
        <v xml:space="preserve"> </v>
      </c>
      <c r="L1371" s="47">
        <f>IF(ISNA(VLOOKUP(D1371,'[2]stock-take'!$M:$Q,3,FALSE)), 0, VLOOKUP(D1371,'[2]stock-take'!$M:$Q,3,FALSE))</f>
        <v>0</v>
      </c>
      <c r="M1371" s="48" t="str">
        <f t="shared" si="64"/>
        <v xml:space="preserve"> </v>
      </c>
      <c r="N1371" s="39" t="str">
        <f t="shared" si="65"/>
        <v xml:space="preserve"> </v>
      </c>
    </row>
    <row r="1372" spans="1:14">
      <c r="A1372" s="37">
        <f t="shared" si="63"/>
        <v>1361</v>
      </c>
      <c r="G1372" s="48" t="str">
        <f>IF(F1372=""," ",IF(ISNA(VLOOKUP(D1372,'[2]stock-take'!$A:$E,4,FALSE)), "OUT OF STOCK", VLOOKUP(D1372,'[2]stock-take'!$A:$E,4,FALSE)))</f>
        <v xml:space="preserve"> </v>
      </c>
      <c r="H1372" s="48">
        <f>IF(ISNA(VLOOKUP(D1372,'[2]stock-take'!$A:$E,3,FALSE)), 0, VLOOKUP(D1372,'[2]stock-take'!$A:$E,3,FALSE))</f>
        <v>0</v>
      </c>
      <c r="I1372" s="48" t="str">
        <f>IF(F1372="", " ",IF(ISNA(VLOOKUP(D1372,'[2]stock-take'!$G:$K,4,FALSE)), "OUT OF STOCK", VLOOKUP(D1372,'[2]stock-take'!$G:$K,4,FALSE)))</f>
        <v xml:space="preserve"> </v>
      </c>
      <c r="J1372" s="39">
        <f>IF(ISNA(VLOOKUP(D1372,'[2]stock-take'!$G:$K,3,FALSE)), 0, VLOOKUP(D1372,'[2]stock-take'!$G:$K,3,FALSE))</f>
        <v>0</v>
      </c>
      <c r="K1372" s="49" t="str">
        <f>IF(F1372="", " ", IF(ISNA(VLOOKUP(D1372,'[2]stock-take'!$M:$Q,4,FALSE)), "OUT OF STOCK", VLOOKUP(D1372,'[2]stock-take'!$M:$Q,4,FALSE)))</f>
        <v xml:space="preserve"> </v>
      </c>
      <c r="L1372" s="47">
        <f>IF(ISNA(VLOOKUP(D1372,'[2]stock-take'!$M:$Q,3,FALSE)), 0, VLOOKUP(D1372,'[2]stock-take'!$M:$Q,3,FALSE))</f>
        <v>0</v>
      </c>
      <c r="M1372" s="48" t="str">
        <f t="shared" si="64"/>
        <v xml:space="preserve"> </v>
      </c>
      <c r="N1372" s="39" t="str">
        <f t="shared" si="65"/>
        <v xml:space="preserve"> </v>
      </c>
    </row>
    <row r="1373" spans="1:14">
      <c r="A1373" s="37">
        <f t="shared" si="63"/>
        <v>1362</v>
      </c>
      <c r="G1373" s="48" t="str">
        <f>IF(F1373=""," ",IF(ISNA(VLOOKUP(D1373,'[2]stock-take'!$A:$E,4,FALSE)), "OUT OF STOCK", VLOOKUP(D1373,'[2]stock-take'!$A:$E,4,FALSE)))</f>
        <v xml:space="preserve"> </v>
      </c>
      <c r="H1373" s="48">
        <f>IF(ISNA(VLOOKUP(D1373,'[2]stock-take'!$A:$E,3,FALSE)), 0, VLOOKUP(D1373,'[2]stock-take'!$A:$E,3,FALSE))</f>
        <v>0</v>
      </c>
      <c r="I1373" s="48" t="str">
        <f>IF(F1373="", " ",IF(ISNA(VLOOKUP(D1373,'[2]stock-take'!$G:$K,4,FALSE)), "OUT OF STOCK", VLOOKUP(D1373,'[2]stock-take'!$G:$K,4,FALSE)))</f>
        <v xml:space="preserve"> </v>
      </c>
      <c r="J1373" s="39">
        <f>IF(ISNA(VLOOKUP(D1373,'[2]stock-take'!$G:$K,3,FALSE)), 0, VLOOKUP(D1373,'[2]stock-take'!$G:$K,3,FALSE))</f>
        <v>0</v>
      </c>
      <c r="K1373" s="49" t="str">
        <f>IF(F1373="", " ", IF(ISNA(VLOOKUP(D1373,'[2]stock-take'!$M:$Q,4,FALSE)), "OUT OF STOCK", VLOOKUP(D1373,'[2]stock-take'!$M:$Q,4,FALSE)))</f>
        <v xml:space="preserve"> </v>
      </c>
      <c r="L1373" s="47">
        <f>IF(ISNA(VLOOKUP(D1373,'[2]stock-take'!$M:$Q,3,FALSE)), 0, VLOOKUP(D1373,'[2]stock-take'!$M:$Q,3,FALSE))</f>
        <v>0</v>
      </c>
      <c r="M1373" s="48" t="str">
        <f t="shared" si="64"/>
        <v xml:space="preserve"> </v>
      </c>
      <c r="N1373" s="39" t="str">
        <f t="shared" si="65"/>
        <v xml:space="preserve"> </v>
      </c>
    </row>
    <row r="1374" spans="1:14">
      <c r="A1374" s="37">
        <f t="shared" si="63"/>
        <v>1363</v>
      </c>
      <c r="G1374" s="48" t="str">
        <f>IF(F1374=""," ",IF(ISNA(VLOOKUP(D1374,'[2]stock-take'!$A:$E,4,FALSE)), "OUT OF STOCK", VLOOKUP(D1374,'[2]stock-take'!$A:$E,4,FALSE)))</f>
        <v xml:space="preserve"> </v>
      </c>
      <c r="H1374" s="48">
        <f>IF(ISNA(VLOOKUP(D1374,'[2]stock-take'!$A:$E,3,FALSE)), 0, VLOOKUP(D1374,'[2]stock-take'!$A:$E,3,FALSE))</f>
        <v>0</v>
      </c>
      <c r="I1374" s="48" t="str">
        <f>IF(F1374="", " ",IF(ISNA(VLOOKUP(D1374,'[2]stock-take'!$G:$K,4,FALSE)), "OUT OF STOCK", VLOOKUP(D1374,'[2]stock-take'!$G:$K,4,FALSE)))</f>
        <v xml:space="preserve"> </v>
      </c>
      <c r="J1374" s="39">
        <f>IF(ISNA(VLOOKUP(D1374,'[2]stock-take'!$G:$K,3,FALSE)), 0, VLOOKUP(D1374,'[2]stock-take'!$G:$K,3,FALSE))</f>
        <v>0</v>
      </c>
      <c r="K1374" s="49" t="str">
        <f>IF(F1374="", " ", IF(ISNA(VLOOKUP(D1374,'[2]stock-take'!$M:$Q,4,FALSE)), "OUT OF STOCK", VLOOKUP(D1374,'[2]stock-take'!$M:$Q,4,FALSE)))</f>
        <v xml:space="preserve"> </v>
      </c>
      <c r="L1374" s="47">
        <f>IF(ISNA(VLOOKUP(D1374,'[2]stock-take'!$M:$Q,3,FALSE)), 0, VLOOKUP(D1374,'[2]stock-take'!$M:$Q,3,FALSE))</f>
        <v>0</v>
      </c>
      <c r="M1374" s="48" t="str">
        <f t="shared" si="64"/>
        <v xml:space="preserve"> </v>
      </c>
      <c r="N1374" s="39" t="str">
        <f t="shared" si="65"/>
        <v xml:space="preserve"> </v>
      </c>
    </row>
    <row r="1375" spans="1:14">
      <c r="A1375" s="37">
        <f t="shared" si="63"/>
        <v>1364</v>
      </c>
      <c r="G1375" s="48" t="str">
        <f>IF(F1375=""," ",IF(ISNA(VLOOKUP(D1375,'[2]stock-take'!$A:$E,4,FALSE)), "OUT OF STOCK", VLOOKUP(D1375,'[2]stock-take'!$A:$E,4,FALSE)))</f>
        <v xml:space="preserve"> </v>
      </c>
      <c r="H1375" s="48">
        <f>IF(ISNA(VLOOKUP(D1375,'[2]stock-take'!$A:$E,3,FALSE)), 0, VLOOKUP(D1375,'[2]stock-take'!$A:$E,3,FALSE))</f>
        <v>0</v>
      </c>
      <c r="I1375" s="48" t="str">
        <f>IF(F1375="", " ",IF(ISNA(VLOOKUP(D1375,'[2]stock-take'!$G:$K,4,FALSE)), "OUT OF STOCK", VLOOKUP(D1375,'[2]stock-take'!$G:$K,4,FALSE)))</f>
        <v xml:space="preserve"> </v>
      </c>
      <c r="J1375" s="39">
        <f>IF(ISNA(VLOOKUP(D1375,'[2]stock-take'!$G:$K,3,FALSE)), 0, VLOOKUP(D1375,'[2]stock-take'!$G:$K,3,FALSE))</f>
        <v>0</v>
      </c>
      <c r="K1375" s="49" t="str">
        <f>IF(F1375="", " ", IF(ISNA(VLOOKUP(D1375,'[2]stock-take'!$M:$Q,4,FALSE)), "OUT OF STOCK", VLOOKUP(D1375,'[2]stock-take'!$M:$Q,4,FALSE)))</f>
        <v xml:space="preserve"> </v>
      </c>
      <c r="L1375" s="47">
        <f>IF(ISNA(VLOOKUP(D1375,'[2]stock-take'!$M:$Q,3,FALSE)), 0, VLOOKUP(D1375,'[2]stock-take'!$M:$Q,3,FALSE))</f>
        <v>0</v>
      </c>
      <c r="M1375" s="48" t="str">
        <f t="shared" si="64"/>
        <v xml:space="preserve"> </v>
      </c>
      <c r="N1375" s="39" t="str">
        <f t="shared" si="65"/>
        <v xml:space="preserve"> </v>
      </c>
    </row>
    <row r="1376" spans="1:14">
      <c r="A1376" s="37">
        <f t="shared" si="63"/>
        <v>1365</v>
      </c>
      <c r="G1376" s="48" t="str">
        <f>IF(F1376=""," ",IF(ISNA(VLOOKUP(D1376,'[2]stock-take'!$A:$E,4,FALSE)), "OUT OF STOCK", VLOOKUP(D1376,'[2]stock-take'!$A:$E,4,FALSE)))</f>
        <v xml:space="preserve"> </v>
      </c>
      <c r="H1376" s="48">
        <f>IF(ISNA(VLOOKUP(D1376,'[2]stock-take'!$A:$E,3,FALSE)), 0, VLOOKUP(D1376,'[2]stock-take'!$A:$E,3,FALSE))</f>
        <v>0</v>
      </c>
      <c r="I1376" s="48" t="str">
        <f>IF(F1376="", " ",IF(ISNA(VLOOKUP(D1376,'[2]stock-take'!$G:$K,4,FALSE)), "OUT OF STOCK", VLOOKUP(D1376,'[2]stock-take'!$G:$K,4,FALSE)))</f>
        <v xml:space="preserve"> </v>
      </c>
      <c r="J1376" s="39">
        <f>IF(ISNA(VLOOKUP(D1376,'[2]stock-take'!$G:$K,3,FALSE)), 0, VLOOKUP(D1376,'[2]stock-take'!$G:$K,3,FALSE))</f>
        <v>0</v>
      </c>
      <c r="K1376" s="49" t="str">
        <f>IF(F1376="", " ", IF(ISNA(VLOOKUP(D1376,'[2]stock-take'!$M:$Q,4,FALSE)), "OUT OF STOCK", VLOOKUP(D1376,'[2]stock-take'!$M:$Q,4,FALSE)))</f>
        <v xml:space="preserve"> </v>
      </c>
      <c r="L1376" s="47">
        <f>IF(ISNA(VLOOKUP(D1376,'[2]stock-take'!$M:$Q,3,FALSE)), 0, VLOOKUP(D1376,'[2]stock-take'!$M:$Q,3,FALSE))</f>
        <v>0</v>
      </c>
      <c r="M1376" s="48" t="str">
        <f t="shared" si="64"/>
        <v xml:space="preserve"> </v>
      </c>
      <c r="N1376" s="39" t="str">
        <f t="shared" si="65"/>
        <v xml:space="preserve"> </v>
      </c>
    </row>
    <row r="1377" spans="1:14">
      <c r="A1377" s="37">
        <f t="shared" si="63"/>
        <v>1366</v>
      </c>
      <c r="G1377" s="48" t="str">
        <f>IF(F1377=""," ",IF(ISNA(VLOOKUP(D1377,'[2]stock-take'!$A:$E,4,FALSE)), "OUT OF STOCK", VLOOKUP(D1377,'[2]stock-take'!$A:$E,4,FALSE)))</f>
        <v xml:space="preserve"> </v>
      </c>
      <c r="H1377" s="48">
        <f>IF(ISNA(VLOOKUP(D1377,'[2]stock-take'!$A:$E,3,FALSE)), 0, VLOOKUP(D1377,'[2]stock-take'!$A:$E,3,FALSE))</f>
        <v>0</v>
      </c>
      <c r="I1377" s="48" t="str">
        <f>IF(F1377="", " ",IF(ISNA(VLOOKUP(D1377,'[2]stock-take'!$G:$K,4,FALSE)), "OUT OF STOCK", VLOOKUP(D1377,'[2]stock-take'!$G:$K,4,FALSE)))</f>
        <v xml:space="preserve"> </v>
      </c>
      <c r="J1377" s="39">
        <f>IF(ISNA(VLOOKUP(D1377,'[2]stock-take'!$G:$K,3,FALSE)), 0, VLOOKUP(D1377,'[2]stock-take'!$G:$K,3,FALSE))</f>
        <v>0</v>
      </c>
      <c r="K1377" s="49" t="str">
        <f>IF(F1377="", " ", IF(ISNA(VLOOKUP(D1377,'[2]stock-take'!$M:$Q,4,FALSE)), "OUT OF STOCK", VLOOKUP(D1377,'[2]stock-take'!$M:$Q,4,FALSE)))</f>
        <v xml:space="preserve"> </v>
      </c>
      <c r="L1377" s="47">
        <f>IF(ISNA(VLOOKUP(D1377,'[2]stock-take'!$M:$Q,3,FALSE)), 0, VLOOKUP(D1377,'[2]stock-take'!$M:$Q,3,FALSE))</f>
        <v>0</v>
      </c>
      <c r="M1377" s="48" t="str">
        <f t="shared" si="64"/>
        <v xml:space="preserve"> </v>
      </c>
      <c r="N1377" s="39" t="str">
        <f t="shared" si="65"/>
        <v xml:space="preserve"> </v>
      </c>
    </row>
    <row r="1378" spans="1:14">
      <c r="A1378" s="37">
        <f t="shared" si="63"/>
        <v>1367</v>
      </c>
      <c r="G1378" s="48" t="str">
        <f>IF(F1378=""," ",IF(ISNA(VLOOKUP(D1378,'[2]stock-take'!$A:$E,4,FALSE)), "OUT OF STOCK", VLOOKUP(D1378,'[2]stock-take'!$A:$E,4,FALSE)))</f>
        <v xml:space="preserve"> </v>
      </c>
      <c r="H1378" s="48">
        <f>IF(ISNA(VLOOKUP(D1378,'[2]stock-take'!$A:$E,3,FALSE)), 0, VLOOKUP(D1378,'[2]stock-take'!$A:$E,3,FALSE))</f>
        <v>0</v>
      </c>
      <c r="I1378" s="48" t="str">
        <f>IF(F1378="", " ",IF(ISNA(VLOOKUP(D1378,'[2]stock-take'!$G:$K,4,FALSE)), "OUT OF STOCK", VLOOKUP(D1378,'[2]stock-take'!$G:$K,4,FALSE)))</f>
        <v xml:space="preserve"> </v>
      </c>
      <c r="J1378" s="39">
        <f>IF(ISNA(VLOOKUP(D1378,'[2]stock-take'!$G:$K,3,FALSE)), 0, VLOOKUP(D1378,'[2]stock-take'!$G:$K,3,FALSE))</f>
        <v>0</v>
      </c>
      <c r="K1378" s="49" t="str">
        <f>IF(F1378="", " ", IF(ISNA(VLOOKUP(D1378,'[2]stock-take'!$M:$Q,4,FALSE)), "OUT OF STOCK", VLOOKUP(D1378,'[2]stock-take'!$M:$Q,4,FALSE)))</f>
        <v xml:space="preserve"> </v>
      </c>
      <c r="L1378" s="47">
        <f>IF(ISNA(VLOOKUP(D1378,'[2]stock-take'!$M:$Q,3,FALSE)), 0, VLOOKUP(D1378,'[2]stock-take'!$M:$Q,3,FALSE))</f>
        <v>0</v>
      </c>
      <c r="M1378" s="48" t="str">
        <f t="shared" si="64"/>
        <v xml:space="preserve"> </v>
      </c>
      <c r="N1378" s="39" t="str">
        <f t="shared" si="65"/>
        <v xml:space="preserve"> </v>
      </c>
    </row>
    <row r="1379" spans="1:14">
      <c r="A1379" s="37">
        <f t="shared" si="63"/>
        <v>1368</v>
      </c>
      <c r="G1379" s="48" t="str">
        <f>IF(F1379=""," ",IF(ISNA(VLOOKUP(D1379,'[2]stock-take'!$A:$E,4,FALSE)), "OUT OF STOCK", VLOOKUP(D1379,'[2]stock-take'!$A:$E,4,FALSE)))</f>
        <v xml:space="preserve"> </v>
      </c>
      <c r="H1379" s="48">
        <f>IF(ISNA(VLOOKUP(D1379,'[2]stock-take'!$A:$E,3,FALSE)), 0, VLOOKUP(D1379,'[2]stock-take'!$A:$E,3,FALSE))</f>
        <v>0</v>
      </c>
      <c r="I1379" s="48" t="str">
        <f>IF(F1379="", " ",IF(ISNA(VLOOKUP(D1379,'[2]stock-take'!$G:$K,4,FALSE)), "OUT OF STOCK", VLOOKUP(D1379,'[2]stock-take'!$G:$K,4,FALSE)))</f>
        <v xml:space="preserve"> </v>
      </c>
      <c r="J1379" s="39">
        <f>IF(ISNA(VLOOKUP(D1379,'[2]stock-take'!$G:$K,3,FALSE)), 0, VLOOKUP(D1379,'[2]stock-take'!$G:$K,3,FALSE))</f>
        <v>0</v>
      </c>
      <c r="K1379" s="49" t="str">
        <f>IF(F1379="", " ", IF(ISNA(VLOOKUP(D1379,'[2]stock-take'!$M:$Q,4,FALSE)), "OUT OF STOCK", VLOOKUP(D1379,'[2]stock-take'!$M:$Q,4,FALSE)))</f>
        <v xml:space="preserve"> </v>
      </c>
      <c r="L1379" s="47">
        <f>IF(ISNA(VLOOKUP(D1379,'[2]stock-take'!$M:$Q,3,FALSE)), 0, VLOOKUP(D1379,'[2]stock-take'!$M:$Q,3,FALSE))</f>
        <v>0</v>
      </c>
      <c r="M1379" s="48" t="str">
        <f t="shared" si="64"/>
        <v xml:space="preserve"> </v>
      </c>
      <c r="N1379" s="39" t="str">
        <f t="shared" si="65"/>
        <v xml:space="preserve"> </v>
      </c>
    </row>
    <row r="1380" spans="1:14">
      <c r="A1380" s="37">
        <f t="shared" si="63"/>
        <v>1369</v>
      </c>
      <c r="G1380" s="48" t="str">
        <f>IF(F1380=""," ",IF(ISNA(VLOOKUP(D1380,'[2]stock-take'!$A:$E,4,FALSE)), "OUT OF STOCK", VLOOKUP(D1380,'[2]stock-take'!$A:$E,4,FALSE)))</f>
        <v xml:space="preserve"> </v>
      </c>
      <c r="H1380" s="48">
        <f>IF(ISNA(VLOOKUP(D1380,'[2]stock-take'!$A:$E,3,FALSE)), 0, VLOOKUP(D1380,'[2]stock-take'!$A:$E,3,FALSE))</f>
        <v>0</v>
      </c>
      <c r="I1380" s="48" t="str">
        <f>IF(F1380="", " ",IF(ISNA(VLOOKUP(D1380,'[2]stock-take'!$G:$K,4,FALSE)), "OUT OF STOCK", VLOOKUP(D1380,'[2]stock-take'!$G:$K,4,FALSE)))</f>
        <v xml:space="preserve"> </v>
      </c>
      <c r="J1380" s="39">
        <f>IF(ISNA(VLOOKUP(D1380,'[2]stock-take'!$G:$K,3,FALSE)), 0, VLOOKUP(D1380,'[2]stock-take'!$G:$K,3,FALSE))</f>
        <v>0</v>
      </c>
      <c r="K1380" s="49" t="str">
        <f>IF(F1380="", " ", IF(ISNA(VLOOKUP(D1380,'[2]stock-take'!$M:$Q,4,FALSE)), "OUT OF STOCK", VLOOKUP(D1380,'[2]stock-take'!$M:$Q,4,FALSE)))</f>
        <v xml:space="preserve"> </v>
      </c>
      <c r="L1380" s="47">
        <f>IF(ISNA(VLOOKUP(D1380,'[2]stock-take'!$M:$Q,3,FALSE)), 0, VLOOKUP(D1380,'[2]stock-take'!$M:$Q,3,FALSE))</f>
        <v>0</v>
      </c>
      <c r="M1380" s="48" t="str">
        <f t="shared" si="64"/>
        <v xml:space="preserve"> </v>
      </c>
      <c r="N1380" s="39" t="str">
        <f t="shared" si="65"/>
        <v xml:space="preserve"> </v>
      </c>
    </row>
    <row r="1381" spans="1:14">
      <c r="A1381" s="37">
        <f t="shared" si="63"/>
        <v>1370</v>
      </c>
      <c r="G1381" s="48" t="str">
        <f>IF(F1381=""," ",IF(ISNA(VLOOKUP(D1381,'[2]stock-take'!$A:$E,4,FALSE)), "OUT OF STOCK", VLOOKUP(D1381,'[2]stock-take'!$A:$E,4,FALSE)))</f>
        <v xml:space="preserve"> </v>
      </c>
      <c r="H1381" s="48">
        <f>IF(ISNA(VLOOKUP(D1381,'[2]stock-take'!$A:$E,3,FALSE)), 0, VLOOKUP(D1381,'[2]stock-take'!$A:$E,3,FALSE))</f>
        <v>0</v>
      </c>
      <c r="I1381" s="48" t="str">
        <f>IF(F1381="", " ",IF(ISNA(VLOOKUP(D1381,'[2]stock-take'!$G:$K,4,FALSE)), "OUT OF STOCK", VLOOKUP(D1381,'[2]stock-take'!$G:$K,4,FALSE)))</f>
        <v xml:space="preserve"> </v>
      </c>
      <c r="J1381" s="39">
        <f>IF(ISNA(VLOOKUP(D1381,'[2]stock-take'!$G:$K,3,FALSE)), 0, VLOOKUP(D1381,'[2]stock-take'!$G:$K,3,FALSE))</f>
        <v>0</v>
      </c>
      <c r="K1381" s="49" t="str">
        <f>IF(F1381="", " ", IF(ISNA(VLOOKUP(D1381,'[2]stock-take'!$M:$Q,4,FALSE)), "OUT OF STOCK", VLOOKUP(D1381,'[2]stock-take'!$M:$Q,4,FALSE)))</f>
        <v xml:space="preserve"> </v>
      </c>
      <c r="L1381" s="47">
        <f>IF(ISNA(VLOOKUP(D1381,'[2]stock-take'!$M:$Q,3,FALSE)), 0, VLOOKUP(D1381,'[2]stock-take'!$M:$Q,3,FALSE))</f>
        <v>0</v>
      </c>
      <c r="M1381" s="48" t="str">
        <f t="shared" si="64"/>
        <v xml:space="preserve"> </v>
      </c>
      <c r="N1381" s="39" t="str">
        <f t="shared" si="65"/>
        <v xml:space="preserve"> </v>
      </c>
    </row>
    <row r="1382" spans="1:14">
      <c r="A1382" s="37">
        <f t="shared" si="63"/>
        <v>1371</v>
      </c>
      <c r="G1382" s="48" t="str">
        <f>IF(F1382=""," ",IF(ISNA(VLOOKUP(D1382,'[2]stock-take'!$A:$E,4,FALSE)), "OUT OF STOCK", VLOOKUP(D1382,'[2]stock-take'!$A:$E,4,FALSE)))</f>
        <v xml:space="preserve"> </v>
      </c>
      <c r="H1382" s="48">
        <f>IF(ISNA(VLOOKUP(D1382,'[2]stock-take'!$A:$E,3,FALSE)), 0, VLOOKUP(D1382,'[2]stock-take'!$A:$E,3,FALSE))</f>
        <v>0</v>
      </c>
      <c r="I1382" s="48" t="str">
        <f>IF(F1382="", " ",IF(ISNA(VLOOKUP(D1382,'[2]stock-take'!$G:$K,4,FALSE)), "OUT OF STOCK", VLOOKUP(D1382,'[2]stock-take'!$G:$K,4,FALSE)))</f>
        <v xml:space="preserve"> </v>
      </c>
      <c r="J1382" s="39">
        <f>IF(ISNA(VLOOKUP(D1382,'[2]stock-take'!$G:$K,3,FALSE)), 0, VLOOKUP(D1382,'[2]stock-take'!$G:$K,3,FALSE))</f>
        <v>0</v>
      </c>
      <c r="K1382" s="49" t="str">
        <f>IF(F1382="", " ", IF(ISNA(VLOOKUP(D1382,'[2]stock-take'!$M:$Q,4,FALSE)), "OUT OF STOCK", VLOOKUP(D1382,'[2]stock-take'!$M:$Q,4,FALSE)))</f>
        <v xml:space="preserve"> </v>
      </c>
      <c r="L1382" s="47">
        <f>IF(ISNA(VLOOKUP(D1382,'[2]stock-take'!$M:$Q,3,FALSE)), 0, VLOOKUP(D1382,'[2]stock-take'!$M:$Q,3,FALSE))</f>
        <v>0</v>
      </c>
      <c r="M1382" s="48" t="str">
        <f t="shared" si="64"/>
        <v xml:space="preserve"> </v>
      </c>
      <c r="N1382" s="39" t="str">
        <f t="shared" si="65"/>
        <v xml:space="preserve"> </v>
      </c>
    </row>
    <row r="1383" spans="1:14">
      <c r="A1383" s="37">
        <f t="shared" si="63"/>
        <v>1372</v>
      </c>
      <c r="G1383" s="48" t="str">
        <f>IF(F1383=""," ",IF(ISNA(VLOOKUP(D1383,'[2]stock-take'!$A:$E,4,FALSE)), "OUT OF STOCK", VLOOKUP(D1383,'[2]stock-take'!$A:$E,4,FALSE)))</f>
        <v xml:space="preserve"> </v>
      </c>
      <c r="H1383" s="48">
        <f>IF(ISNA(VLOOKUP(D1383,'[2]stock-take'!$A:$E,3,FALSE)), 0, VLOOKUP(D1383,'[2]stock-take'!$A:$E,3,FALSE))</f>
        <v>0</v>
      </c>
      <c r="I1383" s="48" t="str">
        <f>IF(F1383="", " ",IF(ISNA(VLOOKUP(D1383,'[2]stock-take'!$G:$K,4,FALSE)), "OUT OF STOCK", VLOOKUP(D1383,'[2]stock-take'!$G:$K,4,FALSE)))</f>
        <v xml:space="preserve"> </v>
      </c>
      <c r="J1383" s="39">
        <f>IF(ISNA(VLOOKUP(D1383,'[2]stock-take'!$G:$K,3,FALSE)), 0, VLOOKUP(D1383,'[2]stock-take'!$G:$K,3,FALSE))</f>
        <v>0</v>
      </c>
      <c r="K1383" s="49" t="str">
        <f>IF(F1383="", " ", IF(ISNA(VLOOKUP(D1383,'[2]stock-take'!$M:$Q,4,FALSE)), "OUT OF STOCK", VLOOKUP(D1383,'[2]stock-take'!$M:$Q,4,FALSE)))</f>
        <v xml:space="preserve"> </v>
      </c>
      <c r="L1383" s="47">
        <f>IF(ISNA(VLOOKUP(D1383,'[2]stock-take'!$M:$Q,3,FALSE)), 0, VLOOKUP(D1383,'[2]stock-take'!$M:$Q,3,FALSE))</f>
        <v>0</v>
      </c>
      <c r="M1383" s="48" t="str">
        <f t="shared" si="64"/>
        <v xml:space="preserve"> </v>
      </c>
      <c r="N1383" s="39" t="str">
        <f t="shared" si="65"/>
        <v xml:space="preserve"> </v>
      </c>
    </row>
    <row r="1384" spans="1:14">
      <c r="A1384" s="37">
        <f t="shared" si="63"/>
        <v>1373</v>
      </c>
      <c r="G1384" s="48" t="str">
        <f>IF(F1384=""," ",IF(ISNA(VLOOKUP(D1384,'[2]stock-take'!$A:$E,4,FALSE)), "OUT OF STOCK", VLOOKUP(D1384,'[2]stock-take'!$A:$E,4,FALSE)))</f>
        <v xml:space="preserve"> </v>
      </c>
      <c r="H1384" s="48">
        <f>IF(ISNA(VLOOKUP(D1384,'[2]stock-take'!$A:$E,3,FALSE)), 0, VLOOKUP(D1384,'[2]stock-take'!$A:$E,3,FALSE))</f>
        <v>0</v>
      </c>
      <c r="I1384" s="48" t="str">
        <f>IF(F1384="", " ",IF(ISNA(VLOOKUP(D1384,'[2]stock-take'!$G:$K,4,FALSE)), "OUT OF STOCK", VLOOKUP(D1384,'[2]stock-take'!$G:$K,4,FALSE)))</f>
        <v xml:space="preserve"> </v>
      </c>
      <c r="J1384" s="39">
        <f>IF(ISNA(VLOOKUP(D1384,'[2]stock-take'!$G:$K,3,FALSE)), 0, VLOOKUP(D1384,'[2]stock-take'!$G:$K,3,FALSE))</f>
        <v>0</v>
      </c>
      <c r="K1384" s="49" t="str">
        <f>IF(F1384="", " ", IF(ISNA(VLOOKUP(D1384,'[2]stock-take'!$M:$Q,4,FALSE)), "OUT OF STOCK", VLOOKUP(D1384,'[2]stock-take'!$M:$Q,4,FALSE)))</f>
        <v xml:space="preserve"> </v>
      </c>
      <c r="L1384" s="47">
        <f>IF(ISNA(VLOOKUP(D1384,'[2]stock-take'!$M:$Q,3,FALSE)), 0, VLOOKUP(D1384,'[2]stock-take'!$M:$Q,3,FALSE))</f>
        <v>0</v>
      </c>
      <c r="M1384" s="48" t="str">
        <f t="shared" si="64"/>
        <v xml:space="preserve"> </v>
      </c>
      <c r="N1384" s="39" t="str">
        <f t="shared" si="65"/>
        <v xml:space="preserve"> </v>
      </c>
    </row>
    <row r="1385" spans="1:14">
      <c r="A1385" s="37">
        <f t="shared" si="63"/>
        <v>1374</v>
      </c>
      <c r="G1385" s="48" t="str">
        <f>IF(F1385=""," ",IF(ISNA(VLOOKUP(D1385,'[2]stock-take'!$A:$E,4,FALSE)), "OUT OF STOCK", VLOOKUP(D1385,'[2]stock-take'!$A:$E,4,FALSE)))</f>
        <v xml:space="preserve"> </v>
      </c>
      <c r="H1385" s="48">
        <f>IF(ISNA(VLOOKUP(D1385,'[2]stock-take'!$A:$E,3,FALSE)), 0, VLOOKUP(D1385,'[2]stock-take'!$A:$E,3,FALSE))</f>
        <v>0</v>
      </c>
      <c r="I1385" s="48" t="str">
        <f>IF(F1385="", " ",IF(ISNA(VLOOKUP(D1385,'[2]stock-take'!$G:$K,4,FALSE)), "OUT OF STOCK", VLOOKUP(D1385,'[2]stock-take'!$G:$K,4,FALSE)))</f>
        <v xml:space="preserve"> </v>
      </c>
      <c r="J1385" s="39">
        <f>IF(ISNA(VLOOKUP(D1385,'[2]stock-take'!$G:$K,3,FALSE)), 0, VLOOKUP(D1385,'[2]stock-take'!$G:$K,3,FALSE))</f>
        <v>0</v>
      </c>
      <c r="K1385" s="49" t="str">
        <f>IF(F1385="", " ", IF(ISNA(VLOOKUP(D1385,'[2]stock-take'!$M:$Q,4,FALSE)), "OUT OF STOCK", VLOOKUP(D1385,'[2]stock-take'!$M:$Q,4,FALSE)))</f>
        <v xml:space="preserve"> </v>
      </c>
      <c r="L1385" s="47">
        <f>IF(ISNA(VLOOKUP(D1385,'[2]stock-take'!$M:$Q,3,FALSE)), 0, VLOOKUP(D1385,'[2]stock-take'!$M:$Q,3,FALSE))</f>
        <v>0</v>
      </c>
      <c r="M1385" s="48" t="str">
        <f t="shared" si="64"/>
        <v xml:space="preserve"> </v>
      </c>
      <c r="N1385" s="39" t="str">
        <f t="shared" si="65"/>
        <v xml:space="preserve"> </v>
      </c>
    </row>
    <row r="1386" spans="1:14">
      <c r="A1386" s="37">
        <f t="shared" si="63"/>
        <v>1375</v>
      </c>
      <c r="G1386" s="48" t="str">
        <f>IF(F1386=""," ",IF(ISNA(VLOOKUP(D1386,'[2]stock-take'!$A:$E,4,FALSE)), "OUT OF STOCK", VLOOKUP(D1386,'[2]stock-take'!$A:$E,4,FALSE)))</f>
        <v xml:space="preserve"> </v>
      </c>
      <c r="H1386" s="48">
        <f>IF(ISNA(VLOOKUP(D1386,'[2]stock-take'!$A:$E,3,FALSE)), 0, VLOOKUP(D1386,'[2]stock-take'!$A:$E,3,FALSE))</f>
        <v>0</v>
      </c>
      <c r="I1386" s="48" t="str">
        <f>IF(F1386="", " ",IF(ISNA(VLOOKUP(D1386,'[2]stock-take'!$G:$K,4,FALSE)), "OUT OF STOCK", VLOOKUP(D1386,'[2]stock-take'!$G:$K,4,FALSE)))</f>
        <v xml:space="preserve"> </v>
      </c>
      <c r="J1386" s="39">
        <f>IF(ISNA(VLOOKUP(D1386,'[2]stock-take'!$G:$K,3,FALSE)), 0, VLOOKUP(D1386,'[2]stock-take'!$G:$K,3,FALSE))</f>
        <v>0</v>
      </c>
      <c r="K1386" s="49" t="str">
        <f>IF(F1386="", " ", IF(ISNA(VLOOKUP(D1386,'[2]stock-take'!$M:$Q,4,FALSE)), "OUT OF STOCK", VLOOKUP(D1386,'[2]stock-take'!$M:$Q,4,FALSE)))</f>
        <v xml:space="preserve"> </v>
      </c>
      <c r="L1386" s="47">
        <f>IF(ISNA(VLOOKUP(D1386,'[2]stock-take'!$M:$Q,3,FALSE)), 0, VLOOKUP(D1386,'[2]stock-take'!$M:$Q,3,FALSE))</f>
        <v>0</v>
      </c>
      <c r="M1386" s="48" t="str">
        <f t="shared" si="64"/>
        <v xml:space="preserve"> </v>
      </c>
      <c r="N1386" s="39" t="str">
        <f t="shared" si="65"/>
        <v xml:space="preserve"> </v>
      </c>
    </row>
    <row r="1387" spans="1:14">
      <c r="A1387" s="37">
        <f t="shared" si="63"/>
        <v>1376</v>
      </c>
      <c r="G1387" s="48" t="str">
        <f>IF(F1387=""," ",IF(ISNA(VLOOKUP(D1387,'[2]stock-take'!$A:$E,4,FALSE)), "OUT OF STOCK", VLOOKUP(D1387,'[2]stock-take'!$A:$E,4,FALSE)))</f>
        <v xml:space="preserve"> </v>
      </c>
      <c r="H1387" s="48">
        <f>IF(ISNA(VLOOKUP(D1387,'[2]stock-take'!$A:$E,3,FALSE)), 0, VLOOKUP(D1387,'[2]stock-take'!$A:$E,3,FALSE))</f>
        <v>0</v>
      </c>
      <c r="I1387" s="48" t="str">
        <f>IF(F1387="", " ",IF(ISNA(VLOOKUP(D1387,'[2]stock-take'!$G:$K,4,FALSE)), "OUT OF STOCK", VLOOKUP(D1387,'[2]stock-take'!$G:$K,4,FALSE)))</f>
        <v xml:space="preserve"> </v>
      </c>
      <c r="J1387" s="39">
        <f>IF(ISNA(VLOOKUP(D1387,'[2]stock-take'!$G:$K,3,FALSE)), 0, VLOOKUP(D1387,'[2]stock-take'!$G:$K,3,FALSE))</f>
        <v>0</v>
      </c>
      <c r="K1387" s="49" t="str">
        <f>IF(F1387="", " ", IF(ISNA(VLOOKUP(D1387,'[2]stock-take'!$M:$Q,4,FALSE)), "OUT OF STOCK", VLOOKUP(D1387,'[2]stock-take'!$M:$Q,4,FALSE)))</f>
        <v xml:space="preserve"> </v>
      </c>
      <c r="L1387" s="47">
        <f>IF(ISNA(VLOOKUP(D1387,'[2]stock-take'!$M:$Q,3,FALSE)), 0, VLOOKUP(D1387,'[2]stock-take'!$M:$Q,3,FALSE))</f>
        <v>0</v>
      </c>
      <c r="M1387" s="48" t="str">
        <f t="shared" si="64"/>
        <v xml:space="preserve"> </v>
      </c>
      <c r="N1387" s="39" t="str">
        <f t="shared" si="65"/>
        <v xml:space="preserve"> </v>
      </c>
    </row>
    <row r="1388" spans="1:14">
      <c r="A1388" s="37">
        <f t="shared" si="63"/>
        <v>1377</v>
      </c>
      <c r="G1388" s="48" t="str">
        <f>IF(F1388=""," ",IF(ISNA(VLOOKUP(D1388,'[2]stock-take'!$A:$E,4,FALSE)), "OUT OF STOCK", VLOOKUP(D1388,'[2]stock-take'!$A:$E,4,FALSE)))</f>
        <v xml:space="preserve"> </v>
      </c>
      <c r="H1388" s="48">
        <f>IF(ISNA(VLOOKUP(D1388,'[2]stock-take'!$A:$E,3,FALSE)), 0, VLOOKUP(D1388,'[2]stock-take'!$A:$E,3,FALSE))</f>
        <v>0</v>
      </c>
      <c r="I1388" s="48" t="str">
        <f>IF(F1388="", " ",IF(ISNA(VLOOKUP(D1388,'[2]stock-take'!$G:$K,4,FALSE)), "OUT OF STOCK", VLOOKUP(D1388,'[2]stock-take'!$G:$K,4,FALSE)))</f>
        <v xml:space="preserve"> </v>
      </c>
      <c r="J1388" s="39">
        <f>IF(ISNA(VLOOKUP(D1388,'[2]stock-take'!$G:$K,3,FALSE)), 0, VLOOKUP(D1388,'[2]stock-take'!$G:$K,3,FALSE))</f>
        <v>0</v>
      </c>
      <c r="K1388" s="49" t="str">
        <f>IF(F1388="", " ", IF(ISNA(VLOOKUP(D1388,'[2]stock-take'!$M:$Q,4,FALSE)), "OUT OF STOCK", VLOOKUP(D1388,'[2]stock-take'!$M:$Q,4,FALSE)))</f>
        <v xml:space="preserve"> </v>
      </c>
      <c r="L1388" s="47">
        <f>IF(ISNA(VLOOKUP(D1388,'[2]stock-take'!$M:$Q,3,FALSE)), 0, VLOOKUP(D1388,'[2]stock-take'!$M:$Q,3,FALSE))</f>
        <v>0</v>
      </c>
      <c r="M1388" s="48" t="str">
        <f t="shared" si="64"/>
        <v xml:space="preserve"> </v>
      </c>
      <c r="N1388" s="39" t="str">
        <f t="shared" si="65"/>
        <v xml:space="preserve"> </v>
      </c>
    </row>
    <row r="1389" spans="1:14">
      <c r="A1389" s="37">
        <f t="shared" si="63"/>
        <v>1378</v>
      </c>
      <c r="G1389" s="48" t="str">
        <f>IF(F1389=""," ",IF(ISNA(VLOOKUP(D1389,'[2]stock-take'!$A:$E,4,FALSE)), "OUT OF STOCK", VLOOKUP(D1389,'[2]stock-take'!$A:$E,4,FALSE)))</f>
        <v xml:space="preserve"> </v>
      </c>
      <c r="H1389" s="48">
        <f>IF(ISNA(VLOOKUP(D1389,'[2]stock-take'!$A:$E,3,FALSE)), 0, VLOOKUP(D1389,'[2]stock-take'!$A:$E,3,FALSE))</f>
        <v>0</v>
      </c>
      <c r="I1389" s="48" t="str">
        <f>IF(F1389="", " ",IF(ISNA(VLOOKUP(D1389,'[2]stock-take'!$G:$K,4,FALSE)), "OUT OF STOCK", VLOOKUP(D1389,'[2]stock-take'!$G:$K,4,FALSE)))</f>
        <v xml:space="preserve"> </v>
      </c>
      <c r="J1389" s="39">
        <f>IF(ISNA(VLOOKUP(D1389,'[2]stock-take'!$G:$K,3,FALSE)), 0, VLOOKUP(D1389,'[2]stock-take'!$G:$K,3,FALSE))</f>
        <v>0</v>
      </c>
      <c r="K1389" s="49" t="str">
        <f>IF(F1389="", " ", IF(ISNA(VLOOKUP(D1389,'[2]stock-take'!$M:$Q,4,FALSE)), "OUT OF STOCK", VLOOKUP(D1389,'[2]stock-take'!$M:$Q,4,FALSE)))</f>
        <v xml:space="preserve"> </v>
      </c>
      <c r="L1389" s="47">
        <f>IF(ISNA(VLOOKUP(D1389,'[2]stock-take'!$M:$Q,3,FALSE)), 0, VLOOKUP(D1389,'[2]stock-take'!$M:$Q,3,FALSE))</f>
        <v>0</v>
      </c>
      <c r="M1389" s="48" t="str">
        <f t="shared" si="64"/>
        <v xml:space="preserve"> </v>
      </c>
      <c r="N1389" s="39" t="str">
        <f t="shared" si="65"/>
        <v xml:space="preserve"> </v>
      </c>
    </row>
    <row r="1390" spans="1:14">
      <c r="A1390" s="37">
        <f t="shared" si="63"/>
        <v>1379</v>
      </c>
      <c r="G1390" s="48" t="str">
        <f>IF(F1390=""," ",IF(ISNA(VLOOKUP(D1390,'[2]stock-take'!$A:$E,4,FALSE)), "OUT OF STOCK", VLOOKUP(D1390,'[2]stock-take'!$A:$E,4,FALSE)))</f>
        <v xml:space="preserve"> </v>
      </c>
      <c r="H1390" s="48">
        <f>IF(ISNA(VLOOKUP(D1390,'[2]stock-take'!$A:$E,3,FALSE)), 0, VLOOKUP(D1390,'[2]stock-take'!$A:$E,3,FALSE))</f>
        <v>0</v>
      </c>
      <c r="I1390" s="48" t="str">
        <f>IF(F1390="", " ",IF(ISNA(VLOOKUP(D1390,'[2]stock-take'!$G:$K,4,FALSE)), "OUT OF STOCK", VLOOKUP(D1390,'[2]stock-take'!$G:$K,4,FALSE)))</f>
        <v xml:space="preserve"> </v>
      </c>
      <c r="J1390" s="39">
        <f>IF(ISNA(VLOOKUP(D1390,'[2]stock-take'!$G:$K,3,FALSE)), 0, VLOOKUP(D1390,'[2]stock-take'!$G:$K,3,FALSE))</f>
        <v>0</v>
      </c>
      <c r="K1390" s="49" t="str">
        <f>IF(F1390="", " ", IF(ISNA(VLOOKUP(D1390,'[2]stock-take'!$M:$Q,4,FALSE)), "OUT OF STOCK", VLOOKUP(D1390,'[2]stock-take'!$M:$Q,4,FALSE)))</f>
        <v xml:space="preserve"> </v>
      </c>
      <c r="L1390" s="47">
        <f>IF(ISNA(VLOOKUP(D1390,'[2]stock-take'!$M:$Q,3,FALSE)), 0, VLOOKUP(D1390,'[2]stock-take'!$M:$Q,3,FALSE))</f>
        <v>0</v>
      </c>
      <c r="M1390" s="48" t="str">
        <f t="shared" si="64"/>
        <v xml:space="preserve"> </v>
      </c>
      <c r="N1390" s="39" t="str">
        <f t="shared" si="65"/>
        <v xml:space="preserve"> </v>
      </c>
    </row>
    <row r="1391" spans="1:14">
      <c r="A1391" s="37">
        <f t="shared" si="63"/>
        <v>1380</v>
      </c>
      <c r="G1391" s="48" t="str">
        <f>IF(F1391=""," ",IF(ISNA(VLOOKUP(D1391,'[2]stock-take'!$A:$E,4,FALSE)), "OUT OF STOCK", VLOOKUP(D1391,'[2]stock-take'!$A:$E,4,FALSE)))</f>
        <v xml:space="preserve"> </v>
      </c>
      <c r="H1391" s="48">
        <f>IF(ISNA(VLOOKUP(D1391,'[2]stock-take'!$A:$E,3,FALSE)), 0, VLOOKUP(D1391,'[2]stock-take'!$A:$E,3,FALSE))</f>
        <v>0</v>
      </c>
      <c r="I1391" s="48" t="str">
        <f>IF(F1391="", " ",IF(ISNA(VLOOKUP(D1391,'[2]stock-take'!$G:$K,4,FALSE)), "OUT OF STOCK", VLOOKUP(D1391,'[2]stock-take'!$G:$K,4,FALSE)))</f>
        <v xml:space="preserve"> </v>
      </c>
      <c r="J1391" s="39">
        <f>IF(ISNA(VLOOKUP(D1391,'[2]stock-take'!$G:$K,3,FALSE)), 0, VLOOKUP(D1391,'[2]stock-take'!$G:$K,3,FALSE))</f>
        <v>0</v>
      </c>
      <c r="K1391" s="49" t="str">
        <f>IF(F1391="", " ", IF(ISNA(VLOOKUP(D1391,'[2]stock-take'!$M:$Q,4,FALSE)), "OUT OF STOCK", VLOOKUP(D1391,'[2]stock-take'!$M:$Q,4,FALSE)))</f>
        <v xml:space="preserve"> </v>
      </c>
      <c r="L1391" s="47">
        <f>IF(ISNA(VLOOKUP(D1391,'[2]stock-take'!$M:$Q,3,FALSE)), 0, VLOOKUP(D1391,'[2]stock-take'!$M:$Q,3,FALSE))</f>
        <v>0</v>
      </c>
      <c r="M1391" s="48" t="str">
        <f t="shared" si="64"/>
        <v xml:space="preserve"> </v>
      </c>
      <c r="N1391" s="39" t="str">
        <f t="shared" si="65"/>
        <v xml:space="preserve"> </v>
      </c>
    </row>
    <row r="1392" spans="1:14">
      <c r="A1392" s="37">
        <f t="shared" si="63"/>
        <v>1381</v>
      </c>
      <c r="G1392" s="48" t="str">
        <f>IF(F1392=""," ",IF(ISNA(VLOOKUP(D1392,'[2]stock-take'!$A:$E,4,FALSE)), "OUT OF STOCK", VLOOKUP(D1392,'[2]stock-take'!$A:$E,4,FALSE)))</f>
        <v xml:space="preserve"> </v>
      </c>
      <c r="H1392" s="48">
        <f>IF(ISNA(VLOOKUP(D1392,'[2]stock-take'!$A:$E,3,FALSE)), 0, VLOOKUP(D1392,'[2]stock-take'!$A:$E,3,FALSE))</f>
        <v>0</v>
      </c>
      <c r="I1392" s="48" t="str">
        <f>IF(F1392="", " ",IF(ISNA(VLOOKUP(D1392,'[2]stock-take'!$G:$K,4,FALSE)), "OUT OF STOCK", VLOOKUP(D1392,'[2]stock-take'!$G:$K,4,FALSE)))</f>
        <v xml:space="preserve"> </v>
      </c>
      <c r="J1392" s="39">
        <f>IF(ISNA(VLOOKUP(D1392,'[2]stock-take'!$G:$K,3,FALSE)), 0, VLOOKUP(D1392,'[2]stock-take'!$G:$K,3,FALSE))</f>
        <v>0</v>
      </c>
      <c r="K1392" s="49" t="str">
        <f>IF(F1392="", " ", IF(ISNA(VLOOKUP(D1392,'[2]stock-take'!$M:$Q,4,FALSE)), "OUT OF STOCK", VLOOKUP(D1392,'[2]stock-take'!$M:$Q,4,FALSE)))</f>
        <v xml:space="preserve"> </v>
      </c>
      <c r="L1392" s="47">
        <f>IF(ISNA(VLOOKUP(D1392,'[2]stock-take'!$M:$Q,3,FALSE)), 0, VLOOKUP(D1392,'[2]stock-take'!$M:$Q,3,FALSE))</f>
        <v>0</v>
      </c>
      <c r="M1392" s="48" t="str">
        <f t="shared" si="64"/>
        <v xml:space="preserve"> </v>
      </c>
      <c r="N1392" s="39" t="str">
        <f t="shared" si="65"/>
        <v xml:space="preserve"> </v>
      </c>
    </row>
    <row r="1393" spans="1:14">
      <c r="A1393" s="37">
        <f t="shared" si="63"/>
        <v>1382</v>
      </c>
      <c r="G1393" s="48" t="str">
        <f>IF(F1393=""," ",IF(ISNA(VLOOKUP(D1393,'[2]stock-take'!$A:$E,4,FALSE)), "OUT OF STOCK", VLOOKUP(D1393,'[2]stock-take'!$A:$E,4,FALSE)))</f>
        <v xml:space="preserve"> </v>
      </c>
      <c r="H1393" s="48">
        <f>IF(ISNA(VLOOKUP(D1393,'[2]stock-take'!$A:$E,3,FALSE)), 0, VLOOKUP(D1393,'[2]stock-take'!$A:$E,3,FALSE))</f>
        <v>0</v>
      </c>
      <c r="I1393" s="48" t="str">
        <f>IF(F1393="", " ",IF(ISNA(VLOOKUP(D1393,'[2]stock-take'!$G:$K,4,FALSE)), "OUT OF STOCK", VLOOKUP(D1393,'[2]stock-take'!$G:$K,4,FALSE)))</f>
        <v xml:space="preserve"> </v>
      </c>
      <c r="J1393" s="39">
        <f>IF(ISNA(VLOOKUP(D1393,'[2]stock-take'!$G:$K,3,FALSE)), 0, VLOOKUP(D1393,'[2]stock-take'!$G:$K,3,FALSE))</f>
        <v>0</v>
      </c>
      <c r="K1393" s="49" t="str">
        <f>IF(F1393="", " ", IF(ISNA(VLOOKUP(D1393,'[2]stock-take'!$M:$Q,4,FALSE)), "OUT OF STOCK", VLOOKUP(D1393,'[2]stock-take'!$M:$Q,4,FALSE)))</f>
        <v xml:space="preserve"> </v>
      </c>
      <c r="L1393" s="47">
        <f>IF(ISNA(VLOOKUP(D1393,'[2]stock-take'!$M:$Q,3,FALSE)), 0, VLOOKUP(D1393,'[2]stock-take'!$M:$Q,3,FALSE))</f>
        <v>0</v>
      </c>
      <c r="M1393" s="48" t="str">
        <f t="shared" si="64"/>
        <v xml:space="preserve"> </v>
      </c>
      <c r="N1393" s="39" t="str">
        <f t="shared" si="65"/>
        <v xml:space="preserve"> </v>
      </c>
    </row>
    <row r="1394" spans="1:14">
      <c r="A1394" s="37">
        <f t="shared" si="63"/>
        <v>1383</v>
      </c>
      <c r="G1394" s="48" t="str">
        <f>IF(F1394=""," ",IF(ISNA(VLOOKUP(D1394,'[2]stock-take'!$A:$E,4,FALSE)), "OUT OF STOCK", VLOOKUP(D1394,'[2]stock-take'!$A:$E,4,FALSE)))</f>
        <v xml:space="preserve"> </v>
      </c>
      <c r="H1394" s="48">
        <f>IF(ISNA(VLOOKUP(D1394,'[2]stock-take'!$A:$E,3,FALSE)), 0, VLOOKUP(D1394,'[2]stock-take'!$A:$E,3,FALSE))</f>
        <v>0</v>
      </c>
      <c r="I1394" s="48" t="str">
        <f>IF(F1394="", " ",IF(ISNA(VLOOKUP(D1394,'[2]stock-take'!$G:$K,4,FALSE)), "OUT OF STOCK", VLOOKUP(D1394,'[2]stock-take'!$G:$K,4,FALSE)))</f>
        <v xml:space="preserve"> </v>
      </c>
      <c r="J1394" s="39">
        <f>IF(ISNA(VLOOKUP(D1394,'[2]stock-take'!$G:$K,3,FALSE)), 0, VLOOKUP(D1394,'[2]stock-take'!$G:$K,3,FALSE))</f>
        <v>0</v>
      </c>
      <c r="K1394" s="49" t="str">
        <f>IF(F1394="", " ", IF(ISNA(VLOOKUP(D1394,'[2]stock-take'!$M:$Q,4,FALSE)), "OUT OF STOCK", VLOOKUP(D1394,'[2]stock-take'!$M:$Q,4,FALSE)))</f>
        <v xml:space="preserve"> </v>
      </c>
      <c r="L1394" s="47">
        <f>IF(ISNA(VLOOKUP(D1394,'[2]stock-take'!$M:$Q,3,FALSE)), 0, VLOOKUP(D1394,'[2]stock-take'!$M:$Q,3,FALSE))</f>
        <v>0</v>
      </c>
      <c r="M1394" s="48" t="str">
        <f t="shared" si="64"/>
        <v xml:space="preserve"> </v>
      </c>
      <c r="N1394" s="39" t="str">
        <f t="shared" si="65"/>
        <v xml:space="preserve"> </v>
      </c>
    </row>
    <row r="1395" spans="1:14">
      <c r="A1395" s="37">
        <f t="shared" si="63"/>
        <v>1384</v>
      </c>
      <c r="G1395" s="48" t="str">
        <f>IF(F1395=""," ",IF(ISNA(VLOOKUP(D1395,'[2]stock-take'!$A:$E,4,FALSE)), "OUT OF STOCK", VLOOKUP(D1395,'[2]stock-take'!$A:$E,4,FALSE)))</f>
        <v xml:space="preserve"> </v>
      </c>
      <c r="H1395" s="48">
        <f>IF(ISNA(VLOOKUP(D1395,'[2]stock-take'!$A:$E,3,FALSE)), 0, VLOOKUP(D1395,'[2]stock-take'!$A:$E,3,FALSE))</f>
        <v>0</v>
      </c>
      <c r="I1395" s="48" t="str">
        <f>IF(F1395="", " ",IF(ISNA(VLOOKUP(D1395,'[2]stock-take'!$G:$K,4,FALSE)), "OUT OF STOCK", VLOOKUP(D1395,'[2]stock-take'!$G:$K,4,FALSE)))</f>
        <v xml:space="preserve"> </v>
      </c>
      <c r="J1395" s="39">
        <f>IF(ISNA(VLOOKUP(D1395,'[2]stock-take'!$G:$K,3,FALSE)), 0, VLOOKUP(D1395,'[2]stock-take'!$G:$K,3,FALSE))</f>
        <v>0</v>
      </c>
      <c r="K1395" s="49" t="str">
        <f>IF(F1395="", " ", IF(ISNA(VLOOKUP(D1395,'[2]stock-take'!$M:$Q,4,FALSE)), "OUT OF STOCK", VLOOKUP(D1395,'[2]stock-take'!$M:$Q,4,FALSE)))</f>
        <v xml:space="preserve"> </v>
      </c>
      <c r="L1395" s="47">
        <f>IF(ISNA(VLOOKUP(D1395,'[2]stock-take'!$M:$Q,3,FALSE)), 0, VLOOKUP(D1395,'[2]stock-take'!$M:$Q,3,FALSE))</f>
        <v>0</v>
      </c>
      <c r="M1395" s="48" t="str">
        <f t="shared" si="64"/>
        <v xml:space="preserve"> </v>
      </c>
      <c r="N1395" s="39" t="str">
        <f t="shared" si="65"/>
        <v xml:space="preserve"> </v>
      </c>
    </row>
    <row r="1396" spans="1:14">
      <c r="A1396" s="37">
        <f t="shared" si="63"/>
        <v>1385</v>
      </c>
      <c r="G1396" s="48" t="str">
        <f>IF(F1396=""," ",IF(ISNA(VLOOKUP(D1396,'[2]stock-take'!$A:$E,4,FALSE)), "OUT OF STOCK", VLOOKUP(D1396,'[2]stock-take'!$A:$E,4,FALSE)))</f>
        <v xml:space="preserve"> </v>
      </c>
      <c r="H1396" s="48">
        <f>IF(ISNA(VLOOKUP(D1396,'[2]stock-take'!$A:$E,3,FALSE)), 0, VLOOKUP(D1396,'[2]stock-take'!$A:$E,3,FALSE))</f>
        <v>0</v>
      </c>
      <c r="I1396" s="48" t="str">
        <f>IF(F1396="", " ",IF(ISNA(VLOOKUP(D1396,'[2]stock-take'!$G:$K,4,FALSE)), "OUT OF STOCK", VLOOKUP(D1396,'[2]stock-take'!$G:$K,4,FALSE)))</f>
        <v xml:space="preserve"> </v>
      </c>
      <c r="J1396" s="39">
        <f>IF(ISNA(VLOOKUP(D1396,'[2]stock-take'!$G:$K,3,FALSE)), 0, VLOOKUP(D1396,'[2]stock-take'!$G:$K,3,FALSE))</f>
        <v>0</v>
      </c>
      <c r="K1396" s="49" t="str">
        <f>IF(F1396="", " ", IF(ISNA(VLOOKUP(D1396,'[2]stock-take'!$M:$Q,4,FALSE)), "OUT OF STOCK", VLOOKUP(D1396,'[2]stock-take'!$M:$Q,4,FALSE)))</f>
        <v xml:space="preserve"> </v>
      </c>
      <c r="L1396" s="47">
        <f>IF(ISNA(VLOOKUP(D1396,'[2]stock-take'!$M:$Q,3,FALSE)), 0, VLOOKUP(D1396,'[2]stock-take'!$M:$Q,3,FALSE))</f>
        <v>0</v>
      </c>
      <c r="M1396" s="48" t="str">
        <f t="shared" si="64"/>
        <v xml:space="preserve"> </v>
      </c>
      <c r="N1396" s="39" t="str">
        <f t="shared" si="65"/>
        <v xml:space="preserve"> </v>
      </c>
    </row>
    <row r="1397" spans="1:14">
      <c r="A1397" s="37">
        <f t="shared" si="63"/>
        <v>1386</v>
      </c>
      <c r="G1397" s="48" t="str">
        <f>IF(F1397=""," ",IF(ISNA(VLOOKUP(D1397,'[2]stock-take'!$A:$E,4,FALSE)), "OUT OF STOCK", VLOOKUP(D1397,'[2]stock-take'!$A:$E,4,FALSE)))</f>
        <v xml:space="preserve"> </v>
      </c>
      <c r="H1397" s="48">
        <f>IF(ISNA(VLOOKUP(D1397,'[2]stock-take'!$A:$E,3,FALSE)), 0, VLOOKUP(D1397,'[2]stock-take'!$A:$E,3,FALSE))</f>
        <v>0</v>
      </c>
      <c r="I1397" s="48" t="str">
        <f>IF(F1397="", " ",IF(ISNA(VLOOKUP(D1397,'[2]stock-take'!$G:$K,4,FALSE)), "OUT OF STOCK", VLOOKUP(D1397,'[2]stock-take'!$G:$K,4,FALSE)))</f>
        <v xml:space="preserve"> </v>
      </c>
      <c r="J1397" s="39">
        <f>IF(ISNA(VLOOKUP(D1397,'[2]stock-take'!$G:$K,3,FALSE)), 0, VLOOKUP(D1397,'[2]stock-take'!$G:$K,3,FALSE))</f>
        <v>0</v>
      </c>
      <c r="K1397" s="49" t="str">
        <f>IF(F1397="", " ", IF(ISNA(VLOOKUP(D1397,'[2]stock-take'!$M:$Q,4,FALSE)), "OUT OF STOCK", VLOOKUP(D1397,'[2]stock-take'!$M:$Q,4,FALSE)))</f>
        <v xml:space="preserve"> </v>
      </c>
      <c r="L1397" s="47">
        <f>IF(ISNA(VLOOKUP(D1397,'[2]stock-take'!$M:$Q,3,FALSE)), 0, VLOOKUP(D1397,'[2]stock-take'!$M:$Q,3,FALSE))</f>
        <v>0</v>
      </c>
      <c r="M1397" s="48" t="str">
        <f t="shared" si="64"/>
        <v xml:space="preserve"> </v>
      </c>
      <c r="N1397" s="39" t="str">
        <f t="shared" si="65"/>
        <v xml:space="preserve"> </v>
      </c>
    </row>
    <row r="1398" spans="1:14">
      <c r="A1398" s="37">
        <f t="shared" si="63"/>
        <v>1387</v>
      </c>
      <c r="G1398" s="48" t="str">
        <f>IF(F1398=""," ",IF(ISNA(VLOOKUP(D1398,'[2]stock-take'!$A:$E,4,FALSE)), "OUT OF STOCK", VLOOKUP(D1398,'[2]stock-take'!$A:$E,4,FALSE)))</f>
        <v xml:space="preserve"> </v>
      </c>
      <c r="H1398" s="48">
        <f>IF(ISNA(VLOOKUP(D1398,'[2]stock-take'!$A:$E,3,FALSE)), 0, VLOOKUP(D1398,'[2]stock-take'!$A:$E,3,FALSE))</f>
        <v>0</v>
      </c>
      <c r="I1398" s="48" t="str">
        <f>IF(F1398="", " ",IF(ISNA(VLOOKUP(D1398,'[2]stock-take'!$G:$K,4,FALSE)), "OUT OF STOCK", VLOOKUP(D1398,'[2]stock-take'!$G:$K,4,FALSE)))</f>
        <v xml:space="preserve"> </v>
      </c>
      <c r="J1398" s="39">
        <f>IF(ISNA(VLOOKUP(D1398,'[2]stock-take'!$G:$K,3,FALSE)), 0, VLOOKUP(D1398,'[2]stock-take'!$G:$K,3,FALSE))</f>
        <v>0</v>
      </c>
      <c r="K1398" s="49" t="str">
        <f>IF(F1398="", " ", IF(ISNA(VLOOKUP(D1398,'[2]stock-take'!$M:$Q,4,FALSE)), "OUT OF STOCK", VLOOKUP(D1398,'[2]stock-take'!$M:$Q,4,FALSE)))</f>
        <v xml:space="preserve"> </v>
      </c>
      <c r="L1398" s="47">
        <f>IF(ISNA(VLOOKUP(D1398,'[2]stock-take'!$M:$Q,3,FALSE)), 0, VLOOKUP(D1398,'[2]stock-take'!$M:$Q,3,FALSE))</f>
        <v>0</v>
      </c>
      <c r="M1398" s="48" t="str">
        <f t="shared" si="64"/>
        <v xml:space="preserve"> </v>
      </c>
      <c r="N1398" s="39" t="str">
        <f t="shared" si="65"/>
        <v xml:space="preserve"> </v>
      </c>
    </row>
    <row r="1399" spans="1:14">
      <c r="A1399" s="37">
        <f t="shared" si="63"/>
        <v>1388</v>
      </c>
      <c r="G1399" s="48" t="str">
        <f>IF(F1399=""," ",IF(ISNA(VLOOKUP(D1399,'[2]stock-take'!$A:$E,4,FALSE)), "OUT OF STOCK", VLOOKUP(D1399,'[2]stock-take'!$A:$E,4,FALSE)))</f>
        <v xml:space="preserve"> </v>
      </c>
      <c r="H1399" s="48">
        <f>IF(ISNA(VLOOKUP(D1399,'[2]stock-take'!$A:$E,3,FALSE)), 0, VLOOKUP(D1399,'[2]stock-take'!$A:$E,3,FALSE))</f>
        <v>0</v>
      </c>
      <c r="I1399" s="48" t="str">
        <f>IF(F1399="", " ",IF(ISNA(VLOOKUP(D1399,'[2]stock-take'!$G:$K,4,FALSE)), "OUT OF STOCK", VLOOKUP(D1399,'[2]stock-take'!$G:$K,4,FALSE)))</f>
        <v xml:space="preserve"> </v>
      </c>
      <c r="J1399" s="39">
        <f>IF(ISNA(VLOOKUP(D1399,'[2]stock-take'!$G:$K,3,FALSE)), 0, VLOOKUP(D1399,'[2]stock-take'!$G:$K,3,FALSE))</f>
        <v>0</v>
      </c>
      <c r="K1399" s="49" t="str">
        <f>IF(F1399="", " ", IF(ISNA(VLOOKUP(D1399,'[2]stock-take'!$M:$Q,4,FALSE)), "OUT OF STOCK", VLOOKUP(D1399,'[2]stock-take'!$M:$Q,4,FALSE)))</f>
        <v xml:space="preserve"> </v>
      </c>
      <c r="L1399" s="47">
        <f>IF(ISNA(VLOOKUP(D1399,'[2]stock-take'!$M:$Q,3,FALSE)), 0, VLOOKUP(D1399,'[2]stock-take'!$M:$Q,3,FALSE))</f>
        <v>0</v>
      </c>
      <c r="M1399" s="48" t="str">
        <f t="shared" si="64"/>
        <v xml:space="preserve"> </v>
      </c>
      <c r="N1399" s="39" t="str">
        <f t="shared" si="65"/>
        <v xml:space="preserve"> </v>
      </c>
    </row>
    <row r="1400" spans="1:14">
      <c r="A1400" s="37">
        <f t="shared" si="63"/>
        <v>1389</v>
      </c>
      <c r="G1400" s="48" t="str">
        <f>IF(F1400=""," ",IF(ISNA(VLOOKUP(D1400,'[2]stock-take'!$A:$E,4,FALSE)), "OUT OF STOCK", VLOOKUP(D1400,'[2]stock-take'!$A:$E,4,FALSE)))</f>
        <v xml:space="preserve"> </v>
      </c>
      <c r="H1400" s="48">
        <f>IF(ISNA(VLOOKUP(D1400,'[2]stock-take'!$A:$E,3,FALSE)), 0, VLOOKUP(D1400,'[2]stock-take'!$A:$E,3,FALSE))</f>
        <v>0</v>
      </c>
      <c r="I1400" s="48" t="str">
        <f>IF(F1400="", " ",IF(ISNA(VLOOKUP(D1400,'[2]stock-take'!$G:$K,4,FALSE)), "OUT OF STOCK", VLOOKUP(D1400,'[2]stock-take'!$G:$K,4,FALSE)))</f>
        <v xml:space="preserve"> </v>
      </c>
      <c r="J1400" s="39">
        <f>IF(ISNA(VLOOKUP(D1400,'[2]stock-take'!$G:$K,3,FALSE)), 0, VLOOKUP(D1400,'[2]stock-take'!$G:$K,3,FALSE))</f>
        <v>0</v>
      </c>
      <c r="K1400" s="49" t="str">
        <f>IF(F1400="", " ", IF(ISNA(VLOOKUP(D1400,'[2]stock-take'!$M:$Q,4,FALSE)), "OUT OF STOCK", VLOOKUP(D1400,'[2]stock-take'!$M:$Q,4,FALSE)))</f>
        <v xml:space="preserve"> </v>
      </c>
      <c r="L1400" s="47">
        <f>IF(ISNA(VLOOKUP(D1400,'[2]stock-take'!$M:$Q,3,FALSE)), 0, VLOOKUP(D1400,'[2]stock-take'!$M:$Q,3,FALSE))</f>
        <v>0</v>
      </c>
      <c r="M1400" s="48" t="str">
        <f t="shared" si="64"/>
        <v xml:space="preserve"> </v>
      </c>
      <c r="N1400" s="39" t="str">
        <f t="shared" si="65"/>
        <v xml:space="preserve"> </v>
      </c>
    </row>
    <row r="1401" spans="1:14">
      <c r="A1401" s="37">
        <f t="shared" si="63"/>
        <v>1390</v>
      </c>
      <c r="G1401" s="48" t="str">
        <f>IF(F1401=""," ",IF(ISNA(VLOOKUP(D1401,'[2]stock-take'!$A:$E,4,FALSE)), "OUT OF STOCK", VLOOKUP(D1401,'[2]stock-take'!$A:$E,4,FALSE)))</f>
        <v xml:space="preserve"> </v>
      </c>
      <c r="H1401" s="48">
        <f>IF(ISNA(VLOOKUP(D1401,'[2]stock-take'!$A:$E,3,FALSE)), 0, VLOOKUP(D1401,'[2]stock-take'!$A:$E,3,FALSE))</f>
        <v>0</v>
      </c>
      <c r="I1401" s="48" t="str">
        <f>IF(F1401="", " ",IF(ISNA(VLOOKUP(D1401,'[2]stock-take'!$G:$K,4,FALSE)), "OUT OF STOCK", VLOOKUP(D1401,'[2]stock-take'!$G:$K,4,FALSE)))</f>
        <v xml:space="preserve"> </v>
      </c>
      <c r="J1401" s="39">
        <f>IF(ISNA(VLOOKUP(D1401,'[2]stock-take'!$G:$K,3,FALSE)), 0, VLOOKUP(D1401,'[2]stock-take'!$G:$K,3,FALSE))</f>
        <v>0</v>
      </c>
      <c r="K1401" s="49" t="str">
        <f>IF(F1401="", " ", IF(ISNA(VLOOKUP(D1401,'[2]stock-take'!$M:$Q,4,FALSE)), "OUT OF STOCK", VLOOKUP(D1401,'[2]stock-take'!$M:$Q,4,FALSE)))</f>
        <v xml:space="preserve"> </v>
      </c>
      <c r="L1401" s="47">
        <f>IF(ISNA(VLOOKUP(D1401,'[2]stock-take'!$M:$Q,3,FALSE)), 0, VLOOKUP(D1401,'[2]stock-take'!$M:$Q,3,FALSE))</f>
        <v>0</v>
      </c>
      <c r="M1401" s="48" t="str">
        <f t="shared" si="64"/>
        <v xml:space="preserve"> </v>
      </c>
      <c r="N1401" s="39" t="str">
        <f t="shared" si="65"/>
        <v xml:space="preserve"> </v>
      </c>
    </row>
    <row r="1402" spans="1:14">
      <c r="A1402" s="37">
        <f t="shared" si="63"/>
        <v>1391</v>
      </c>
      <c r="G1402" s="48" t="str">
        <f>IF(F1402=""," ",IF(ISNA(VLOOKUP(D1402,'[2]stock-take'!$A:$E,4,FALSE)), "OUT OF STOCK", VLOOKUP(D1402,'[2]stock-take'!$A:$E,4,FALSE)))</f>
        <v xml:space="preserve"> </v>
      </c>
      <c r="H1402" s="48">
        <f>IF(ISNA(VLOOKUP(D1402,'[2]stock-take'!$A:$E,3,FALSE)), 0, VLOOKUP(D1402,'[2]stock-take'!$A:$E,3,FALSE))</f>
        <v>0</v>
      </c>
      <c r="I1402" s="48" t="str">
        <f>IF(F1402="", " ",IF(ISNA(VLOOKUP(D1402,'[2]stock-take'!$G:$K,4,FALSE)), "OUT OF STOCK", VLOOKUP(D1402,'[2]stock-take'!$G:$K,4,FALSE)))</f>
        <v xml:space="preserve"> </v>
      </c>
      <c r="J1402" s="39">
        <f>IF(ISNA(VLOOKUP(D1402,'[2]stock-take'!$G:$K,3,FALSE)), 0, VLOOKUP(D1402,'[2]stock-take'!$G:$K,3,FALSE))</f>
        <v>0</v>
      </c>
      <c r="K1402" s="49" t="str">
        <f>IF(F1402="", " ", IF(ISNA(VLOOKUP(D1402,'[2]stock-take'!$M:$Q,4,FALSE)), "OUT OF STOCK", VLOOKUP(D1402,'[2]stock-take'!$M:$Q,4,FALSE)))</f>
        <v xml:space="preserve"> </v>
      </c>
      <c r="L1402" s="47">
        <f>IF(ISNA(VLOOKUP(D1402,'[2]stock-take'!$M:$Q,3,FALSE)), 0, VLOOKUP(D1402,'[2]stock-take'!$M:$Q,3,FALSE))</f>
        <v>0</v>
      </c>
      <c r="M1402" s="48" t="str">
        <f t="shared" si="64"/>
        <v xml:space="preserve"> </v>
      </c>
      <c r="N1402" s="39" t="str">
        <f t="shared" si="65"/>
        <v xml:space="preserve"> </v>
      </c>
    </row>
    <row r="1403" spans="1:14">
      <c r="A1403" s="37">
        <f t="shared" si="63"/>
        <v>1392</v>
      </c>
      <c r="G1403" s="48" t="str">
        <f>IF(F1403=""," ",IF(ISNA(VLOOKUP(D1403,'[2]stock-take'!$A:$E,4,FALSE)), "OUT OF STOCK", VLOOKUP(D1403,'[2]stock-take'!$A:$E,4,FALSE)))</f>
        <v xml:space="preserve"> </v>
      </c>
      <c r="H1403" s="48">
        <f>IF(ISNA(VLOOKUP(D1403,'[2]stock-take'!$A:$E,3,FALSE)), 0, VLOOKUP(D1403,'[2]stock-take'!$A:$E,3,FALSE))</f>
        <v>0</v>
      </c>
      <c r="I1403" s="48" t="str">
        <f>IF(F1403="", " ",IF(ISNA(VLOOKUP(D1403,'[2]stock-take'!$G:$K,4,FALSE)), "OUT OF STOCK", VLOOKUP(D1403,'[2]stock-take'!$G:$K,4,FALSE)))</f>
        <v xml:space="preserve"> </v>
      </c>
      <c r="J1403" s="39">
        <f>IF(ISNA(VLOOKUP(D1403,'[2]stock-take'!$G:$K,3,FALSE)), 0, VLOOKUP(D1403,'[2]stock-take'!$G:$K,3,FALSE))</f>
        <v>0</v>
      </c>
      <c r="K1403" s="49" t="str">
        <f>IF(F1403="", " ", IF(ISNA(VLOOKUP(D1403,'[2]stock-take'!$M:$Q,4,FALSE)), "OUT OF STOCK", VLOOKUP(D1403,'[2]stock-take'!$M:$Q,4,FALSE)))</f>
        <v xml:space="preserve"> </v>
      </c>
      <c r="L1403" s="47">
        <f>IF(ISNA(VLOOKUP(D1403,'[2]stock-take'!$M:$Q,3,FALSE)), 0, VLOOKUP(D1403,'[2]stock-take'!$M:$Q,3,FALSE))</f>
        <v>0</v>
      </c>
      <c r="M1403" s="48" t="str">
        <f t="shared" si="64"/>
        <v xml:space="preserve"> </v>
      </c>
      <c r="N1403" s="39" t="str">
        <f t="shared" si="65"/>
        <v xml:space="preserve"> </v>
      </c>
    </row>
    <row r="1404" spans="1:14">
      <c r="A1404" s="37">
        <f t="shared" si="63"/>
        <v>1393</v>
      </c>
      <c r="G1404" s="48" t="str">
        <f>IF(F1404=""," ",IF(ISNA(VLOOKUP(D1404,'[2]stock-take'!$A:$E,4,FALSE)), "OUT OF STOCK", VLOOKUP(D1404,'[2]stock-take'!$A:$E,4,FALSE)))</f>
        <v xml:space="preserve"> </v>
      </c>
      <c r="H1404" s="48">
        <f>IF(ISNA(VLOOKUP(D1404,'[2]stock-take'!$A:$E,3,FALSE)), 0, VLOOKUP(D1404,'[2]stock-take'!$A:$E,3,FALSE))</f>
        <v>0</v>
      </c>
      <c r="I1404" s="48" t="str">
        <f>IF(F1404="", " ",IF(ISNA(VLOOKUP(D1404,'[2]stock-take'!$G:$K,4,FALSE)), "OUT OF STOCK", VLOOKUP(D1404,'[2]stock-take'!$G:$K,4,FALSE)))</f>
        <v xml:space="preserve"> </v>
      </c>
      <c r="J1404" s="39">
        <f>IF(ISNA(VLOOKUP(D1404,'[2]stock-take'!$G:$K,3,FALSE)), 0, VLOOKUP(D1404,'[2]stock-take'!$G:$K,3,FALSE))</f>
        <v>0</v>
      </c>
      <c r="K1404" s="49" t="str">
        <f>IF(F1404="", " ", IF(ISNA(VLOOKUP(D1404,'[2]stock-take'!$M:$Q,4,FALSE)), "OUT OF STOCK", VLOOKUP(D1404,'[2]stock-take'!$M:$Q,4,FALSE)))</f>
        <v xml:space="preserve"> </v>
      </c>
      <c r="L1404" s="47">
        <f>IF(ISNA(VLOOKUP(D1404,'[2]stock-take'!$M:$Q,3,FALSE)), 0, VLOOKUP(D1404,'[2]stock-take'!$M:$Q,3,FALSE))</f>
        <v>0</v>
      </c>
      <c r="M1404" s="48" t="str">
        <f t="shared" si="64"/>
        <v xml:space="preserve"> </v>
      </c>
      <c r="N1404" s="39" t="str">
        <f t="shared" si="65"/>
        <v xml:space="preserve"> </v>
      </c>
    </row>
    <row r="1405" spans="1:14">
      <c r="A1405" s="37">
        <f t="shared" si="63"/>
        <v>1394</v>
      </c>
      <c r="G1405" s="48" t="str">
        <f>IF(F1405=""," ",IF(ISNA(VLOOKUP(D1405,'[2]stock-take'!$A:$E,4,FALSE)), "OUT OF STOCK", VLOOKUP(D1405,'[2]stock-take'!$A:$E,4,FALSE)))</f>
        <v xml:space="preserve"> </v>
      </c>
      <c r="H1405" s="48">
        <f>IF(ISNA(VLOOKUP(D1405,'[2]stock-take'!$A:$E,3,FALSE)), 0, VLOOKUP(D1405,'[2]stock-take'!$A:$E,3,FALSE))</f>
        <v>0</v>
      </c>
      <c r="I1405" s="48" t="str">
        <f>IF(F1405="", " ",IF(ISNA(VLOOKUP(D1405,'[2]stock-take'!$G:$K,4,FALSE)), "OUT OF STOCK", VLOOKUP(D1405,'[2]stock-take'!$G:$K,4,FALSE)))</f>
        <v xml:space="preserve"> </v>
      </c>
      <c r="J1405" s="39">
        <f>IF(ISNA(VLOOKUP(D1405,'[2]stock-take'!$G:$K,3,FALSE)), 0, VLOOKUP(D1405,'[2]stock-take'!$G:$K,3,FALSE))</f>
        <v>0</v>
      </c>
      <c r="K1405" s="49" t="str">
        <f>IF(F1405="", " ", IF(ISNA(VLOOKUP(D1405,'[2]stock-take'!$M:$Q,4,FALSE)), "OUT OF STOCK", VLOOKUP(D1405,'[2]stock-take'!$M:$Q,4,FALSE)))</f>
        <v xml:space="preserve"> </v>
      </c>
      <c r="L1405" s="47">
        <f>IF(ISNA(VLOOKUP(D1405,'[2]stock-take'!$M:$Q,3,FALSE)), 0, VLOOKUP(D1405,'[2]stock-take'!$M:$Q,3,FALSE))</f>
        <v>0</v>
      </c>
      <c r="M1405" s="48" t="str">
        <f t="shared" si="64"/>
        <v xml:space="preserve"> </v>
      </c>
      <c r="N1405" s="39" t="str">
        <f t="shared" si="65"/>
        <v xml:space="preserve"> </v>
      </c>
    </row>
    <row r="1406" spans="1:14">
      <c r="A1406" s="37">
        <f t="shared" si="63"/>
        <v>1395</v>
      </c>
      <c r="G1406" s="48" t="str">
        <f>IF(F1406=""," ",IF(ISNA(VLOOKUP(D1406,'[2]stock-take'!$A:$E,4,FALSE)), "OUT OF STOCK", VLOOKUP(D1406,'[2]stock-take'!$A:$E,4,FALSE)))</f>
        <v xml:space="preserve"> </v>
      </c>
      <c r="H1406" s="48">
        <f>IF(ISNA(VLOOKUP(D1406,'[2]stock-take'!$A:$E,3,FALSE)), 0, VLOOKUP(D1406,'[2]stock-take'!$A:$E,3,FALSE))</f>
        <v>0</v>
      </c>
      <c r="I1406" s="48" t="str">
        <f>IF(F1406="", " ",IF(ISNA(VLOOKUP(D1406,'[2]stock-take'!$G:$K,4,FALSE)), "OUT OF STOCK", VLOOKUP(D1406,'[2]stock-take'!$G:$K,4,FALSE)))</f>
        <v xml:space="preserve"> </v>
      </c>
      <c r="J1406" s="39">
        <f>IF(ISNA(VLOOKUP(D1406,'[2]stock-take'!$G:$K,3,FALSE)), 0, VLOOKUP(D1406,'[2]stock-take'!$G:$K,3,FALSE))</f>
        <v>0</v>
      </c>
      <c r="K1406" s="49" t="str">
        <f>IF(F1406="", " ", IF(ISNA(VLOOKUP(D1406,'[2]stock-take'!$M:$Q,4,FALSE)), "OUT OF STOCK", VLOOKUP(D1406,'[2]stock-take'!$M:$Q,4,FALSE)))</f>
        <v xml:space="preserve"> </v>
      </c>
      <c r="L1406" s="47">
        <f>IF(ISNA(VLOOKUP(D1406,'[2]stock-take'!$M:$Q,3,FALSE)), 0, VLOOKUP(D1406,'[2]stock-take'!$M:$Q,3,FALSE))</f>
        <v>0</v>
      </c>
      <c r="M1406" s="48" t="str">
        <f t="shared" si="64"/>
        <v xml:space="preserve"> </v>
      </c>
      <c r="N1406" s="39" t="str">
        <f t="shared" si="65"/>
        <v xml:space="preserve"> </v>
      </c>
    </row>
    <row r="1407" spans="1:14">
      <c r="A1407" s="37">
        <f t="shared" si="63"/>
        <v>1396</v>
      </c>
      <c r="G1407" s="48" t="str">
        <f>IF(F1407=""," ",IF(ISNA(VLOOKUP(D1407,'[2]stock-take'!$A:$E,4,FALSE)), "OUT OF STOCK", VLOOKUP(D1407,'[2]stock-take'!$A:$E,4,FALSE)))</f>
        <v xml:space="preserve"> </v>
      </c>
      <c r="H1407" s="48">
        <f>IF(ISNA(VLOOKUP(D1407,'[2]stock-take'!$A:$E,3,FALSE)), 0, VLOOKUP(D1407,'[2]stock-take'!$A:$E,3,FALSE))</f>
        <v>0</v>
      </c>
      <c r="I1407" s="48" t="str">
        <f>IF(F1407="", " ",IF(ISNA(VLOOKUP(D1407,'[2]stock-take'!$G:$K,4,FALSE)), "OUT OF STOCK", VLOOKUP(D1407,'[2]stock-take'!$G:$K,4,FALSE)))</f>
        <v xml:space="preserve"> </v>
      </c>
      <c r="J1407" s="39">
        <f>IF(ISNA(VLOOKUP(D1407,'[2]stock-take'!$G:$K,3,FALSE)), 0, VLOOKUP(D1407,'[2]stock-take'!$G:$K,3,FALSE))</f>
        <v>0</v>
      </c>
      <c r="K1407" s="49" t="str">
        <f>IF(F1407="", " ", IF(ISNA(VLOOKUP(D1407,'[2]stock-take'!$M:$Q,4,FALSE)), "OUT OF STOCK", VLOOKUP(D1407,'[2]stock-take'!$M:$Q,4,FALSE)))</f>
        <v xml:space="preserve"> </v>
      </c>
      <c r="L1407" s="47">
        <f>IF(ISNA(VLOOKUP(D1407,'[2]stock-take'!$M:$Q,3,FALSE)), 0, VLOOKUP(D1407,'[2]stock-take'!$M:$Q,3,FALSE))</f>
        <v>0</v>
      </c>
      <c r="M1407" s="48" t="str">
        <f t="shared" si="64"/>
        <v xml:space="preserve"> </v>
      </c>
      <c r="N1407" s="39" t="str">
        <f t="shared" si="65"/>
        <v xml:space="preserve"> </v>
      </c>
    </row>
    <row r="1408" spans="1:14">
      <c r="A1408" s="37">
        <f t="shared" si="63"/>
        <v>1397</v>
      </c>
      <c r="G1408" s="48" t="str">
        <f>IF(F1408=""," ",IF(ISNA(VLOOKUP(D1408,'[2]stock-take'!$A:$E,4,FALSE)), "OUT OF STOCK", VLOOKUP(D1408,'[2]stock-take'!$A:$E,4,FALSE)))</f>
        <v xml:space="preserve"> </v>
      </c>
      <c r="H1408" s="48">
        <f>IF(ISNA(VLOOKUP(D1408,'[2]stock-take'!$A:$E,3,FALSE)), 0, VLOOKUP(D1408,'[2]stock-take'!$A:$E,3,FALSE))</f>
        <v>0</v>
      </c>
      <c r="I1408" s="48" t="str">
        <f>IF(F1408="", " ",IF(ISNA(VLOOKUP(D1408,'[2]stock-take'!$G:$K,4,FALSE)), "OUT OF STOCK", VLOOKUP(D1408,'[2]stock-take'!$G:$K,4,FALSE)))</f>
        <v xml:space="preserve"> </v>
      </c>
      <c r="J1408" s="39">
        <f>IF(ISNA(VLOOKUP(D1408,'[2]stock-take'!$G:$K,3,FALSE)), 0, VLOOKUP(D1408,'[2]stock-take'!$G:$K,3,FALSE))</f>
        <v>0</v>
      </c>
      <c r="K1408" s="49" t="str">
        <f>IF(F1408="", " ", IF(ISNA(VLOOKUP(D1408,'[2]stock-take'!$M:$Q,4,FALSE)), "OUT OF STOCK", VLOOKUP(D1408,'[2]stock-take'!$M:$Q,4,FALSE)))</f>
        <v xml:space="preserve"> </v>
      </c>
      <c r="L1408" s="47">
        <f>IF(ISNA(VLOOKUP(D1408,'[2]stock-take'!$M:$Q,3,FALSE)), 0, VLOOKUP(D1408,'[2]stock-take'!$M:$Q,3,FALSE))</f>
        <v>0</v>
      </c>
      <c r="M1408" s="48" t="str">
        <f t="shared" si="64"/>
        <v xml:space="preserve"> </v>
      </c>
      <c r="N1408" s="39" t="str">
        <f t="shared" si="65"/>
        <v xml:space="preserve"> </v>
      </c>
    </row>
    <row r="1409" spans="1:14">
      <c r="A1409" s="37">
        <f t="shared" si="63"/>
        <v>1398</v>
      </c>
      <c r="G1409" s="48" t="str">
        <f>IF(F1409=""," ",IF(ISNA(VLOOKUP(D1409,'[2]stock-take'!$A:$E,4,FALSE)), "OUT OF STOCK", VLOOKUP(D1409,'[2]stock-take'!$A:$E,4,FALSE)))</f>
        <v xml:space="preserve"> </v>
      </c>
      <c r="H1409" s="48">
        <f>IF(ISNA(VLOOKUP(D1409,'[2]stock-take'!$A:$E,3,FALSE)), 0, VLOOKUP(D1409,'[2]stock-take'!$A:$E,3,FALSE))</f>
        <v>0</v>
      </c>
      <c r="I1409" s="48" t="str">
        <f>IF(F1409="", " ",IF(ISNA(VLOOKUP(D1409,'[2]stock-take'!$G:$K,4,FALSE)), "OUT OF STOCK", VLOOKUP(D1409,'[2]stock-take'!$G:$K,4,FALSE)))</f>
        <v xml:space="preserve"> </v>
      </c>
      <c r="J1409" s="39">
        <f>IF(ISNA(VLOOKUP(D1409,'[2]stock-take'!$G:$K,3,FALSE)), 0, VLOOKUP(D1409,'[2]stock-take'!$G:$K,3,FALSE))</f>
        <v>0</v>
      </c>
      <c r="K1409" s="49" t="str">
        <f>IF(F1409="", " ", IF(ISNA(VLOOKUP(D1409,'[2]stock-take'!$M:$Q,4,FALSE)), "OUT OF STOCK", VLOOKUP(D1409,'[2]stock-take'!$M:$Q,4,FALSE)))</f>
        <v xml:space="preserve"> </v>
      </c>
      <c r="L1409" s="47">
        <f>IF(ISNA(VLOOKUP(D1409,'[2]stock-take'!$M:$Q,3,FALSE)), 0, VLOOKUP(D1409,'[2]stock-take'!$M:$Q,3,FALSE))</f>
        <v>0</v>
      </c>
      <c r="M1409" s="48" t="str">
        <f t="shared" si="64"/>
        <v xml:space="preserve"> </v>
      </c>
      <c r="N1409" s="39" t="str">
        <f t="shared" si="65"/>
        <v xml:space="preserve"> </v>
      </c>
    </row>
    <row r="1410" spans="1:14">
      <c r="A1410" s="37">
        <f t="shared" si="63"/>
        <v>1399</v>
      </c>
      <c r="G1410" s="48" t="str">
        <f>IF(F1410=""," ",IF(ISNA(VLOOKUP(D1410,'[2]stock-take'!$A:$E,4,FALSE)), "OUT OF STOCK", VLOOKUP(D1410,'[2]stock-take'!$A:$E,4,FALSE)))</f>
        <v xml:space="preserve"> </v>
      </c>
      <c r="H1410" s="48">
        <f>IF(ISNA(VLOOKUP(D1410,'[2]stock-take'!$A:$E,3,FALSE)), 0, VLOOKUP(D1410,'[2]stock-take'!$A:$E,3,FALSE))</f>
        <v>0</v>
      </c>
      <c r="I1410" s="48" t="str">
        <f>IF(F1410="", " ",IF(ISNA(VLOOKUP(D1410,'[2]stock-take'!$G:$K,4,FALSE)), "OUT OF STOCK", VLOOKUP(D1410,'[2]stock-take'!$G:$K,4,FALSE)))</f>
        <v xml:space="preserve"> </v>
      </c>
      <c r="J1410" s="39">
        <f>IF(ISNA(VLOOKUP(D1410,'[2]stock-take'!$G:$K,3,FALSE)), 0, VLOOKUP(D1410,'[2]stock-take'!$G:$K,3,FALSE))</f>
        <v>0</v>
      </c>
      <c r="K1410" s="49" t="str">
        <f>IF(F1410="", " ", IF(ISNA(VLOOKUP(D1410,'[2]stock-take'!$M:$Q,4,FALSE)), "OUT OF STOCK", VLOOKUP(D1410,'[2]stock-take'!$M:$Q,4,FALSE)))</f>
        <v xml:space="preserve"> </v>
      </c>
      <c r="L1410" s="47">
        <f>IF(ISNA(VLOOKUP(D1410,'[2]stock-take'!$M:$Q,3,FALSE)), 0, VLOOKUP(D1410,'[2]stock-take'!$M:$Q,3,FALSE))</f>
        <v>0</v>
      </c>
      <c r="M1410" s="48" t="str">
        <f t="shared" si="64"/>
        <v xml:space="preserve"> </v>
      </c>
      <c r="N1410" s="39" t="str">
        <f t="shared" si="65"/>
        <v xml:space="preserve"> </v>
      </c>
    </row>
    <row r="1411" spans="1:14">
      <c r="A1411" s="37">
        <f t="shared" si="63"/>
        <v>1400</v>
      </c>
      <c r="G1411" s="48" t="str">
        <f>IF(F1411=""," ",IF(ISNA(VLOOKUP(D1411,'[2]stock-take'!$A:$E,4,FALSE)), "OUT OF STOCK", VLOOKUP(D1411,'[2]stock-take'!$A:$E,4,FALSE)))</f>
        <v xml:space="preserve"> </v>
      </c>
      <c r="H1411" s="48">
        <f>IF(ISNA(VLOOKUP(D1411,'[2]stock-take'!$A:$E,3,FALSE)), 0, VLOOKUP(D1411,'[2]stock-take'!$A:$E,3,FALSE))</f>
        <v>0</v>
      </c>
      <c r="I1411" s="48" t="str">
        <f>IF(F1411="", " ",IF(ISNA(VLOOKUP(D1411,'[2]stock-take'!$G:$K,4,FALSE)), "OUT OF STOCK", VLOOKUP(D1411,'[2]stock-take'!$G:$K,4,FALSE)))</f>
        <v xml:space="preserve"> </v>
      </c>
      <c r="J1411" s="39">
        <f>IF(ISNA(VLOOKUP(D1411,'[2]stock-take'!$G:$K,3,FALSE)), 0, VLOOKUP(D1411,'[2]stock-take'!$G:$K,3,FALSE))</f>
        <v>0</v>
      </c>
      <c r="K1411" s="49" t="str">
        <f>IF(F1411="", " ", IF(ISNA(VLOOKUP(D1411,'[2]stock-take'!$M:$Q,4,FALSE)), "OUT OF STOCK", VLOOKUP(D1411,'[2]stock-take'!$M:$Q,4,FALSE)))</f>
        <v xml:space="preserve"> </v>
      </c>
      <c r="L1411" s="47">
        <f>IF(ISNA(VLOOKUP(D1411,'[2]stock-take'!$M:$Q,3,FALSE)), 0, VLOOKUP(D1411,'[2]stock-take'!$M:$Q,3,FALSE))</f>
        <v>0</v>
      </c>
      <c r="M1411" s="48" t="str">
        <f t="shared" si="64"/>
        <v xml:space="preserve"> </v>
      </c>
      <c r="N1411" s="39" t="str">
        <f t="shared" si="65"/>
        <v xml:space="preserve"> </v>
      </c>
    </row>
    <row r="1412" spans="1:14">
      <c r="A1412" s="37">
        <f t="shared" si="63"/>
        <v>1401</v>
      </c>
      <c r="G1412" s="48" t="str">
        <f>IF(F1412=""," ",IF(ISNA(VLOOKUP(D1412,'[2]stock-take'!$A:$E,4,FALSE)), "OUT OF STOCK", VLOOKUP(D1412,'[2]stock-take'!$A:$E,4,FALSE)))</f>
        <v xml:space="preserve"> </v>
      </c>
      <c r="H1412" s="48">
        <f>IF(ISNA(VLOOKUP(D1412,'[2]stock-take'!$A:$E,3,FALSE)), 0, VLOOKUP(D1412,'[2]stock-take'!$A:$E,3,FALSE))</f>
        <v>0</v>
      </c>
      <c r="I1412" s="48" t="str">
        <f>IF(F1412="", " ",IF(ISNA(VLOOKUP(D1412,'[2]stock-take'!$G:$K,4,FALSE)), "OUT OF STOCK", VLOOKUP(D1412,'[2]stock-take'!$G:$K,4,FALSE)))</f>
        <v xml:space="preserve"> </v>
      </c>
      <c r="J1412" s="39">
        <f>IF(ISNA(VLOOKUP(D1412,'[2]stock-take'!$G:$K,3,FALSE)), 0, VLOOKUP(D1412,'[2]stock-take'!$G:$K,3,FALSE))</f>
        <v>0</v>
      </c>
      <c r="K1412" s="49" t="str">
        <f>IF(F1412="", " ", IF(ISNA(VLOOKUP(D1412,'[2]stock-take'!$M:$Q,4,FALSE)), "OUT OF STOCK", VLOOKUP(D1412,'[2]stock-take'!$M:$Q,4,FALSE)))</f>
        <v xml:space="preserve"> </v>
      </c>
      <c r="L1412" s="47">
        <f>IF(ISNA(VLOOKUP(D1412,'[2]stock-take'!$M:$Q,3,FALSE)), 0, VLOOKUP(D1412,'[2]stock-take'!$M:$Q,3,FALSE))</f>
        <v>0</v>
      </c>
      <c r="M1412" s="48" t="str">
        <f t="shared" si="64"/>
        <v xml:space="preserve"> </v>
      </c>
      <c r="N1412" s="39" t="str">
        <f t="shared" si="65"/>
        <v xml:space="preserve"> </v>
      </c>
    </row>
    <row r="1413" spans="1:14">
      <c r="A1413" s="37">
        <f t="shared" si="63"/>
        <v>1402</v>
      </c>
      <c r="G1413" s="48" t="str">
        <f>IF(F1413=""," ",IF(ISNA(VLOOKUP(D1413,'[2]stock-take'!$A:$E,4,FALSE)), "OUT OF STOCK", VLOOKUP(D1413,'[2]stock-take'!$A:$E,4,FALSE)))</f>
        <v xml:space="preserve"> </v>
      </c>
      <c r="H1413" s="48">
        <f>IF(ISNA(VLOOKUP(D1413,'[2]stock-take'!$A:$E,3,FALSE)), 0, VLOOKUP(D1413,'[2]stock-take'!$A:$E,3,FALSE))</f>
        <v>0</v>
      </c>
      <c r="I1413" s="48" t="str">
        <f>IF(F1413="", " ",IF(ISNA(VLOOKUP(D1413,'[2]stock-take'!$G:$K,4,FALSE)), "OUT OF STOCK", VLOOKUP(D1413,'[2]stock-take'!$G:$K,4,FALSE)))</f>
        <v xml:space="preserve"> </v>
      </c>
      <c r="J1413" s="39">
        <f>IF(ISNA(VLOOKUP(D1413,'[2]stock-take'!$G:$K,3,FALSE)), 0, VLOOKUP(D1413,'[2]stock-take'!$G:$K,3,FALSE))</f>
        <v>0</v>
      </c>
      <c r="K1413" s="49" t="str">
        <f>IF(F1413="", " ", IF(ISNA(VLOOKUP(D1413,'[2]stock-take'!$M:$Q,4,FALSE)), "OUT OF STOCK", VLOOKUP(D1413,'[2]stock-take'!$M:$Q,4,FALSE)))</f>
        <v xml:space="preserve"> </v>
      </c>
      <c r="L1413" s="47">
        <f>IF(ISNA(VLOOKUP(D1413,'[2]stock-take'!$M:$Q,3,FALSE)), 0, VLOOKUP(D1413,'[2]stock-take'!$M:$Q,3,FALSE))</f>
        <v>0</v>
      </c>
      <c r="M1413" s="48" t="str">
        <f t="shared" si="64"/>
        <v xml:space="preserve"> </v>
      </c>
      <c r="N1413" s="39" t="str">
        <f t="shared" si="65"/>
        <v xml:space="preserve"> </v>
      </c>
    </row>
    <row r="1414" spans="1:14">
      <c r="A1414" s="37">
        <f t="shared" si="63"/>
        <v>1403</v>
      </c>
      <c r="G1414" s="48" t="str">
        <f>IF(F1414=""," ",IF(ISNA(VLOOKUP(D1414,'[2]stock-take'!$A:$E,4,FALSE)), "OUT OF STOCK", VLOOKUP(D1414,'[2]stock-take'!$A:$E,4,FALSE)))</f>
        <v xml:space="preserve"> </v>
      </c>
      <c r="H1414" s="48">
        <f>IF(ISNA(VLOOKUP(D1414,'[2]stock-take'!$A:$E,3,FALSE)), 0, VLOOKUP(D1414,'[2]stock-take'!$A:$E,3,FALSE))</f>
        <v>0</v>
      </c>
      <c r="I1414" s="48" t="str">
        <f>IF(F1414="", " ",IF(ISNA(VLOOKUP(D1414,'[2]stock-take'!$G:$K,4,FALSE)), "OUT OF STOCK", VLOOKUP(D1414,'[2]stock-take'!$G:$K,4,FALSE)))</f>
        <v xml:space="preserve"> </v>
      </c>
      <c r="J1414" s="39">
        <f>IF(ISNA(VLOOKUP(D1414,'[2]stock-take'!$G:$K,3,FALSE)), 0, VLOOKUP(D1414,'[2]stock-take'!$G:$K,3,FALSE))</f>
        <v>0</v>
      </c>
      <c r="K1414" s="49" t="str">
        <f>IF(F1414="", " ", IF(ISNA(VLOOKUP(D1414,'[2]stock-take'!$M:$Q,4,FALSE)), "OUT OF STOCK", VLOOKUP(D1414,'[2]stock-take'!$M:$Q,4,FALSE)))</f>
        <v xml:space="preserve"> </v>
      </c>
      <c r="L1414" s="47">
        <f>IF(ISNA(VLOOKUP(D1414,'[2]stock-take'!$M:$Q,3,FALSE)), 0, VLOOKUP(D1414,'[2]stock-take'!$M:$Q,3,FALSE))</f>
        <v>0</v>
      </c>
      <c r="M1414" s="48" t="str">
        <f t="shared" si="64"/>
        <v xml:space="preserve"> </v>
      </c>
      <c r="N1414" s="39" t="str">
        <f t="shared" si="65"/>
        <v xml:space="preserve"> </v>
      </c>
    </row>
    <row r="1415" spans="1:14">
      <c r="A1415" s="37">
        <f t="shared" si="63"/>
        <v>1404</v>
      </c>
      <c r="G1415" s="48" t="str">
        <f>IF(F1415=""," ",IF(ISNA(VLOOKUP(D1415,'[2]stock-take'!$A:$E,4,FALSE)), "OUT OF STOCK", VLOOKUP(D1415,'[2]stock-take'!$A:$E,4,FALSE)))</f>
        <v xml:space="preserve"> </v>
      </c>
      <c r="H1415" s="48">
        <f>IF(ISNA(VLOOKUP(D1415,'[2]stock-take'!$A:$E,3,FALSE)), 0, VLOOKUP(D1415,'[2]stock-take'!$A:$E,3,FALSE))</f>
        <v>0</v>
      </c>
      <c r="I1415" s="48" t="str">
        <f>IF(F1415="", " ",IF(ISNA(VLOOKUP(D1415,'[2]stock-take'!$G:$K,4,FALSE)), "OUT OF STOCK", VLOOKUP(D1415,'[2]stock-take'!$G:$K,4,FALSE)))</f>
        <v xml:space="preserve"> </v>
      </c>
      <c r="J1415" s="39">
        <f>IF(ISNA(VLOOKUP(D1415,'[2]stock-take'!$G:$K,3,FALSE)), 0, VLOOKUP(D1415,'[2]stock-take'!$G:$K,3,FALSE))</f>
        <v>0</v>
      </c>
      <c r="K1415" s="49" t="str">
        <f>IF(F1415="", " ", IF(ISNA(VLOOKUP(D1415,'[2]stock-take'!$M:$Q,4,FALSE)), "OUT OF STOCK", VLOOKUP(D1415,'[2]stock-take'!$M:$Q,4,FALSE)))</f>
        <v xml:space="preserve"> </v>
      </c>
      <c r="L1415" s="47">
        <f>IF(ISNA(VLOOKUP(D1415,'[2]stock-take'!$M:$Q,3,FALSE)), 0, VLOOKUP(D1415,'[2]stock-take'!$M:$Q,3,FALSE))</f>
        <v>0</v>
      </c>
      <c r="M1415" s="48" t="str">
        <f t="shared" si="64"/>
        <v xml:space="preserve"> </v>
      </c>
      <c r="N1415" s="39" t="str">
        <f t="shared" si="65"/>
        <v xml:space="preserve"> </v>
      </c>
    </row>
    <row r="1416" spans="1:14">
      <c r="A1416" s="37">
        <f t="shared" si="63"/>
        <v>1405</v>
      </c>
      <c r="G1416" s="48" t="str">
        <f>IF(F1416=""," ",IF(ISNA(VLOOKUP(D1416,'[2]stock-take'!$A:$E,4,FALSE)), "OUT OF STOCK", VLOOKUP(D1416,'[2]stock-take'!$A:$E,4,FALSE)))</f>
        <v xml:space="preserve"> </v>
      </c>
      <c r="H1416" s="48">
        <f>IF(ISNA(VLOOKUP(D1416,'[2]stock-take'!$A:$E,3,FALSE)), 0, VLOOKUP(D1416,'[2]stock-take'!$A:$E,3,FALSE))</f>
        <v>0</v>
      </c>
      <c r="I1416" s="48" t="str">
        <f>IF(F1416="", " ",IF(ISNA(VLOOKUP(D1416,'[2]stock-take'!$G:$K,4,FALSE)), "OUT OF STOCK", VLOOKUP(D1416,'[2]stock-take'!$G:$K,4,FALSE)))</f>
        <v xml:space="preserve"> </v>
      </c>
      <c r="J1416" s="39">
        <f>IF(ISNA(VLOOKUP(D1416,'[2]stock-take'!$G:$K,3,FALSE)), 0, VLOOKUP(D1416,'[2]stock-take'!$G:$K,3,FALSE))</f>
        <v>0</v>
      </c>
      <c r="K1416" s="49" t="str">
        <f>IF(F1416="", " ", IF(ISNA(VLOOKUP(D1416,'[2]stock-take'!$M:$Q,4,FALSE)), "OUT OF STOCK", VLOOKUP(D1416,'[2]stock-take'!$M:$Q,4,FALSE)))</f>
        <v xml:space="preserve"> </v>
      </c>
      <c r="L1416" s="47">
        <f>IF(ISNA(VLOOKUP(D1416,'[2]stock-take'!$M:$Q,3,FALSE)), 0, VLOOKUP(D1416,'[2]stock-take'!$M:$Q,3,FALSE))</f>
        <v>0</v>
      </c>
      <c r="M1416" s="48" t="str">
        <f t="shared" si="64"/>
        <v xml:space="preserve"> </v>
      </c>
      <c r="N1416" s="39" t="str">
        <f t="shared" si="65"/>
        <v xml:space="preserve"> </v>
      </c>
    </row>
    <row r="1417" spans="1:14">
      <c r="A1417" s="37">
        <f t="shared" si="63"/>
        <v>1406</v>
      </c>
      <c r="G1417" s="48" t="str">
        <f>IF(F1417=""," ",IF(ISNA(VLOOKUP(D1417,'[2]stock-take'!$A:$E,4,FALSE)), "OUT OF STOCK", VLOOKUP(D1417,'[2]stock-take'!$A:$E,4,FALSE)))</f>
        <v xml:space="preserve"> </v>
      </c>
      <c r="H1417" s="48">
        <f>IF(ISNA(VLOOKUP(D1417,'[2]stock-take'!$A:$E,3,FALSE)), 0, VLOOKUP(D1417,'[2]stock-take'!$A:$E,3,FALSE))</f>
        <v>0</v>
      </c>
      <c r="I1417" s="48" t="str">
        <f>IF(F1417="", " ",IF(ISNA(VLOOKUP(D1417,'[2]stock-take'!$G:$K,4,FALSE)), "OUT OF STOCK", VLOOKUP(D1417,'[2]stock-take'!$G:$K,4,FALSE)))</f>
        <v xml:space="preserve"> </v>
      </c>
      <c r="J1417" s="39">
        <f>IF(ISNA(VLOOKUP(D1417,'[2]stock-take'!$G:$K,3,FALSE)), 0, VLOOKUP(D1417,'[2]stock-take'!$G:$K,3,FALSE))</f>
        <v>0</v>
      </c>
      <c r="K1417" s="49" t="str">
        <f>IF(F1417="", " ", IF(ISNA(VLOOKUP(D1417,'[2]stock-take'!$M:$Q,4,FALSE)), "OUT OF STOCK", VLOOKUP(D1417,'[2]stock-take'!$M:$Q,4,FALSE)))</f>
        <v xml:space="preserve"> </v>
      </c>
      <c r="L1417" s="47">
        <f>IF(ISNA(VLOOKUP(D1417,'[2]stock-take'!$M:$Q,3,FALSE)), 0, VLOOKUP(D1417,'[2]stock-take'!$M:$Q,3,FALSE))</f>
        <v>0</v>
      </c>
      <c r="M1417" s="48" t="str">
        <f t="shared" si="64"/>
        <v xml:space="preserve"> </v>
      </c>
      <c r="N1417" s="39" t="str">
        <f t="shared" si="65"/>
        <v xml:space="preserve"> </v>
      </c>
    </row>
    <row r="1418" spans="1:14">
      <c r="A1418" s="37">
        <f t="shared" si="63"/>
        <v>1407</v>
      </c>
      <c r="G1418" s="48" t="str">
        <f>IF(F1418=""," ",IF(ISNA(VLOOKUP(D1418,'[2]stock-take'!$A:$E,4,FALSE)), "OUT OF STOCK", VLOOKUP(D1418,'[2]stock-take'!$A:$E,4,FALSE)))</f>
        <v xml:space="preserve"> </v>
      </c>
      <c r="H1418" s="48">
        <f>IF(ISNA(VLOOKUP(D1418,'[2]stock-take'!$A:$E,3,FALSE)), 0, VLOOKUP(D1418,'[2]stock-take'!$A:$E,3,FALSE))</f>
        <v>0</v>
      </c>
      <c r="I1418" s="48" t="str">
        <f>IF(F1418="", " ",IF(ISNA(VLOOKUP(D1418,'[2]stock-take'!$G:$K,4,FALSE)), "OUT OF STOCK", VLOOKUP(D1418,'[2]stock-take'!$G:$K,4,FALSE)))</f>
        <v xml:space="preserve"> </v>
      </c>
      <c r="J1418" s="39">
        <f>IF(ISNA(VLOOKUP(D1418,'[2]stock-take'!$G:$K,3,FALSE)), 0, VLOOKUP(D1418,'[2]stock-take'!$G:$K,3,FALSE))</f>
        <v>0</v>
      </c>
      <c r="K1418" s="49" t="str">
        <f>IF(F1418="", " ", IF(ISNA(VLOOKUP(D1418,'[2]stock-take'!$M:$Q,4,FALSE)), "OUT OF STOCK", VLOOKUP(D1418,'[2]stock-take'!$M:$Q,4,FALSE)))</f>
        <v xml:space="preserve"> </v>
      </c>
      <c r="L1418" s="47">
        <f>IF(ISNA(VLOOKUP(D1418,'[2]stock-take'!$M:$Q,3,FALSE)), 0, VLOOKUP(D1418,'[2]stock-take'!$M:$Q,3,FALSE))</f>
        <v>0</v>
      </c>
      <c r="M1418" s="48" t="str">
        <f t="shared" si="64"/>
        <v xml:space="preserve"> </v>
      </c>
      <c r="N1418" s="39" t="str">
        <f t="shared" si="65"/>
        <v xml:space="preserve"> </v>
      </c>
    </row>
    <row r="1419" spans="1:14">
      <c r="A1419" s="37">
        <f t="shared" si="63"/>
        <v>1408</v>
      </c>
      <c r="G1419" s="48" t="str">
        <f>IF(F1419=""," ",IF(ISNA(VLOOKUP(D1419,'[2]stock-take'!$A:$E,4,FALSE)), "OUT OF STOCK", VLOOKUP(D1419,'[2]stock-take'!$A:$E,4,FALSE)))</f>
        <v xml:space="preserve"> </v>
      </c>
      <c r="H1419" s="48">
        <f>IF(ISNA(VLOOKUP(D1419,'[2]stock-take'!$A:$E,3,FALSE)), 0, VLOOKUP(D1419,'[2]stock-take'!$A:$E,3,FALSE))</f>
        <v>0</v>
      </c>
      <c r="I1419" s="48" t="str">
        <f>IF(F1419="", " ",IF(ISNA(VLOOKUP(D1419,'[2]stock-take'!$G:$K,4,FALSE)), "OUT OF STOCK", VLOOKUP(D1419,'[2]stock-take'!$G:$K,4,FALSE)))</f>
        <v xml:space="preserve"> </v>
      </c>
      <c r="J1419" s="39">
        <f>IF(ISNA(VLOOKUP(D1419,'[2]stock-take'!$G:$K,3,FALSE)), 0, VLOOKUP(D1419,'[2]stock-take'!$G:$K,3,FALSE))</f>
        <v>0</v>
      </c>
      <c r="K1419" s="49" t="str">
        <f>IF(F1419="", " ", IF(ISNA(VLOOKUP(D1419,'[2]stock-take'!$M:$Q,4,FALSE)), "OUT OF STOCK", VLOOKUP(D1419,'[2]stock-take'!$M:$Q,4,FALSE)))</f>
        <v xml:space="preserve"> </v>
      </c>
      <c r="L1419" s="47">
        <f>IF(ISNA(VLOOKUP(D1419,'[2]stock-take'!$M:$Q,3,FALSE)), 0, VLOOKUP(D1419,'[2]stock-take'!$M:$Q,3,FALSE))</f>
        <v>0</v>
      </c>
      <c r="M1419" s="48" t="str">
        <f t="shared" si="64"/>
        <v xml:space="preserve"> </v>
      </c>
      <c r="N1419" s="39" t="str">
        <f t="shared" si="65"/>
        <v xml:space="preserve"> </v>
      </c>
    </row>
    <row r="1420" spans="1:14">
      <c r="A1420" s="37">
        <f t="shared" ref="A1420:A1483" si="66">ROW(A1420)-11</f>
        <v>1409</v>
      </c>
      <c r="G1420" s="48" t="str">
        <f>IF(F1420=""," ",IF(ISNA(VLOOKUP(D1420,'[2]stock-take'!$A:$E,4,FALSE)), "OUT OF STOCK", VLOOKUP(D1420,'[2]stock-take'!$A:$E,4,FALSE)))</f>
        <v xml:space="preserve"> </v>
      </c>
      <c r="H1420" s="48">
        <f>IF(ISNA(VLOOKUP(D1420,'[2]stock-take'!$A:$E,3,FALSE)), 0, VLOOKUP(D1420,'[2]stock-take'!$A:$E,3,FALSE))</f>
        <v>0</v>
      </c>
      <c r="I1420" s="48" t="str">
        <f>IF(F1420="", " ",IF(ISNA(VLOOKUP(D1420,'[2]stock-take'!$G:$K,4,FALSE)), "OUT OF STOCK", VLOOKUP(D1420,'[2]stock-take'!$G:$K,4,FALSE)))</f>
        <v xml:space="preserve"> </v>
      </c>
      <c r="J1420" s="39">
        <f>IF(ISNA(VLOOKUP(D1420,'[2]stock-take'!$G:$K,3,FALSE)), 0, VLOOKUP(D1420,'[2]stock-take'!$G:$K,3,FALSE))</f>
        <v>0</v>
      </c>
      <c r="K1420" s="49" t="str">
        <f>IF(F1420="", " ", IF(ISNA(VLOOKUP(D1420,'[2]stock-take'!$M:$Q,4,FALSE)), "OUT OF STOCK", VLOOKUP(D1420,'[2]stock-take'!$M:$Q,4,FALSE)))</f>
        <v xml:space="preserve"> </v>
      </c>
      <c r="L1420" s="47">
        <f>IF(ISNA(VLOOKUP(D1420,'[2]stock-take'!$M:$Q,3,FALSE)), 0, VLOOKUP(D1420,'[2]stock-take'!$M:$Q,3,FALSE))</f>
        <v>0</v>
      </c>
      <c r="M1420" s="48" t="str">
        <f t="shared" si="64"/>
        <v xml:space="preserve"> </v>
      </c>
      <c r="N1420" s="39" t="str">
        <f t="shared" si="65"/>
        <v xml:space="preserve"> </v>
      </c>
    </row>
    <row r="1421" spans="1:14">
      <c r="A1421" s="37">
        <f t="shared" si="66"/>
        <v>1410</v>
      </c>
      <c r="G1421" s="48" t="str">
        <f>IF(F1421=""," ",IF(ISNA(VLOOKUP(D1421,'[2]stock-take'!$A:$E,4,FALSE)), "OUT OF STOCK", VLOOKUP(D1421,'[2]stock-take'!$A:$E,4,FALSE)))</f>
        <v xml:space="preserve"> </v>
      </c>
      <c r="H1421" s="48">
        <f>IF(ISNA(VLOOKUP(D1421,'[2]stock-take'!$A:$E,3,FALSE)), 0, VLOOKUP(D1421,'[2]stock-take'!$A:$E,3,FALSE))</f>
        <v>0</v>
      </c>
      <c r="I1421" s="48" t="str">
        <f>IF(F1421="", " ",IF(ISNA(VLOOKUP(D1421,'[2]stock-take'!$G:$K,4,FALSE)), "OUT OF STOCK", VLOOKUP(D1421,'[2]stock-take'!$G:$K,4,FALSE)))</f>
        <v xml:space="preserve"> </v>
      </c>
      <c r="J1421" s="39">
        <f>IF(ISNA(VLOOKUP(D1421,'[2]stock-take'!$G:$K,3,FALSE)), 0, VLOOKUP(D1421,'[2]stock-take'!$G:$K,3,FALSE))</f>
        <v>0</v>
      </c>
      <c r="K1421" s="49" t="str">
        <f>IF(F1421="", " ", IF(ISNA(VLOOKUP(D1421,'[2]stock-take'!$M:$Q,4,FALSE)), "OUT OF STOCK", VLOOKUP(D1421,'[2]stock-take'!$M:$Q,4,FALSE)))</f>
        <v xml:space="preserve"> </v>
      </c>
      <c r="L1421" s="47">
        <f>IF(ISNA(VLOOKUP(D1421,'[2]stock-take'!$M:$Q,3,FALSE)), 0, VLOOKUP(D1421,'[2]stock-take'!$M:$Q,3,FALSE))</f>
        <v>0</v>
      </c>
      <c r="M1421" s="48" t="str">
        <f t="shared" ref="M1421:M1484" si="67">IF(F1421=""," ",IF(H1421&gt;=F1421,"Y",IF(J1421&gt;=F1421,"Y",IF(L1421&gt;=F1421,"Y",IF(SUM(H1421,J1421,L1421)&gt;=F1421,"Y","N")))))</f>
        <v xml:space="preserve"> </v>
      </c>
      <c r="N1421" s="39" t="str">
        <f t="shared" ref="N1421:N1484" si="68">IF(F1421=""," ",IF(H1421&gt;=F1421,"ILOOM",IF(J1421&gt;=F1421,"NO.6",IF(L1421&gt;=F1421,"RMD",IF(SUM(H1421,J1421,L1421)&gt;=F1421,"MULTI","LACK")))))</f>
        <v xml:space="preserve"> </v>
      </c>
    </row>
    <row r="1422" spans="1:14">
      <c r="A1422" s="37">
        <f t="shared" si="66"/>
        <v>1411</v>
      </c>
      <c r="G1422" s="48" t="str">
        <f>IF(F1422=""," ",IF(ISNA(VLOOKUP(D1422,'[2]stock-take'!$A:$E,4,FALSE)), "OUT OF STOCK", VLOOKUP(D1422,'[2]stock-take'!$A:$E,4,FALSE)))</f>
        <v xml:space="preserve"> </v>
      </c>
      <c r="H1422" s="48">
        <f>IF(ISNA(VLOOKUP(D1422,'[2]stock-take'!$A:$E,3,FALSE)), 0, VLOOKUP(D1422,'[2]stock-take'!$A:$E,3,FALSE))</f>
        <v>0</v>
      </c>
      <c r="I1422" s="48" t="str">
        <f>IF(F1422="", " ",IF(ISNA(VLOOKUP(D1422,'[2]stock-take'!$G:$K,4,FALSE)), "OUT OF STOCK", VLOOKUP(D1422,'[2]stock-take'!$G:$K,4,FALSE)))</f>
        <v xml:space="preserve"> </v>
      </c>
      <c r="J1422" s="39">
        <f>IF(ISNA(VLOOKUP(D1422,'[2]stock-take'!$G:$K,3,FALSE)), 0, VLOOKUP(D1422,'[2]stock-take'!$G:$K,3,FALSE))</f>
        <v>0</v>
      </c>
      <c r="K1422" s="49" t="str">
        <f>IF(F1422="", " ", IF(ISNA(VLOOKUP(D1422,'[2]stock-take'!$M:$Q,4,FALSE)), "OUT OF STOCK", VLOOKUP(D1422,'[2]stock-take'!$M:$Q,4,FALSE)))</f>
        <v xml:space="preserve"> </v>
      </c>
      <c r="L1422" s="47">
        <f>IF(ISNA(VLOOKUP(D1422,'[2]stock-take'!$M:$Q,3,FALSE)), 0, VLOOKUP(D1422,'[2]stock-take'!$M:$Q,3,FALSE))</f>
        <v>0</v>
      </c>
      <c r="M1422" s="48" t="str">
        <f t="shared" si="67"/>
        <v xml:space="preserve"> </v>
      </c>
      <c r="N1422" s="39" t="str">
        <f t="shared" si="68"/>
        <v xml:space="preserve"> </v>
      </c>
    </row>
    <row r="1423" spans="1:14">
      <c r="A1423" s="37">
        <f t="shared" si="66"/>
        <v>1412</v>
      </c>
      <c r="G1423" s="48" t="str">
        <f>IF(F1423=""," ",IF(ISNA(VLOOKUP(D1423,'[2]stock-take'!$A:$E,4,FALSE)), "OUT OF STOCK", VLOOKUP(D1423,'[2]stock-take'!$A:$E,4,FALSE)))</f>
        <v xml:space="preserve"> </v>
      </c>
      <c r="H1423" s="48">
        <f>IF(ISNA(VLOOKUP(D1423,'[2]stock-take'!$A:$E,3,FALSE)), 0, VLOOKUP(D1423,'[2]stock-take'!$A:$E,3,FALSE))</f>
        <v>0</v>
      </c>
      <c r="I1423" s="48" t="str">
        <f>IF(F1423="", " ",IF(ISNA(VLOOKUP(D1423,'[2]stock-take'!$G:$K,4,FALSE)), "OUT OF STOCK", VLOOKUP(D1423,'[2]stock-take'!$G:$K,4,FALSE)))</f>
        <v xml:space="preserve"> </v>
      </c>
      <c r="J1423" s="39">
        <f>IF(ISNA(VLOOKUP(D1423,'[2]stock-take'!$G:$K,3,FALSE)), 0, VLOOKUP(D1423,'[2]stock-take'!$G:$K,3,FALSE))</f>
        <v>0</v>
      </c>
      <c r="K1423" s="49" t="str">
        <f>IF(F1423="", " ", IF(ISNA(VLOOKUP(D1423,'[2]stock-take'!$M:$Q,4,FALSE)), "OUT OF STOCK", VLOOKUP(D1423,'[2]stock-take'!$M:$Q,4,FALSE)))</f>
        <v xml:space="preserve"> </v>
      </c>
      <c r="L1423" s="47">
        <f>IF(ISNA(VLOOKUP(D1423,'[2]stock-take'!$M:$Q,3,FALSE)), 0, VLOOKUP(D1423,'[2]stock-take'!$M:$Q,3,FALSE))</f>
        <v>0</v>
      </c>
      <c r="M1423" s="48" t="str">
        <f t="shared" si="67"/>
        <v xml:space="preserve"> </v>
      </c>
      <c r="N1423" s="39" t="str">
        <f t="shared" si="68"/>
        <v xml:space="preserve"> </v>
      </c>
    </row>
    <row r="1424" spans="1:14">
      <c r="A1424" s="37">
        <f t="shared" si="66"/>
        <v>1413</v>
      </c>
      <c r="G1424" s="48" t="str">
        <f>IF(F1424=""," ",IF(ISNA(VLOOKUP(D1424,'[2]stock-take'!$A:$E,4,FALSE)), "OUT OF STOCK", VLOOKUP(D1424,'[2]stock-take'!$A:$E,4,FALSE)))</f>
        <v xml:space="preserve"> </v>
      </c>
      <c r="H1424" s="48">
        <f>IF(ISNA(VLOOKUP(D1424,'[2]stock-take'!$A:$E,3,FALSE)), 0, VLOOKUP(D1424,'[2]stock-take'!$A:$E,3,FALSE))</f>
        <v>0</v>
      </c>
      <c r="I1424" s="48" t="str">
        <f>IF(F1424="", " ",IF(ISNA(VLOOKUP(D1424,'[2]stock-take'!$G:$K,4,FALSE)), "OUT OF STOCK", VLOOKUP(D1424,'[2]stock-take'!$G:$K,4,FALSE)))</f>
        <v xml:space="preserve"> </v>
      </c>
      <c r="J1424" s="39">
        <f>IF(ISNA(VLOOKUP(D1424,'[2]stock-take'!$G:$K,3,FALSE)), 0, VLOOKUP(D1424,'[2]stock-take'!$G:$K,3,FALSE))</f>
        <v>0</v>
      </c>
      <c r="K1424" s="49" t="str">
        <f>IF(F1424="", " ", IF(ISNA(VLOOKUP(D1424,'[2]stock-take'!$M:$Q,4,FALSE)), "OUT OF STOCK", VLOOKUP(D1424,'[2]stock-take'!$M:$Q,4,FALSE)))</f>
        <v xml:space="preserve"> </v>
      </c>
      <c r="L1424" s="47">
        <f>IF(ISNA(VLOOKUP(D1424,'[2]stock-take'!$M:$Q,3,FALSE)), 0, VLOOKUP(D1424,'[2]stock-take'!$M:$Q,3,FALSE))</f>
        <v>0</v>
      </c>
      <c r="M1424" s="48" t="str">
        <f t="shared" si="67"/>
        <v xml:space="preserve"> </v>
      </c>
      <c r="N1424" s="39" t="str">
        <f t="shared" si="68"/>
        <v xml:space="preserve"> </v>
      </c>
    </row>
    <row r="1425" spans="1:14">
      <c r="A1425" s="37">
        <f t="shared" si="66"/>
        <v>1414</v>
      </c>
      <c r="G1425" s="48" t="str">
        <f>IF(F1425=""," ",IF(ISNA(VLOOKUP(D1425,'[2]stock-take'!$A:$E,4,FALSE)), "OUT OF STOCK", VLOOKUP(D1425,'[2]stock-take'!$A:$E,4,FALSE)))</f>
        <v xml:space="preserve"> </v>
      </c>
      <c r="H1425" s="48">
        <f>IF(ISNA(VLOOKUP(D1425,'[2]stock-take'!$A:$E,3,FALSE)), 0, VLOOKUP(D1425,'[2]stock-take'!$A:$E,3,FALSE))</f>
        <v>0</v>
      </c>
      <c r="I1425" s="48" t="str">
        <f>IF(F1425="", " ",IF(ISNA(VLOOKUP(D1425,'[2]stock-take'!$G:$K,4,FALSE)), "OUT OF STOCK", VLOOKUP(D1425,'[2]stock-take'!$G:$K,4,FALSE)))</f>
        <v xml:space="preserve"> </v>
      </c>
      <c r="J1425" s="39">
        <f>IF(ISNA(VLOOKUP(D1425,'[2]stock-take'!$G:$K,3,FALSE)), 0, VLOOKUP(D1425,'[2]stock-take'!$G:$K,3,FALSE))</f>
        <v>0</v>
      </c>
      <c r="K1425" s="49" t="str">
        <f>IF(F1425="", " ", IF(ISNA(VLOOKUP(D1425,'[2]stock-take'!$M:$Q,4,FALSE)), "OUT OF STOCK", VLOOKUP(D1425,'[2]stock-take'!$M:$Q,4,FALSE)))</f>
        <v xml:space="preserve"> </v>
      </c>
      <c r="L1425" s="47">
        <f>IF(ISNA(VLOOKUP(D1425,'[2]stock-take'!$M:$Q,3,FALSE)), 0, VLOOKUP(D1425,'[2]stock-take'!$M:$Q,3,FALSE))</f>
        <v>0</v>
      </c>
      <c r="M1425" s="48" t="str">
        <f t="shared" si="67"/>
        <v xml:space="preserve"> </v>
      </c>
      <c r="N1425" s="39" t="str">
        <f t="shared" si="68"/>
        <v xml:space="preserve"> </v>
      </c>
    </row>
    <row r="1426" spans="1:14">
      <c r="A1426" s="37">
        <f t="shared" si="66"/>
        <v>1415</v>
      </c>
      <c r="G1426" s="48" t="str">
        <f>IF(F1426=""," ",IF(ISNA(VLOOKUP(D1426,'[2]stock-take'!$A:$E,4,FALSE)), "OUT OF STOCK", VLOOKUP(D1426,'[2]stock-take'!$A:$E,4,FALSE)))</f>
        <v xml:space="preserve"> </v>
      </c>
      <c r="H1426" s="48">
        <f>IF(ISNA(VLOOKUP(D1426,'[2]stock-take'!$A:$E,3,FALSE)), 0, VLOOKUP(D1426,'[2]stock-take'!$A:$E,3,FALSE))</f>
        <v>0</v>
      </c>
      <c r="I1426" s="48" t="str">
        <f>IF(F1426="", " ",IF(ISNA(VLOOKUP(D1426,'[2]stock-take'!$G:$K,4,FALSE)), "OUT OF STOCK", VLOOKUP(D1426,'[2]stock-take'!$G:$K,4,FALSE)))</f>
        <v xml:space="preserve"> </v>
      </c>
      <c r="J1426" s="39">
        <f>IF(ISNA(VLOOKUP(D1426,'[2]stock-take'!$G:$K,3,FALSE)), 0, VLOOKUP(D1426,'[2]stock-take'!$G:$K,3,FALSE))</f>
        <v>0</v>
      </c>
      <c r="K1426" s="49" t="str">
        <f>IF(F1426="", " ", IF(ISNA(VLOOKUP(D1426,'[2]stock-take'!$M:$Q,4,FALSE)), "OUT OF STOCK", VLOOKUP(D1426,'[2]stock-take'!$M:$Q,4,FALSE)))</f>
        <v xml:space="preserve"> </v>
      </c>
      <c r="L1426" s="47">
        <f>IF(ISNA(VLOOKUP(D1426,'[2]stock-take'!$M:$Q,3,FALSE)), 0, VLOOKUP(D1426,'[2]stock-take'!$M:$Q,3,FALSE))</f>
        <v>0</v>
      </c>
      <c r="M1426" s="48" t="str">
        <f t="shared" si="67"/>
        <v xml:space="preserve"> </v>
      </c>
      <c r="N1426" s="39" t="str">
        <f t="shared" si="68"/>
        <v xml:space="preserve"> </v>
      </c>
    </row>
    <row r="1427" spans="1:14">
      <c r="A1427" s="37">
        <f t="shared" si="66"/>
        <v>1416</v>
      </c>
      <c r="G1427" s="48" t="str">
        <f>IF(F1427=""," ",IF(ISNA(VLOOKUP(D1427,'[2]stock-take'!$A:$E,4,FALSE)), "OUT OF STOCK", VLOOKUP(D1427,'[2]stock-take'!$A:$E,4,FALSE)))</f>
        <v xml:space="preserve"> </v>
      </c>
      <c r="H1427" s="48">
        <f>IF(ISNA(VLOOKUP(D1427,'[2]stock-take'!$A:$E,3,FALSE)), 0, VLOOKUP(D1427,'[2]stock-take'!$A:$E,3,FALSE))</f>
        <v>0</v>
      </c>
      <c r="I1427" s="48" t="str">
        <f>IF(F1427="", " ",IF(ISNA(VLOOKUP(D1427,'[2]stock-take'!$G:$K,4,FALSE)), "OUT OF STOCK", VLOOKUP(D1427,'[2]stock-take'!$G:$K,4,FALSE)))</f>
        <v xml:space="preserve"> </v>
      </c>
      <c r="J1427" s="39">
        <f>IF(ISNA(VLOOKUP(D1427,'[2]stock-take'!$G:$K,3,FALSE)), 0, VLOOKUP(D1427,'[2]stock-take'!$G:$K,3,FALSE))</f>
        <v>0</v>
      </c>
      <c r="K1427" s="49" t="str">
        <f>IF(F1427="", " ", IF(ISNA(VLOOKUP(D1427,'[2]stock-take'!$M:$Q,4,FALSE)), "OUT OF STOCK", VLOOKUP(D1427,'[2]stock-take'!$M:$Q,4,FALSE)))</f>
        <v xml:space="preserve"> </v>
      </c>
      <c r="L1427" s="47">
        <f>IF(ISNA(VLOOKUP(D1427,'[2]stock-take'!$M:$Q,3,FALSE)), 0, VLOOKUP(D1427,'[2]stock-take'!$M:$Q,3,FALSE))</f>
        <v>0</v>
      </c>
      <c r="M1427" s="48" t="str">
        <f t="shared" si="67"/>
        <v xml:space="preserve"> </v>
      </c>
      <c r="N1427" s="39" t="str">
        <f t="shared" si="68"/>
        <v xml:space="preserve"> </v>
      </c>
    </row>
    <row r="1428" spans="1:14">
      <c r="A1428" s="37">
        <f t="shared" si="66"/>
        <v>1417</v>
      </c>
      <c r="G1428" s="48" t="str">
        <f>IF(F1428=""," ",IF(ISNA(VLOOKUP(D1428,'[2]stock-take'!$A:$E,4,FALSE)), "OUT OF STOCK", VLOOKUP(D1428,'[2]stock-take'!$A:$E,4,FALSE)))</f>
        <v xml:space="preserve"> </v>
      </c>
      <c r="H1428" s="48">
        <f>IF(ISNA(VLOOKUP(D1428,'[2]stock-take'!$A:$E,3,FALSE)), 0, VLOOKUP(D1428,'[2]stock-take'!$A:$E,3,FALSE))</f>
        <v>0</v>
      </c>
      <c r="I1428" s="48" t="str">
        <f>IF(F1428="", " ",IF(ISNA(VLOOKUP(D1428,'[2]stock-take'!$G:$K,4,FALSE)), "OUT OF STOCK", VLOOKUP(D1428,'[2]stock-take'!$G:$K,4,FALSE)))</f>
        <v xml:space="preserve"> </v>
      </c>
      <c r="J1428" s="39">
        <f>IF(ISNA(VLOOKUP(D1428,'[2]stock-take'!$G:$K,3,FALSE)), 0, VLOOKUP(D1428,'[2]stock-take'!$G:$K,3,FALSE))</f>
        <v>0</v>
      </c>
      <c r="K1428" s="49" t="str">
        <f>IF(F1428="", " ", IF(ISNA(VLOOKUP(D1428,'[2]stock-take'!$M:$Q,4,FALSE)), "OUT OF STOCK", VLOOKUP(D1428,'[2]stock-take'!$M:$Q,4,FALSE)))</f>
        <v xml:space="preserve"> </v>
      </c>
      <c r="L1428" s="47">
        <f>IF(ISNA(VLOOKUP(D1428,'[2]stock-take'!$M:$Q,3,FALSE)), 0, VLOOKUP(D1428,'[2]stock-take'!$M:$Q,3,FALSE))</f>
        <v>0</v>
      </c>
      <c r="M1428" s="48" t="str">
        <f t="shared" si="67"/>
        <v xml:space="preserve"> </v>
      </c>
      <c r="N1428" s="39" t="str">
        <f t="shared" si="68"/>
        <v xml:space="preserve"> </v>
      </c>
    </row>
    <row r="1429" spans="1:14">
      <c r="A1429" s="37">
        <f t="shared" si="66"/>
        <v>1418</v>
      </c>
      <c r="G1429" s="48" t="str">
        <f>IF(F1429=""," ",IF(ISNA(VLOOKUP(D1429,'[2]stock-take'!$A:$E,4,FALSE)), "OUT OF STOCK", VLOOKUP(D1429,'[2]stock-take'!$A:$E,4,FALSE)))</f>
        <v xml:space="preserve"> </v>
      </c>
      <c r="H1429" s="48">
        <f>IF(ISNA(VLOOKUP(D1429,'[2]stock-take'!$A:$E,3,FALSE)), 0, VLOOKUP(D1429,'[2]stock-take'!$A:$E,3,FALSE))</f>
        <v>0</v>
      </c>
      <c r="I1429" s="48" t="str">
        <f>IF(F1429="", " ",IF(ISNA(VLOOKUP(D1429,'[2]stock-take'!$G:$K,4,FALSE)), "OUT OF STOCK", VLOOKUP(D1429,'[2]stock-take'!$G:$K,4,FALSE)))</f>
        <v xml:space="preserve"> </v>
      </c>
      <c r="J1429" s="39">
        <f>IF(ISNA(VLOOKUP(D1429,'[2]stock-take'!$G:$K,3,FALSE)), 0, VLOOKUP(D1429,'[2]stock-take'!$G:$K,3,FALSE))</f>
        <v>0</v>
      </c>
      <c r="K1429" s="49" t="str">
        <f>IF(F1429="", " ", IF(ISNA(VLOOKUP(D1429,'[2]stock-take'!$M:$Q,4,FALSE)), "OUT OF STOCK", VLOOKUP(D1429,'[2]stock-take'!$M:$Q,4,FALSE)))</f>
        <v xml:space="preserve"> </v>
      </c>
      <c r="L1429" s="47">
        <f>IF(ISNA(VLOOKUP(D1429,'[2]stock-take'!$M:$Q,3,FALSE)), 0, VLOOKUP(D1429,'[2]stock-take'!$M:$Q,3,FALSE))</f>
        <v>0</v>
      </c>
      <c r="M1429" s="48" t="str">
        <f t="shared" si="67"/>
        <v xml:space="preserve"> </v>
      </c>
      <c r="N1429" s="39" t="str">
        <f t="shared" si="68"/>
        <v xml:space="preserve"> </v>
      </c>
    </row>
    <row r="1430" spans="1:14">
      <c r="A1430" s="37">
        <f t="shared" si="66"/>
        <v>1419</v>
      </c>
      <c r="G1430" s="48" t="str">
        <f>IF(F1430=""," ",IF(ISNA(VLOOKUP(D1430,'[2]stock-take'!$A:$E,4,FALSE)), "OUT OF STOCK", VLOOKUP(D1430,'[2]stock-take'!$A:$E,4,FALSE)))</f>
        <v xml:space="preserve"> </v>
      </c>
      <c r="H1430" s="48">
        <f>IF(ISNA(VLOOKUP(D1430,'[2]stock-take'!$A:$E,3,FALSE)), 0, VLOOKUP(D1430,'[2]stock-take'!$A:$E,3,FALSE))</f>
        <v>0</v>
      </c>
      <c r="I1430" s="48" t="str">
        <f>IF(F1430="", " ",IF(ISNA(VLOOKUP(D1430,'[2]stock-take'!$G:$K,4,FALSE)), "OUT OF STOCK", VLOOKUP(D1430,'[2]stock-take'!$G:$K,4,FALSE)))</f>
        <v xml:space="preserve"> </v>
      </c>
      <c r="J1430" s="39">
        <f>IF(ISNA(VLOOKUP(D1430,'[2]stock-take'!$G:$K,3,FALSE)), 0, VLOOKUP(D1430,'[2]stock-take'!$G:$K,3,FALSE))</f>
        <v>0</v>
      </c>
      <c r="K1430" s="49" t="str">
        <f>IF(F1430="", " ", IF(ISNA(VLOOKUP(D1430,'[2]stock-take'!$M:$Q,4,FALSE)), "OUT OF STOCK", VLOOKUP(D1430,'[2]stock-take'!$M:$Q,4,FALSE)))</f>
        <v xml:space="preserve"> </v>
      </c>
      <c r="L1430" s="47">
        <f>IF(ISNA(VLOOKUP(D1430,'[2]stock-take'!$M:$Q,3,FALSE)), 0, VLOOKUP(D1430,'[2]stock-take'!$M:$Q,3,FALSE))</f>
        <v>0</v>
      </c>
      <c r="M1430" s="48" t="str">
        <f t="shared" si="67"/>
        <v xml:space="preserve"> </v>
      </c>
      <c r="N1430" s="39" t="str">
        <f t="shared" si="68"/>
        <v xml:space="preserve"> </v>
      </c>
    </row>
    <row r="1431" spans="1:14">
      <c r="A1431" s="37">
        <f t="shared" si="66"/>
        <v>1420</v>
      </c>
      <c r="G1431" s="48" t="str">
        <f>IF(F1431=""," ",IF(ISNA(VLOOKUP(D1431,'[2]stock-take'!$A:$E,4,FALSE)), "OUT OF STOCK", VLOOKUP(D1431,'[2]stock-take'!$A:$E,4,FALSE)))</f>
        <v xml:space="preserve"> </v>
      </c>
      <c r="H1431" s="48">
        <f>IF(ISNA(VLOOKUP(D1431,'[2]stock-take'!$A:$E,3,FALSE)), 0, VLOOKUP(D1431,'[2]stock-take'!$A:$E,3,FALSE))</f>
        <v>0</v>
      </c>
      <c r="I1431" s="48" t="str">
        <f>IF(F1431="", " ",IF(ISNA(VLOOKUP(D1431,'[2]stock-take'!$G:$K,4,FALSE)), "OUT OF STOCK", VLOOKUP(D1431,'[2]stock-take'!$G:$K,4,FALSE)))</f>
        <v xml:space="preserve"> </v>
      </c>
      <c r="J1431" s="39">
        <f>IF(ISNA(VLOOKUP(D1431,'[2]stock-take'!$G:$K,3,FALSE)), 0, VLOOKUP(D1431,'[2]stock-take'!$G:$K,3,FALSE))</f>
        <v>0</v>
      </c>
      <c r="K1431" s="49" t="str">
        <f>IF(F1431="", " ", IF(ISNA(VLOOKUP(D1431,'[2]stock-take'!$M:$Q,4,FALSE)), "OUT OF STOCK", VLOOKUP(D1431,'[2]stock-take'!$M:$Q,4,FALSE)))</f>
        <v xml:space="preserve"> </v>
      </c>
      <c r="L1431" s="47">
        <f>IF(ISNA(VLOOKUP(D1431,'[2]stock-take'!$M:$Q,3,FALSE)), 0, VLOOKUP(D1431,'[2]stock-take'!$M:$Q,3,FALSE))</f>
        <v>0</v>
      </c>
      <c r="M1431" s="48" t="str">
        <f t="shared" si="67"/>
        <v xml:space="preserve"> </v>
      </c>
      <c r="N1431" s="39" t="str">
        <f t="shared" si="68"/>
        <v xml:space="preserve"> </v>
      </c>
    </row>
    <row r="1432" spans="1:14">
      <c r="A1432" s="37">
        <f t="shared" si="66"/>
        <v>1421</v>
      </c>
      <c r="G1432" s="48" t="str">
        <f>IF(F1432=""," ",IF(ISNA(VLOOKUP(D1432,'[2]stock-take'!$A:$E,4,FALSE)), "OUT OF STOCK", VLOOKUP(D1432,'[2]stock-take'!$A:$E,4,FALSE)))</f>
        <v xml:space="preserve"> </v>
      </c>
      <c r="H1432" s="48">
        <f>IF(ISNA(VLOOKUP(D1432,'[2]stock-take'!$A:$E,3,FALSE)), 0, VLOOKUP(D1432,'[2]stock-take'!$A:$E,3,FALSE))</f>
        <v>0</v>
      </c>
      <c r="I1432" s="48" t="str">
        <f>IF(F1432="", " ",IF(ISNA(VLOOKUP(D1432,'[2]stock-take'!$G:$K,4,FALSE)), "OUT OF STOCK", VLOOKUP(D1432,'[2]stock-take'!$G:$K,4,FALSE)))</f>
        <v xml:space="preserve"> </v>
      </c>
      <c r="J1432" s="39">
        <f>IF(ISNA(VLOOKUP(D1432,'[2]stock-take'!$G:$K,3,FALSE)), 0, VLOOKUP(D1432,'[2]stock-take'!$G:$K,3,FALSE))</f>
        <v>0</v>
      </c>
      <c r="K1432" s="49" t="str">
        <f>IF(F1432="", " ", IF(ISNA(VLOOKUP(D1432,'[2]stock-take'!$M:$Q,4,FALSE)), "OUT OF STOCK", VLOOKUP(D1432,'[2]stock-take'!$M:$Q,4,FALSE)))</f>
        <v xml:space="preserve"> </v>
      </c>
      <c r="L1432" s="47">
        <f>IF(ISNA(VLOOKUP(D1432,'[2]stock-take'!$M:$Q,3,FALSE)), 0, VLOOKUP(D1432,'[2]stock-take'!$M:$Q,3,FALSE))</f>
        <v>0</v>
      </c>
      <c r="M1432" s="48" t="str">
        <f t="shared" si="67"/>
        <v xml:space="preserve"> </v>
      </c>
      <c r="N1432" s="39" t="str">
        <f t="shared" si="68"/>
        <v xml:space="preserve"> </v>
      </c>
    </row>
    <row r="1433" spans="1:14">
      <c r="A1433" s="37">
        <f t="shared" si="66"/>
        <v>1422</v>
      </c>
      <c r="G1433" s="48" t="str">
        <f>IF(F1433=""," ",IF(ISNA(VLOOKUP(D1433,'[2]stock-take'!$A:$E,4,FALSE)), "OUT OF STOCK", VLOOKUP(D1433,'[2]stock-take'!$A:$E,4,FALSE)))</f>
        <v xml:space="preserve"> </v>
      </c>
      <c r="H1433" s="48">
        <f>IF(ISNA(VLOOKUP(D1433,'[2]stock-take'!$A:$E,3,FALSE)), 0, VLOOKUP(D1433,'[2]stock-take'!$A:$E,3,FALSE))</f>
        <v>0</v>
      </c>
      <c r="I1433" s="48" t="str">
        <f>IF(F1433="", " ",IF(ISNA(VLOOKUP(D1433,'[2]stock-take'!$G:$K,4,FALSE)), "OUT OF STOCK", VLOOKUP(D1433,'[2]stock-take'!$G:$K,4,FALSE)))</f>
        <v xml:space="preserve"> </v>
      </c>
      <c r="J1433" s="39">
        <f>IF(ISNA(VLOOKUP(D1433,'[2]stock-take'!$G:$K,3,FALSE)), 0, VLOOKUP(D1433,'[2]stock-take'!$G:$K,3,FALSE))</f>
        <v>0</v>
      </c>
      <c r="K1433" s="49" t="str">
        <f>IF(F1433="", " ", IF(ISNA(VLOOKUP(D1433,'[2]stock-take'!$M:$Q,4,FALSE)), "OUT OF STOCK", VLOOKUP(D1433,'[2]stock-take'!$M:$Q,4,FALSE)))</f>
        <v xml:space="preserve"> </v>
      </c>
      <c r="L1433" s="47">
        <f>IF(ISNA(VLOOKUP(D1433,'[2]stock-take'!$M:$Q,3,FALSE)), 0, VLOOKUP(D1433,'[2]stock-take'!$M:$Q,3,FALSE))</f>
        <v>0</v>
      </c>
      <c r="M1433" s="48" t="str">
        <f t="shared" si="67"/>
        <v xml:space="preserve"> </v>
      </c>
      <c r="N1433" s="39" t="str">
        <f t="shared" si="68"/>
        <v xml:space="preserve"> </v>
      </c>
    </row>
    <row r="1434" spans="1:14">
      <c r="A1434" s="37">
        <f t="shared" si="66"/>
        <v>1423</v>
      </c>
      <c r="G1434" s="48" t="str">
        <f>IF(F1434=""," ",IF(ISNA(VLOOKUP(D1434,'[2]stock-take'!$A:$E,4,FALSE)), "OUT OF STOCK", VLOOKUP(D1434,'[2]stock-take'!$A:$E,4,FALSE)))</f>
        <v xml:space="preserve"> </v>
      </c>
      <c r="H1434" s="48">
        <f>IF(ISNA(VLOOKUP(D1434,'[2]stock-take'!$A:$E,3,FALSE)), 0, VLOOKUP(D1434,'[2]stock-take'!$A:$E,3,FALSE))</f>
        <v>0</v>
      </c>
      <c r="I1434" s="48" t="str">
        <f>IF(F1434="", " ",IF(ISNA(VLOOKUP(D1434,'[2]stock-take'!$G:$K,4,FALSE)), "OUT OF STOCK", VLOOKUP(D1434,'[2]stock-take'!$G:$K,4,FALSE)))</f>
        <v xml:space="preserve"> </v>
      </c>
      <c r="J1434" s="39">
        <f>IF(ISNA(VLOOKUP(D1434,'[2]stock-take'!$G:$K,3,FALSE)), 0, VLOOKUP(D1434,'[2]stock-take'!$G:$K,3,FALSE))</f>
        <v>0</v>
      </c>
      <c r="K1434" s="49" t="str">
        <f>IF(F1434="", " ", IF(ISNA(VLOOKUP(D1434,'[2]stock-take'!$M:$Q,4,FALSE)), "OUT OF STOCK", VLOOKUP(D1434,'[2]stock-take'!$M:$Q,4,FALSE)))</f>
        <v xml:space="preserve"> </v>
      </c>
      <c r="L1434" s="47">
        <f>IF(ISNA(VLOOKUP(D1434,'[2]stock-take'!$M:$Q,3,FALSE)), 0, VLOOKUP(D1434,'[2]stock-take'!$M:$Q,3,FALSE))</f>
        <v>0</v>
      </c>
      <c r="M1434" s="48" t="str">
        <f t="shared" si="67"/>
        <v xml:space="preserve"> </v>
      </c>
      <c r="N1434" s="39" t="str">
        <f t="shared" si="68"/>
        <v xml:space="preserve"> </v>
      </c>
    </row>
    <row r="1435" spans="1:14">
      <c r="A1435" s="37">
        <f t="shared" si="66"/>
        <v>1424</v>
      </c>
      <c r="G1435" s="48" t="str">
        <f>IF(F1435=""," ",IF(ISNA(VLOOKUP(D1435,'[2]stock-take'!$A:$E,4,FALSE)), "OUT OF STOCK", VLOOKUP(D1435,'[2]stock-take'!$A:$E,4,FALSE)))</f>
        <v xml:space="preserve"> </v>
      </c>
      <c r="H1435" s="48">
        <f>IF(ISNA(VLOOKUP(D1435,'[2]stock-take'!$A:$E,3,FALSE)), 0, VLOOKUP(D1435,'[2]stock-take'!$A:$E,3,FALSE))</f>
        <v>0</v>
      </c>
      <c r="I1435" s="48" t="str">
        <f>IF(F1435="", " ",IF(ISNA(VLOOKUP(D1435,'[2]stock-take'!$G:$K,4,FALSE)), "OUT OF STOCK", VLOOKUP(D1435,'[2]stock-take'!$G:$K,4,FALSE)))</f>
        <v xml:space="preserve"> </v>
      </c>
      <c r="J1435" s="39">
        <f>IF(ISNA(VLOOKUP(D1435,'[2]stock-take'!$G:$K,3,FALSE)), 0, VLOOKUP(D1435,'[2]stock-take'!$G:$K,3,FALSE))</f>
        <v>0</v>
      </c>
      <c r="K1435" s="49" t="str">
        <f>IF(F1435="", " ", IF(ISNA(VLOOKUP(D1435,'[2]stock-take'!$M:$Q,4,FALSE)), "OUT OF STOCK", VLOOKUP(D1435,'[2]stock-take'!$M:$Q,4,FALSE)))</f>
        <v xml:space="preserve"> </v>
      </c>
      <c r="L1435" s="47">
        <f>IF(ISNA(VLOOKUP(D1435,'[2]stock-take'!$M:$Q,3,FALSE)), 0, VLOOKUP(D1435,'[2]stock-take'!$M:$Q,3,FALSE))</f>
        <v>0</v>
      </c>
      <c r="M1435" s="48" t="str">
        <f t="shared" si="67"/>
        <v xml:space="preserve"> </v>
      </c>
      <c r="N1435" s="39" t="str">
        <f t="shared" si="68"/>
        <v xml:space="preserve"> </v>
      </c>
    </row>
    <row r="1436" spans="1:14">
      <c r="A1436" s="37">
        <f t="shared" si="66"/>
        <v>1425</v>
      </c>
      <c r="G1436" s="48" t="str">
        <f>IF(F1436=""," ",IF(ISNA(VLOOKUP(D1436,'[2]stock-take'!$A:$E,4,FALSE)), "OUT OF STOCK", VLOOKUP(D1436,'[2]stock-take'!$A:$E,4,FALSE)))</f>
        <v xml:space="preserve"> </v>
      </c>
      <c r="H1436" s="48">
        <f>IF(ISNA(VLOOKUP(D1436,'[2]stock-take'!$A:$E,3,FALSE)), 0, VLOOKUP(D1436,'[2]stock-take'!$A:$E,3,FALSE))</f>
        <v>0</v>
      </c>
      <c r="I1436" s="48" t="str">
        <f>IF(F1436="", " ",IF(ISNA(VLOOKUP(D1436,'[2]stock-take'!$G:$K,4,FALSE)), "OUT OF STOCK", VLOOKUP(D1436,'[2]stock-take'!$G:$K,4,FALSE)))</f>
        <v xml:space="preserve"> </v>
      </c>
      <c r="J1436" s="39">
        <f>IF(ISNA(VLOOKUP(D1436,'[2]stock-take'!$G:$K,3,FALSE)), 0, VLOOKUP(D1436,'[2]stock-take'!$G:$K,3,FALSE))</f>
        <v>0</v>
      </c>
      <c r="K1436" s="49" t="str">
        <f>IF(F1436="", " ", IF(ISNA(VLOOKUP(D1436,'[2]stock-take'!$M:$Q,4,FALSE)), "OUT OF STOCK", VLOOKUP(D1436,'[2]stock-take'!$M:$Q,4,FALSE)))</f>
        <v xml:space="preserve"> </v>
      </c>
      <c r="L1436" s="47">
        <f>IF(ISNA(VLOOKUP(D1436,'[2]stock-take'!$M:$Q,3,FALSE)), 0, VLOOKUP(D1436,'[2]stock-take'!$M:$Q,3,FALSE))</f>
        <v>0</v>
      </c>
      <c r="M1436" s="48" t="str">
        <f t="shared" si="67"/>
        <v xml:space="preserve"> </v>
      </c>
      <c r="N1436" s="39" t="str">
        <f t="shared" si="68"/>
        <v xml:space="preserve"> </v>
      </c>
    </row>
    <row r="1437" spans="1:14">
      <c r="A1437" s="37">
        <f t="shared" si="66"/>
        <v>1426</v>
      </c>
      <c r="G1437" s="48" t="str">
        <f>IF(F1437=""," ",IF(ISNA(VLOOKUP(D1437,'[2]stock-take'!$A:$E,4,FALSE)), "OUT OF STOCK", VLOOKUP(D1437,'[2]stock-take'!$A:$E,4,FALSE)))</f>
        <v xml:space="preserve"> </v>
      </c>
      <c r="H1437" s="48">
        <f>IF(ISNA(VLOOKUP(D1437,'[2]stock-take'!$A:$E,3,FALSE)), 0, VLOOKUP(D1437,'[2]stock-take'!$A:$E,3,FALSE))</f>
        <v>0</v>
      </c>
      <c r="I1437" s="48" t="str">
        <f>IF(F1437="", " ",IF(ISNA(VLOOKUP(D1437,'[2]stock-take'!$G:$K,4,FALSE)), "OUT OF STOCK", VLOOKUP(D1437,'[2]stock-take'!$G:$K,4,FALSE)))</f>
        <v xml:space="preserve"> </v>
      </c>
      <c r="J1437" s="39">
        <f>IF(ISNA(VLOOKUP(D1437,'[2]stock-take'!$G:$K,3,FALSE)), 0, VLOOKUP(D1437,'[2]stock-take'!$G:$K,3,FALSE))</f>
        <v>0</v>
      </c>
      <c r="K1437" s="49" t="str">
        <f>IF(F1437="", " ", IF(ISNA(VLOOKUP(D1437,'[2]stock-take'!$M:$Q,4,FALSE)), "OUT OF STOCK", VLOOKUP(D1437,'[2]stock-take'!$M:$Q,4,FALSE)))</f>
        <v xml:space="preserve"> </v>
      </c>
      <c r="L1437" s="47">
        <f>IF(ISNA(VLOOKUP(D1437,'[2]stock-take'!$M:$Q,3,FALSE)), 0, VLOOKUP(D1437,'[2]stock-take'!$M:$Q,3,FALSE))</f>
        <v>0</v>
      </c>
      <c r="M1437" s="48" t="str">
        <f t="shared" si="67"/>
        <v xml:space="preserve"> </v>
      </c>
      <c r="N1437" s="39" t="str">
        <f t="shared" si="68"/>
        <v xml:space="preserve"> </v>
      </c>
    </row>
    <row r="1438" spans="1:14">
      <c r="A1438" s="37">
        <f t="shared" si="66"/>
        <v>1427</v>
      </c>
      <c r="G1438" s="48" t="str">
        <f>IF(F1438=""," ",IF(ISNA(VLOOKUP(D1438,'[2]stock-take'!$A:$E,4,FALSE)), "OUT OF STOCK", VLOOKUP(D1438,'[2]stock-take'!$A:$E,4,FALSE)))</f>
        <v xml:space="preserve"> </v>
      </c>
      <c r="H1438" s="48">
        <f>IF(ISNA(VLOOKUP(D1438,'[2]stock-take'!$A:$E,3,FALSE)), 0, VLOOKUP(D1438,'[2]stock-take'!$A:$E,3,FALSE))</f>
        <v>0</v>
      </c>
      <c r="I1438" s="48" t="str">
        <f>IF(F1438="", " ",IF(ISNA(VLOOKUP(D1438,'[2]stock-take'!$G:$K,4,FALSE)), "OUT OF STOCK", VLOOKUP(D1438,'[2]stock-take'!$G:$K,4,FALSE)))</f>
        <v xml:space="preserve"> </v>
      </c>
      <c r="J1438" s="39">
        <f>IF(ISNA(VLOOKUP(D1438,'[2]stock-take'!$G:$K,3,FALSE)), 0, VLOOKUP(D1438,'[2]stock-take'!$G:$K,3,FALSE))</f>
        <v>0</v>
      </c>
      <c r="K1438" s="49" t="str">
        <f>IF(F1438="", " ", IF(ISNA(VLOOKUP(D1438,'[2]stock-take'!$M:$Q,4,FALSE)), "OUT OF STOCK", VLOOKUP(D1438,'[2]stock-take'!$M:$Q,4,FALSE)))</f>
        <v xml:space="preserve"> </v>
      </c>
      <c r="L1438" s="47">
        <f>IF(ISNA(VLOOKUP(D1438,'[2]stock-take'!$M:$Q,3,FALSE)), 0, VLOOKUP(D1438,'[2]stock-take'!$M:$Q,3,FALSE))</f>
        <v>0</v>
      </c>
      <c r="M1438" s="48" t="str">
        <f t="shared" si="67"/>
        <v xml:space="preserve"> </v>
      </c>
      <c r="N1438" s="39" t="str">
        <f t="shared" si="68"/>
        <v xml:space="preserve"> </v>
      </c>
    </row>
    <row r="1439" spans="1:14">
      <c r="A1439" s="37">
        <f t="shared" si="66"/>
        <v>1428</v>
      </c>
      <c r="G1439" s="48" t="str">
        <f>IF(F1439=""," ",IF(ISNA(VLOOKUP(D1439,'[2]stock-take'!$A:$E,4,FALSE)), "OUT OF STOCK", VLOOKUP(D1439,'[2]stock-take'!$A:$E,4,FALSE)))</f>
        <v xml:space="preserve"> </v>
      </c>
      <c r="H1439" s="48">
        <f>IF(ISNA(VLOOKUP(D1439,'[2]stock-take'!$A:$E,3,FALSE)), 0, VLOOKUP(D1439,'[2]stock-take'!$A:$E,3,FALSE))</f>
        <v>0</v>
      </c>
      <c r="I1439" s="48" t="str">
        <f>IF(F1439="", " ",IF(ISNA(VLOOKUP(D1439,'[2]stock-take'!$G:$K,4,FALSE)), "OUT OF STOCK", VLOOKUP(D1439,'[2]stock-take'!$G:$K,4,FALSE)))</f>
        <v xml:space="preserve"> </v>
      </c>
      <c r="J1439" s="39">
        <f>IF(ISNA(VLOOKUP(D1439,'[2]stock-take'!$G:$K,3,FALSE)), 0, VLOOKUP(D1439,'[2]stock-take'!$G:$K,3,FALSE))</f>
        <v>0</v>
      </c>
      <c r="K1439" s="49" t="str">
        <f>IF(F1439="", " ", IF(ISNA(VLOOKUP(D1439,'[2]stock-take'!$M:$Q,4,FALSE)), "OUT OF STOCK", VLOOKUP(D1439,'[2]stock-take'!$M:$Q,4,FALSE)))</f>
        <v xml:space="preserve"> </v>
      </c>
      <c r="L1439" s="47">
        <f>IF(ISNA(VLOOKUP(D1439,'[2]stock-take'!$M:$Q,3,FALSE)), 0, VLOOKUP(D1439,'[2]stock-take'!$M:$Q,3,FALSE))</f>
        <v>0</v>
      </c>
      <c r="M1439" s="48" t="str">
        <f t="shared" si="67"/>
        <v xml:space="preserve"> </v>
      </c>
      <c r="N1439" s="39" t="str">
        <f t="shared" si="68"/>
        <v xml:space="preserve"> </v>
      </c>
    </row>
    <row r="1440" spans="1:14">
      <c r="A1440" s="37">
        <f t="shared" si="66"/>
        <v>1429</v>
      </c>
      <c r="G1440" s="48" t="str">
        <f>IF(F1440=""," ",IF(ISNA(VLOOKUP(D1440,'[2]stock-take'!$A:$E,4,FALSE)), "OUT OF STOCK", VLOOKUP(D1440,'[2]stock-take'!$A:$E,4,FALSE)))</f>
        <v xml:space="preserve"> </v>
      </c>
      <c r="H1440" s="48">
        <f>IF(ISNA(VLOOKUP(D1440,'[2]stock-take'!$A:$E,3,FALSE)), 0, VLOOKUP(D1440,'[2]stock-take'!$A:$E,3,FALSE))</f>
        <v>0</v>
      </c>
      <c r="I1440" s="48" t="str">
        <f>IF(F1440="", " ",IF(ISNA(VLOOKUP(D1440,'[2]stock-take'!$G:$K,4,FALSE)), "OUT OF STOCK", VLOOKUP(D1440,'[2]stock-take'!$G:$K,4,FALSE)))</f>
        <v xml:space="preserve"> </v>
      </c>
      <c r="J1440" s="39">
        <f>IF(ISNA(VLOOKUP(D1440,'[2]stock-take'!$G:$K,3,FALSE)), 0, VLOOKUP(D1440,'[2]stock-take'!$G:$K,3,FALSE))</f>
        <v>0</v>
      </c>
      <c r="K1440" s="49" t="str">
        <f>IF(F1440="", " ", IF(ISNA(VLOOKUP(D1440,'[2]stock-take'!$M:$Q,4,FALSE)), "OUT OF STOCK", VLOOKUP(D1440,'[2]stock-take'!$M:$Q,4,FALSE)))</f>
        <v xml:space="preserve"> </v>
      </c>
      <c r="L1440" s="47">
        <f>IF(ISNA(VLOOKUP(D1440,'[2]stock-take'!$M:$Q,3,FALSE)), 0, VLOOKUP(D1440,'[2]stock-take'!$M:$Q,3,FALSE))</f>
        <v>0</v>
      </c>
      <c r="M1440" s="48" t="str">
        <f t="shared" si="67"/>
        <v xml:space="preserve"> </v>
      </c>
      <c r="N1440" s="39" t="str">
        <f t="shared" si="68"/>
        <v xml:space="preserve"> </v>
      </c>
    </row>
    <row r="1441" spans="1:14">
      <c r="A1441" s="37">
        <f t="shared" si="66"/>
        <v>1430</v>
      </c>
      <c r="G1441" s="48" t="str">
        <f>IF(F1441=""," ",IF(ISNA(VLOOKUP(D1441,'[2]stock-take'!$A:$E,4,FALSE)), "OUT OF STOCK", VLOOKUP(D1441,'[2]stock-take'!$A:$E,4,FALSE)))</f>
        <v xml:space="preserve"> </v>
      </c>
      <c r="H1441" s="48">
        <f>IF(ISNA(VLOOKUP(D1441,'[2]stock-take'!$A:$E,3,FALSE)), 0, VLOOKUP(D1441,'[2]stock-take'!$A:$E,3,FALSE))</f>
        <v>0</v>
      </c>
      <c r="I1441" s="48" t="str">
        <f>IF(F1441="", " ",IF(ISNA(VLOOKUP(D1441,'[2]stock-take'!$G:$K,4,FALSE)), "OUT OF STOCK", VLOOKUP(D1441,'[2]stock-take'!$G:$K,4,FALSE)))</f>
        <v xml:space="preserve"> </v>
      </c>
      <c r="J1441" s="39">
        <f>IF(ISNA(VLOOKUP(D1441,'[2]stock-take'!$G:$K,3,FALSE)), 0, VLOOKUP(D1441,'[2]stock-take'!$G:$K,3,FALSE))</f>
        <v>0</v>
      </c>
      <c r="K1441" s="49" t="str">
        <f>IF(F1441="", " ", IF(ISNA(VLOOKUP(D1441,'[2]stock-take'!$M:$Q,4,FALSE)), "OUT OF STOCK", VLOOKUP(D1441,'[2]stock-take'!$M:$Q,4,FALSE)))</f>
        <v xml:space="preserve"> </v>
      </c>
      <c r="L1441" s="47">
        <f>IF(ISNA(VLOOKUP(D1441,'[2]stock-take'!$M:$Q,3,FALSE)), 0, VLOOKUP(D1441,'[2]stock-take'!$M:$Q,3,FALSE))</f>
        <v>0</v>
      </c>
      <c r="M1441" s="48" t="str">
        <f t="shared" si="67"/>
        <v xml:space="preserve"> </v>
      </c>
      <c r="N1441" s="39" t="str">
        <f t="shared" si="68"/>
        <v xml:space="preserve"> </v>
      </c>
    </row>
    <row r="1442" spans="1:14">
      <c r="A1442" s="37">
        <f t="shared" si="66"/>
        <v>1431</v>
      </c>
      <c r="G1442" s="48" t="str">
        <f>IF(F1442=""," ",IF(ISNA(VLOOKUP(D1442,'[2]stock-take'!$A:$E,4,FALSE)), "OUT OF STOCK", VLOOKUP(D1442,'[2]stock-take'!$A:$E,4,FALSE)))</f>
        <v xml:space="preserve"> </v>
      </c>
      <c r="H1442" s="48">
        <f>IF(ISNA(VLOOKUP(D1442,'[2]stock-take'!$A:$E,3,FALSE)), 0, VLOOKUP(D1442,'[2]stock-take'!$A:$E,3,FALSE))</f>
        <v>0</v>
      </c>
      <c r="I1442" s="48" t="str">
        <f>IF(F1442="", " ",IF(ISNA(VLOOKUP(D1442,'[2]stock-take'!$G:$K,4,FALSE)), "OUT OF STOCK", VLOOKUP(D1442,'[2]stock-take'!$G:$K,4,FALSE)))</f>
        <v xml:space="preserve"> </v>
      </c>
      <c r="J1442" s="39">
        <f>IF(ISNA(VLOOKUP(D1442,'[2]stock-take'!$G:$K,3,FALSE)), 0, VLOOKUP(D1442,'[2]stock-take'!$G:$K,3,FALSE))</f>
        <v>0</v>
      </c>
      <c r="K1442" s="49" t="str">
        <f>IF(F1442="", " ", IF(ISNA(VLOOKUP(D1442,'[2]stock-take'!$M:$Q,4,FALSE)), "OUT OF STOCK", VLOOKUP(D1442,'[2]stock-take'!$M:$Q,4,FALSE)))</f>
        <v xml:space="preserve"> </v>
      </c>
      <c r="L1442" s="47">
        <f>IF(ISNA(VLOOKUP(D1442,'[2]stock-take'!$M:$Q,3,FALSE)), 0, VLOOKUP(D1442,'[2]stock-take'!$M:$Q,3,FALSE))</f>
        <v>0</v>
      </c>
      <c r="M1442" s="48" t="str">
        <f t="shared" si="67"/>
        <v xml:space="preserve"> </v>
      </c>
      <c r="N1442" s="39" t="str">
        <f t="shared" si="68"/>
        <v xml:space="preserve"> </v>
      </c>
    </row>
    <row r="1443" spans="1:14">
      <c r="A1443" s="37">
        <f t="shared" si="66"/>
        <v>1432</v>
      </c>
      <c r="G1443" s="48" t="str">
        <f>IF(F1443=""," ",IF(ISNA(VLOOKUP(D1443,'[2]stock-take'!$A:$E,4,FALSE)), "OUT OF STOCK", VLOOKUP(D1443,'[2]stock-take'!$A:$E,4,FALSE)))</f>
        <v xml:space="preserve"> </v>
      </c>
      <c r="H1443" s="48">
        <f>IF(ISNA(VLOOKUP(D1443,'[2]stock-take'!$A:$E,3,FALSE)), 0, VLOOKUP(D1443,'[2]stock-take'!$A:$E,3,FALSE))</f>
        <v>0</v>
      </c>
      <c r="I1443" s="48" t="str">
        <f>IF(F1443="", " ",IF(ISNA(VLOOKUP(D1443,'[2]stock-take'!$G:$K,4,FALSE)), "OUT OF STOCK", VLOOKUP(D1443,'[2]stock-take'!$G:$K,4,FALSE)))</f>
        <v xml:space="preserve"> </v>
      </c>
      <c r="J1443" s="39">
        <f>IF(ISNA(VLOOKUP(D1443,'[2]stock-take'!$G:$K,3,FALSE)), 0, VLOOKUP(D1443,'[2]stock-take'!$G:$K,3,FALSE))</f>
        <v>0</v>
      </c>
      <c r="K1443" s="49" t="str">
        <f>IF(F1443="", " ", IF(ISNA(VLOOKUP(D1443,'[2]stock-take'!$M:$Q,4,FALSE)), "OUT OF STOCK", VLOOKUP(D1443,'[2]stock-take'!$M:$Q,4,FALSE)))</f>
        <v xml:space="preserve"> </v>
      </c>
      <c r="L1443" s="47">
        <f>IF(ISNA(VLOOKUP(D1443,'[2]stock-take'!$M:$Q,3,FALSE)), 0, VLOOKUP(D1443,'[2]stock-take'!$M:$Q,3,FALSE))</f>
        <v>0</v>
      </c>
      <c r="M1443" s="48" t="str">
        <f t="shared" si="67"/>
        <v xml:space="preserve"> </v>
      </c>
      <c r="N1443" s="39" t="str">
        <f t="shared" si="68"/>
        <v xml:space="preserve"> </v>
      </c>
    </row>
    <row r="1444" spans="1:14">
      <c r="A1444" s="37">
        <f t="shared" si="66"/>
        <v>1433</v>
      </c>
      <c r="G1444" s="48" t="str">
        <f>IF(F1444=""," ",IF(ISNA(VLOOKUP(D1444,'[2]stock-take'!$A:$E,4,FALSE)), "OUT OF STOCK", VLOOKUP(D1444,'[2]stock-take'!$A:$E,4,FALSE)))</f>
        <v xml:space="preserve"> </v>
      </c>
      <c r="H1444" s="48">
        <f>IF(ISNA(VLOOKUP(D1444,'[2]stock-take'!$A:$E,3,FALSE)), 0, VLOOKUP(D1444,'[2]stock-take'!$A:$E,3,FALSE))</f>
        <v>0</v>
      </c>
      <c r="I1444" s="48" t="str">
        <f>IF(F1444="", " ",IF(ISNA(VLOOKUP(D1444,'[2]stock-take'!$G:$K,4,FALSE)), "OUT OF STOCK", VLOOKUP(D1444,'[2]stock-take'!$G:$K,4,FALSE)))</f>
        <v xml:space="preserve"> </v>
      </c>
      <c r="J1444" s="39">
        <f>IF(ISNA(VLOOKUP(D1444,'[2]stock-take'!$G:$K,3,FALSE)), 0, VLOOKUP(D1444,'[2]stock-take'!$G:$K,3,FALSE))</f>
        <v>0</v>
      </c>
      <c r="K1444" s="49" t="str">
        <f>IF(F1444="", " ", IF(ISNA(VLOOKUP(D1444,'[2]stock-take'!$M:$Q,4,FALSE)), "OUT OF STOCK", VLOOKUP(D1444,'[2]stock-take'!$M:$Q,4,FALSE)))</f>
        <v xml:space="preserve"> </v>
      </c>
      <c r="L1444" s="47">
        <f>IF(ISNA(VLOOKUP(D1444,'[2]stock-take'!$M:$Q,3,FALSE)), 0, VLOOKUP(D1444,'[2]stock-take'!$M:$Q,3,FALSE))</f>
        <v>0</v>
      </c>
      <c r="M1444" s="48" t="str">
        <f t="shared" si="67"/>
        <v xml:space="preserve"> </v>
      </c>
      <c r="N1444" s="39" t="str">
        <f t="shared" si="68"/>
        <v xml:space="preserve"> </v>
      </c>
    </row>
    <row r="1445" spans="1:14">
      <c r="A1445" s="37">
        <f t="shared" si="66"/>
        <v>1434</v>
      </c>
      <c r="G1445" s="48" t="str">
        <f>IF(F1445=""," ",IF(ISNA(VLOOKUP(D1445,'[2]stock-take'!$A:$E,4,FALSE)), "OUT OF STOCK", VLOOKUP(D1445,'[2]stock-take'!$A:$E,4,FALSE)))</f>
        <v xml:space="preserve"> </v>
      </c>
      <c r="H1445" s="48">
        <f>IF(ISNA(VLOOKUP(D1445,'[2]stock-take'!$A:$E,3,FALSE)), 0, VLOOKUP(D1445,'[2]stock-take'!$A:$E,3,FALSE))</f>
        <v>0</v>
      </c>
      <c r="I1445" s="48" t="str">
        <f>IF(F1445="", " ",IF(ISNA(VLOOKUP(D1445,'[2]stock-take'!$G:$K,4,FALSE)), "OUT OF STOCK", VLOOKUP(D1445,'[2]stock-take'!$G:$K,4,FALSE)))</f>
        <v xml:space="preserve"> </v>
      </c>
      <c r="J1445" s="39">
        <f>IF(ISNA(VLOOKUP(D1445,'[2]stock-take'!$G:$K,3,FALSE)), 0, VLOOKUP(D1445,'[2]stock-take'!$G:$K,3,FALSE))</f>
        <v>0</v>
      </c>
      <c r="K1445" s="49" t="str">
        <f>IF(F1445="", " ", IF(ISNA(VLOOKUP(D1445,'[2]stock-take'!$M:$Q,4,FALSE)), "OUT OF STOCK", VLOOKUP(D1445,'[2]stock-take'!$M:$Q,4,FALSE)))</f>
        <v xml:space="preserve"> </v>
      </c>
      <c r="L1445" s="47">
        <f>IF(ISNA(VLOOKUP(D1445,'[2]stock-take'!$M:$Q,3,FALSE)), 0, VLOOKUP(D1445,'[2]stock-take'!$M:$Q,3,FALSE))</f>
        <v>0</v>
      </c>
      <c r="M1445" s="48" t="str">
        <f t="shared" si="67"/>
        <v xml:space="preserve"> </v>
      </c>
      <c r="N1445" s="39" t="str">
        <f t="shared" si="68"/>
        <v xml:space="preserve"> </v>
      </c>
    </row>
    <row r="1446" spans="1:14">
      <c r="A1446" s="37">
        <f t="shared" si="66"/>
        <v>1435</v>
      </c>
      <c r="G1446" s="48" t="str">
        <f>IF(F1446=""," ",IF(ISNA(VLOOKUP(D1446,'[2]stock-take'!$A:$E,4,FALSE)), "OUT OF STOCK", VLOOKUP(D1446,'[2]stock-take'!$A:$E,4,FALSE)))</f>
        <v xml:space="preserve"> </v>
      </c>
      <c r="H1446" s="48">
        <f>IF(ISNA(VLOOKUP(D1446,'[2]stock-take'!$A:$E,3,FALSE)), 0, VLOOKUP(D1446,'[2]stock-take'!$A:$E,3,FALSE))</f>
        <v>0</v>
      </c>
      <c r="I1446" s="48" t="str">
        <f>IF(F1446="", " ",IF(ISNA(VLOOKUP(D1446,'[2]stock-take'!$G:$K,4,FALSE)), "OUT OF STOCK", VLOOKUP(D1446,'[2]stock-take'!$G:$K,4,FALSE)))</f>
        <v xml:space="preserve"> </v>
      </c>
      <c r="J1446" s="39">
        <f>IF(ISNA(VLOOKUP(D1446,'[2]stock-take'!$G:$K,3,FALSE)), 0, VLOOKUP(D1446,'[2]stock-take'!$G:$K,3,FALSE))</f>
        <v>0</v>
      </c>
      <c r="K1446" s="49" t="str">
        <f>IF(F1446="", " ", IF(ISNA(VLOOKUP(D1446,'[2]stock-take'!$M:$Q,4,FALSE)), "OUT OF STOCK", VLOOKUP(D1446,'[2]stock-take'!$M:$Q,4,FALSE)))</f>
        <v xml:space="preserve"> </v>
      </c>
      <c r="L1446" s="47">
        <f>IF(ISNA(VLOOKUP(D1446,'[2]stock-take'!$M:$Q,3,FALSE)), 0, VLOOKUP(D1446,'[2]stock-take'!$M:$Q,3,FALSE))</f>
        <v>0</v>
      </c>
      <c r="M1446" s="48" t="str">
        <f t="shared" si="67"/>
        <v xml:space="preserve"> </v>
      </c>
      <c r="N1446" s="39" t="str">
        <f t="shared" si="68"/>
        <v xml:space="preserve"> </v>
      </c>
    </row>
    <row r="1447" spans="1:14">
      <c r="A1447" s="37">
        <f t="shared" si="66"/>
        <v>1436</v>
      </c>
      <c r="G1447" s="48" t="str">
        <f>IF(F1447=""," ",IF(ISNA(VLOOKUP(D1447,'[2]stock-take'!$A:$E,4,FALSE)), "OUT OF STOCK", VLOOKUP(D1447,'[2]stock-take'!$A:$E,4,FALSE)))</f>
        <v xml:space="preserve"> </v>
      </c>
      <c r="H1447" s="48">
        <f>IF(ISNA(VLOOKUP(D1447,'[2]stock-take'!$A:$E,3,FALSE)), 0, VLOOKUP(D1447,'[2]stock-take'!$A:$E,3,FALSE))</f>
        <v>0</v>
      </c>
      <c r="I1447" s="48" t="str">
        <f>IF(F1447="", " ",IF(ISNA(VLOOKUP(D1447,'[2]stock-take'!$G:$K,4,FALSE)), "OUT OF STOCK", VLOOKUP(D1447,'[2]stock-take'!$G:$K,4,FALSE)))</f>
        <v xml:space="preserve"> </v>
      </c>
      <c r="J1447" s="39">
        <f>IF(ISNA(VLOOKUP(D1447,'[2]stock-take'!$G:$K,3,FALSE)), 0, VLOOKUP(D1447,'[2]stock-take'!$G:$K,3,FALSE))</f>
        <v>0</v>
      </c>
      <c r="K1447" s="49" t="str">
        <f>IF(F1447="", " ", IF(ISNA(VLOOKUP(D1447,'[2]stock-take'!$M:$Q,4,FALSE)), "OUT OF STOCK", VLOOKUP(D1447,'[2]stock-take'!$M:$Q,4,FALSE)))</f>
        <v xml:space="preserve"> </v>
      </c>
      <c r="L1447" s="47">
        <f>IF(ISNA(VLOOKUP(D1447,'[2]stock-take'!$M:$Q,3,FALSE)), 0, VLOOKUP(D1447,'[2]stock-take'!$M:$Q,3,FALSE))</f>
        <v>0</v>
      </c>
      <c r="M1447" s="48" t="str">
        <f t="shared" si="67"/>
        <v xml:space="preserve"> </v>
      </c>
      <c r="N1447" s="39" t="str">
        <f t="shared" si="68"/>
        <v xml:space="preserve"> </v>
      </c>
    </row>
    <row r="1448" spans="1:14">
      <c r="A1448" s="37">
        <f t="shared" si="66"/>
        <v>1437</v>
      </c>
      <c r="G1448" s="48" t="str">
        <f>IF(F1448=""," ",IF(ISNA(VLOOKUP(D1448,'[2]stock-take'!$A:$E,4,FALSE)), "OUT OF STOCK", VLOOKUP(D1448,'[2]stock-take'!$A:$E,4,FALSE)))</f>
        <v xml:space="preserve"> </v>
      </c>
      <c r="H1448" s="48">
        <f>IF(ISNA(VLOOKUP(D1448,'[2]stock-take'!$A:$E,3,FALSE)), 0, VLOOKUP(D1448,'[2]stock-take'!$A:$E,3,FALSE))</f>
        <v>0</v>
      </c>
      <c r="I1448" s="48" t="str">
        <f>IF(F1448="", " ",IF(ISNA(VLOOKUP(D1448,'[2]stock-take'!$G:$K,4,FALSE)), "OUT OF STOCK", VLOOKUP(D1448,'[2]stock-take'!$G:$K,4,FALSE)))</f>
        <v xml:space="preserve"> </v>
      </c>
      <c r="J1448" s="39">
        <f>IF(ISNA(VLOOKUP(D1448,'[2]stock-take'!$G:$K,3,FALSE)), 0, VLOOKUP(D1448,'[2]stock-take'!$G:$K,3,FALSE))</f>
        <v>0</v>
      </c>
      <c r="K1448" s="49" t="str">
        <f>IF(F1448="", " ", IF(ISNA(VLOOKUP(D1448,'[2]stock-take'!$M:$Q,4,FALSE)), "OUT OF STOCK", VLOOKUP(D1448,'[2]stock-take'!$M:$Q,4,FALSE)))</f>
        <v xml:space="preserve"> </v>
      </c>
      <c r="L1448" s="47">
        <f>IF(ISNA(VLOOKUP(D1448,'[2]stock-take'!$M:$Q,3,FALSE)), 0, VLOOKUP(D1448,'[2]stock-take'!$M:$Q,3,FALSE))</f>
        <v>0</v>
      </c>
      <c r="M1448" s="48" t="str">
        <f t="shared" si="67"/>
        <v xml:space="preserve"> </v>
      </c>
      <c r="N1448" s="39" t="str">
        <f t="shared" si="68"/>
        <v xml:space="preserve"> </v>
      </c>
    </row>
    <row r="1449" spans="1:14">
      <c r="A1449" s="37">
        <f t="shared" si="66"/>
        <v>1438</v>
      </c>
      <c r="G1449" s="48" t="str">
        <f>IF(F1449=""," ",IF(ISNA(VLOOKUP(D1449,'[2]stock-take'!$A:$E,4,FALSE)), "OUT OF STOCK", VLOOKUP(D1449,'[2]stock-take'!$A:$E,4,FALSE)))</f>
        <v xml:space="preserve"> </v>
      </c>
      <c r="H1449" s="48">
        <f>IF(ISNA(VLOOKUP(D1449,'[2]stock-take'!$A:$E,3,FALSE)), 0, VLOOKUP(D1449,'[2]stock-take'!$A:$E,3,FALSE))</f>
        <v>0</v>
      </c>
      <c r="I1449" s="48" t="str">
        <f>IF(F1449="", " ",IF(ISNA(VLOOKUP(D1449,'[2]stock-take'!$G:$K,4,FALSE)), "OUT OF STOCK", VLOOKUP(D1449,'[2]stock-take'!$G:$K,4,FALSE)))</f>
        <v xml:space="preserve"> </v>
      </c>
      <c r="J1449" s="39">
        <f>IF(ISNA(VLOOKUP(D1449,'[2]stock-take'!$G:$K,3,FALSE)), 0, VLOOKUP(D1449,'[2]stock-take'!$G:$K,3,FALSE))</f>
        <v>0</v>
      </c>
      <c r="K1449" s="49" t="str">
        <f>IF(F1449="", " ", IF(ISNA(VLOOKUP(D1449,'[2]stock-take'!$M:$Q,4,FALSE)), "OUT OF STOCK", VLOOKUP(D1449,'[2]stock-take'!$M:$Q,4,FALSE)))</f>
        <v xml:space="preserve"> </v>
      </c>
      <c r="L1449" s="47">
        <f>IF(ISNA(VLOOKUP(D1449,'[2]stock-take'!$M:$Q,3,FALSE)), 0, VLOOKUP(D1449,'[2]stock-take'!$M:$Q,3,FALSE))</f>
        <v>0</v>
      </c>
      <c r="M1449" s="48" t="str">
        <f t="shared" si="67"/>
        <v xml:space="preserve"> </v>
      </c>
      <c r="N1449" s="39" t="str">
        <f t="shared" si="68"/>
        <v xml:space="preserve"> </v>
      </c>
    </row>
    <row r="1450" spans="1:14">
      <c r="A1450" s="37">
        <f t="shared" si="66"/>
        <v>1439</v>
      </c>
      <c r="G1450" s="48" t="str">
        <f>IF(F1450=""," ",IF(ISNA(VLOOKUP(D1450,'[2]stock-take'!$A:$E,4,FALSE)), "OUT OF STOCK", VLOOKUP(D1450,'[2]stock-take'!$A:$E,4,FALSE)))</f>
        <v xml:space="preserve"> </v>
      </c>
      <c r="H1450" s="48">
        <f>IF(ISNA(VLOOKUP(D1450,'[2]stock-take'!$A:$E,3,FALSE)), 0, VLOOKUP(D1450,'[2]stock-take'!$A:$E,3,FALSE))</f>
        <v>0</v>
      </c>
      <c r="I1450" s="48" t="str">
        <f>IF(F1450="", " ",IF(ISNA(VLOOKUP(D1450,'[2]stock-take'!$G:$K,4,FALSE)), "OUT OF STOCK", VLOOKUP(D1450,'[2]stock-take'!$G:$K,4,FALSE)))</f>
        <v xml:space="preserve"> </v>
      </c>
      <c r="J1450" s="39">
        <f>IF(ISNA(VLOOKUP(D1450,'[2]stock-take'!$G:$K,3,FALSE)), 0, VLOOKUP(D1450,'[2]stock-take'!$G:$K,3,FALSE))</f>
        <v>0</v>
      </c>
      <c r="K1450" s="49" t="str">
        <f>IF(F1450="", " ", IF(ISNA(VLOOKUP(D1450,'[2]stock-take'!$M:$Q,4,FALSE)), "OUT OF STOCK", VLOOKUP(D1450,'[2]stock-take'!$M:$Q,4,FALSE)))</f>
        <v xml:space="preserve"> </v>
      </c>
      <c r="L1450" s="47">
        <f>IF(ISNA(VLOOKUP(D1450,'[2]stock-take'!$M:$Q,3,FALSE)), 0, VLOOKUP(D1450,'[2]stock-take'!$M:$Q,3,FALSE))</f>
        <v>0</v>
      </c>
      <c r="M1450" s="48" t="str">
        <f t="shared" si="67"/>
        <v xml:space="preserve"> </v>
      </c>
      <c r="N1450" s="39" t="str">
        <f t="shared" si="68"/>
        <v xml:space="preserve"> </v>
      </c>
    </row>
    <row r="1451" spans="1:14">
      <c r="A1451" s="37">
        <f t="shared" si="66"/>
        <v>1440</v>
      </c>
      <c r="G1451" s="48" t="str">
        <f>IF(F1451=""," ",IF(ISNA(VLOOKUP(D1451,'[2]stock-take'!$A:$E,4,FALSE)), "OUT OF STOCK", VLOOKUP(D1451,'[2]stock-take'!$A:$E,4,FALSE)))</f>
        <v xml:space="preserve"> </v>
      </c>
      <c r="H1451" s="48">
        <f>IF(ISNA(VLOOKUP(D1451,'[2]stock-take'!$A:$E,3,FALSE)), 0, VLOOKUP(D1451,'[2]stock-take'!$A:$E,3,FALSE))</f>
        <v>0</v>
      </c>
      <c r="I1451" s="48" t="str">
        <f>IF(F1451="", " ",IF(ISNA(VLOOKUP(D1451,'[2]stock-take'!$G:$K,4,FALSE)), "OUT OF STOCK", VLOOKUP(D1451,'[2]stock-take'!$G:$K,4,FALSE)))</f>
        <v xml:space="preserve"> </v>
      </c>
      <c r="J1451" s="39">
        <f>IF(ISNA(VLOOKUP(D1451,'[2]stock-take'!$G:$K,3,FALSE)), 0, VLOOKUP(D1451,'[2]stock-take'!$G:$K,3,FALSE))</f>
        <v>0</v>
      </c>
      <c r="K1451" s="49" t="str">
        <f>IF(F1451="", " ", IF(ISNA(VLOOKUP(D1451,'[2]stock-take'!$M:$Q,4,FALSE)), "OUT OF STOCK", VLOOKUP(D1451,'[2]stock-take'!$M:$Q,4,FALSE)))</f>
        <v xml:space="preserve"> </v>
      </c>
      <c r="L1451" s="47">
        <f>IF(ISNA(VLOOKUP(D1451,'[2]stock-take'!$M:$Q,3,FALSE)), 0, VLOOKUP(D1451,'[2]stock-take'!$M:$Q,3,FALSE))</f>
        <v>0</v>
      </c>
      <c r="M1451" s="48" t="str">
        <f t="shared" si="67"/>
        <v xml:space="preserve"> </v>
      </c>
      <c r="N1451" s="39" t="str">
        <f t="shared" si="68"/>
        <v xml:space="preserve"> </v>
      </c>
    </row>
    <row r="1452" spans="1:14">
      <c r="A1452" s="37">
        <f t="shared" si="66"/>
        <v>1441</v>
      </c>
      <c r="G1452" s="48" t="str">
        <f>IF(F1452=""," ",IF(ISNA(VLOOKUP(D1452,'[2]stock-take'!$A:$E,4,FALSE)), "OUT OF STOCK", VLOOKUP(D1452,'[2]stock-take'!$A:$E,4,FALSE)))</f>
        <v xml:space="preserve"> </v>
      </c>
      <c r="H1452" s="48">
        <f>IF(ISNA(VLOOKUP(D1452,'[2]stock-take'!$A:$E,3,FALSE)), 0, VLOOKUP(D1452,'[2]stock-take'!$A:$E,3,FALSE))</f>
        <v>0</v>
      </c>
      <c r="I1452" s="48" t="str">
        <f>IF(F1452="", " ",IF(ISNA(VLOOKUP(D1452,'[2]stock-take'!$G:$K,4,FALSE)), "OUT OF STOCK", VLOOKUP(D1452,'[2]stock-take'!$G:$K,4,FALSE)))</f>
        <v xml:space="preserve"> </v>
      </c>
      <c r="J1452" s="39">
        <f>IF(ISNA(VLOOKUP(D1452,'[2]stock-take'!$G:$K,3,FALSE)), 0, VLOOKUP(D1452,'[2]stock-take'!$G:$K,3,FALSE))</f>
        <v>0</v>
      </c>
      <c r="K1452" s="49" t="str">
        <f>IF(F1452="", " ", IF(ISNA(VLOOKUP(D1452,'[2]stock-take'!$M:$Q,4,FALSE)), "OUT OF STOCK", VLOOKUP(D1452,'[2]stock-take'!$M:$Q,4,FALSE)))</f>
        <v xml:space="preserve"> </v>
      </c>
      <c r="L1452" s="47">
        <f>IF(ISNA(VLOOKUP(D1452,'[2]stock-take'!$M:$Q,3,FALSE)), 0, VLOOKUP(D1452,'[2]stock-take'!$M:$Q,3,FALSE))</f>
        <v>0</v>
      </c>
      <c r="M1452" s="48" t="str">
        <f t="shared" si="67"/>
        <v xml:space="preserve"> </v>
      </c>
      <c r="N1452" s="39" t="str">
        <f t="shared" si="68"/>
        <v xml:space="preserve"> </v>
      </c>
    </row>
    <row r="1453" spans="1:14">
      <c r="A1453" s="37">
        <f t="shared" si="66"/>
        <v>1442</v>
      </c>
      <c r="G1453" s="48" t="str">
        <f>IF(F1453=""," ",IF(ISNA(VLOOKUP(D1453,'[2]stock-take'!$A:$E,4,FALSE)), "OUT OF STOCK", VLOOKUP(D1453,'[2]stock-take'!$A:$E,4,FALSE)))</f>
        <v xml:space="preserve"> </v>
      </c>
      <c r="H1453" s="48">
        <f>IF(ISNA(VLOOKUP(D1453,'[2]stock-take'!$A:$E,3,FALSE)), 0, VLOOKUP(D1453,'[2]stock-take'!$A:$E,3,FALSE))</f>
        <v>0</v>
      </c>
      <c r="I1453" s="48" t="str">
        <f>IF(F1453="", " ",IF(ISNA(VLOOKUP(D1453,'[2]stock-take'!$G:$K,4,FALSE)), "OUT OF STOCK", VLOOKUP(D1453,'[2]stock-take'!$G:$K,4,FALSE)))</f>
        <v xml:space="preserve"> </v>
      </c>
      <c r="J1453" s="39">
        <f>IF(ISNA(VLOOKUP(D1453,'[2]stock-take'!$G:$K,3,FALSE)), 0, VLOOKUP(D1453,'[2]stock-take'!$G:$K,3,FALSE))</f>
        <v>0</v>
      </c>
      <c r="K1453" s="49" t="str">
        <f>IF(F1453="", " ", IF(ISNA(VLOOKUP(D1453,'[2]stock-take'!$M:$Q,4,FALSE)), "OUT OF STOCK", VLOOKUP(D1453,'[2]stock-take'!$M:$Q,4,FALSE)))</f>
        <v xml:space="preserve"> </v>
      </c>
      <c r="L1453" s="47">
        <f>IF(ISNA(VLOOKUP(D1453,'[2]stock-take'!$M:$Q,3,FALSE)), 0, VLOOKUP(D1453,'[2]stock-take'!$M:$Q,3,FALSE))</f>
        <v>0</v>
      </c>
      <c r="M1453" s="48" t="str">
        <f t="shared" si="67"/>
        <v xml:space="preserve"> </v>
      </c>
      <c r="N1453" s="39" t="str">
        <f t="shared" si="68"/>
        <v xml:space="preserve"> </v>
      </c>
    </row>
    <row r="1454" spans="1:14">
      <c r="A1454" s="37">
        <f t="shared" si="66"/>
        <v>1443</v>
      </c>
      <c r="G1454" s="48" t="str">
        <f>IF(F1454=""," ",IF(ISNA(VLOOKUP(D1454,'[2]stock-take'!$A:$E,4,FALSE)), "OUT OF STOCK", VLOOKUP(D1454,'[2]stock-take'!$A:$E,4,FALSE)))</f>
        <v xml:space="preserve"> </v>
      </c>
      <c r="H1454" s="48">
        <f>IF(ISNA(VLOOKUP(D1454,'[2]stock-take'!$A:$E,3,FALSE)), 0, VLOOKUP(D1454,'[2]stock-take'!$A:$E,3,FALSE))</f>
        <v>0</v>
      </c>
      <c r="I1454" s="48" t="str">
        <f>IF(F1454="", " ",IF(ISNA(VLOOKUP(D1454,'[2]stock-take'!$G:$K,4,FALSE)), "OUT OF STOCK", VLOOKUP(D1454,'[2]stock-take'!$G:$K,4,FALSE)))</f>
        <v xml:space="preserve"> </v>
      </c>
      <c r="J1454" s="39">
        <f>IF(ISNA(VLOOKUP(D1454,'[2]stock-take'!$G:$K,3,FALSE)), 0, VLOOKUP(D1454,'[2]stock-take'!$G:$K,3,FALSE))</f>
        <v>0</v>
      </c>
      <c r="K1454" s="49" t="str">
        <f>IF(F1454="", " ", IF(ISNA(VLOOKUP(D1454,'[2]stock-take'!$M:$Q,4,FALSE)), "OUT OF STOCK", VLOOKUP(D1454,'[2]stock-take'!$M:$Q,4,FALSE)))</f>
        <v xml:space="preserve"> </v>
      </c>
      <c r="L1454" s="47">
        <f>IF(ISNA(VLOOKUP(D1454,'[2]stock-take'!$M:$Q,3,FALSE)), 0, VLOOKUP(D1454,'[2]stock-take'!$M:$Q,3,FALSE))</f>
        <v>0</v>
      </c>
      <c r="M1454" s="48" t="str">
        <f t="shared" si="67"/>
        <v xml:space="preserve"> </v>
      </c>
      <c r="N1454" s="39" t="str">
        <f t="shared" si="68"/>
        <v xml:space="preserve"> </v>
      </c>
    </row>
    <row r="1455" spans="1:14">
      <c r="A1455" s="37">
        <f t="shared" si="66"/>
        <v>1444</v>
      </c>
      <c r="G1455" s="48" t="str">
        <f>IF(F1455=""," ",IF(ISNA(VLOOKUP(D1455,'[2]stock-take'!$A:$E,4,FALSE)), "OUT OF STOCK", VLOOKUP(D1455,'[2]stock-take'!$A:$E,4,FALSE)))</f>
        <v xml:space="preserve"> </v>
      </c>
      <c r="H1455" s="48">
        <f>IF(ISNA(VLOOKUP(D1455,'[2]stock-take'!$A:$E,3,FALSE)), 0, VLOOKUP(D1455,'[2]stock-take'!$A:$E,3,FALSE))</f>
        <v>0</v>
      </c>
      <c r="I1455" s="48" t="str">
        <f>IF(F1455="", " ",IF(ISNA(VLOOKUP(D1455,'[2]stock-take'!$G:$K,4,FALSE)), "OUT OF STOCK", VLOOKUP(D1455,'[2]stock-take'!$G:$K,4,FALSE)))</f>
        <v xml:space="preserve"> </v>
      </c>
      <c r="J1455" s="39">
        <f>IF(ISNA(VLOOKUP(D1455,'[2]stock-take'!$G:$K,3,FALSE)), 0, VLOOKUP(D1455,'[2]stock-take'!$G:$K,3,FALSE))</f>
        <v>0</v>
      </c>
      <c r="K1455" s="49" t="str">
        <f>IF(F1455="", " ", IF(ISNA(VLOOKUP(D1455,'[2]stock-take'!$M:$Q,4,FALSE)), "OUT OF STOCK", VLOOKUP(D1455,'[2]stock-take'!$M:$Q,4,FALSE)))</f>
        <v xml:space="preserve"> </v>
      </c>
      <c r="L1455" s="47">
        <f>IF(ISNA(VLOOKUP(D1455,'[2]stock-take'!$M:$Q,3,FALSE)), 0, VLOOKUP(D1455,'[2]stock-take'!$M:$Q,3,FALSE))</f>
        <v>0</v>
      </c>
      <c r="M1455" s="48" t="str">
        <f t="shared" si="67"/>
        <v xml:space="preserve"> </v>
      </c>
      <c r="N1455" s="39" t="str">
        <f t="shared" si="68"/>
        <v xml:space="preserve"> </v>
      </c>
    </row>
    <row r="1456" spans="1:14">
      <c r="A1456" s="37">
        <f t="shared" si="66"/>
        <v>1445</v>
      </c>
      <c r="G1456" s="48" t="str">
        <f>IF(F1456=""," ",IF(ISNA(VLOOKUP(D1456,'[2]stock-take'!$A:$E,4,FALSE)), "OUT OF STOCK", VLOOKUP(D1456,'[2]stock-take'!$A:$E,4,FALSE)))</f>
        <v xml:space="preserve"> </v>
      </c>
      <c r="H1456" s="48">
        <f>IF(ISNA(VLOOKUP(D1456,'[2]stock-take'!$A:$E,3,FALSE)), 0, VLOOKUP(D1456,'[2]stock-take'!$A:$E,3,FALSE))</f>
        <v>0</v>
      </c>
      <c r="I1456" s="48" t="str">
        <f>IF(F1456="", " ",IF(ISNA(VLOOKUP(D1456,'[2]stock-take'!$G:$K,4,FALSE)), "OUT OF STOCK", VLOOKUP(D1456,'[2]stock-take'!$G:$K,4,FALSE)))</f>
        <v xml:space="preserve"> </v>
      </c>
      <c r="J1456" s="39">
        <f>IF(ISNA(VLOOKUP(D1456,'[2]stock-take'!$G:$K,3,FALSE)), 0, VLOOKUP(D1456,'[2]stock-take'!$G:$K,3,FALSE))</f>
        <v>0</v>
      </c>
      <c r="K1456" s="49" t="str">
        <f>IF(F1456="", " ", IF(ISNA(VLOOKUP(D1456,'[2]stock-take'!$M:$Q,4,FALSE)), "OUT OF STOCK", VLOOKUP(D1456,'[2]stock-take'!$M:$Q,4,FALSE)))</f>
        <v xml:space="preserve"> </v>
      </c>
      <c r="L1456" s="47">
        <f>IF(ISNA(VLOOKUP(D1456,'[2]stock-take'!$M:$Q,3,FALSE)), 0, VLOOKUP(D1456,'[2]stock-take'!$M:$Q,3,FALSE))</f>
        <v>0</v>
      </c>
      <c r="M1456" s="48" t="str">
        <f t="shared" si="67"/>
        <v xml:space="preserve"> </v>
      </c>
      <c r="N1456" s="39" t="str">
        <f t="shared" si="68"/>
        <v xml:space="preserve"> </v>
      </c>
    </row>
    <row r="1457" spans="1:14">
      <c r="A1457" s="37">
        <f t="shared" si="66"/>
        <v>1446</v>
      </c>
      <c r="G1457" s="48" t="str">
        <f>IF(F1457=""," ",IF(ISNA(VLOOKUP(D1457,'[2]stock-take'!$A:$E,4,FALSE)), "OUT OF STOCK", VLOOKUP(D1457,'[2]stock-take'!$A:$E,4,FALSE)))</f>
        <v xml:space="preserve"> </v>
      </c>
      <c r="H1457" s="48">
        <f>IF(ISNA(VLOOKUP(D1457,'[2]stock-take'!$A:$E,3,FALSE)), 0, VLOOKUP(D1457,'[2]stock-take'!$A:$E,3,FALSE))</f>
        <v>0</v>
      </c>
      <c r="I1457" s="48" t="str">
        <f>IF(F1457="", " ",IF(ISNA(VLOOKUP(D1457,'[2]stock-take'!$G:$K,4,FALSE)), "OUT OF STOCK", VLOOKUP(D1457,'[2]stock-take'!$G:$K,4,FALSE)))</f>
        <v xml:space="preserve"> </v>
      </c>
      <c r="J1457" s="39">
        <f>IF(ISNA(VLOOKUP(D1457,'[2]stock-take'!$G:$K,3,FALSE)), 0, VLOOKUP(D1457,'[2]stock-take'!$G:$K,3,FALSE))</f>
        <v>0</v>
      </c>
      <c r="K1457" s="49" t="str">
        <f>IF(F1457="", " ", IF(ISNA(VLOOKUP(D1457,'[2]stock-take'!$M:$Q,4,FALSE)), "OUT OF STOCK", VLOOKUP(D1457,'[2]stock-take'!$M:$Q,4,FALSE)))</f>
        <v xml:space="preserve"> </v>
      </c>
      <c r="L1457" s="47">
        <f>IF(ISNA(VLOOKUP(D1457,'[2]stock-take'!$M:$Q,3,FALSE)), 0, VLOOKUP(D1457,'[2]stock-take'!$M:$Q,3,FALSE))</f>
        <v>0</v>
      </c>
      <c r="M1457" s="48" t="str">
        <f t="shared" si="67"/>
        <v xml:space="preserve"> </v>
      </c>
      <c r="N1457" s="39" t="str">
        <f t="shared" si="68"/>
        <v xml:space="preserve"> </v>
      </c>
    </row>
    <row r="1458" spans="1:14">
      <c r="A1458" s="37">
        <f t="shared" si="66"/>
        <v>1447</v>
      </c>
      <c r="G1458" s="48" t="str">
        <f>IF(F1458=""," ",IF(ISNA(VLOOKUP(D1458,'[2]stock-take'!$A:$E,4,FALSE)), "OUT OF STOCK", VLOOKUP(D1458,'[2]stock-take'!$A:$E,4,FALSE)))</f>
        <v xml:space="preserve"> </v>
      </c>
      <c r="H1458" s="48">
        <f>IF(ISNA(VLOOKUP(D1458,'[2]stock-take'!$A:$E,3,FALSE)), 0, VLOOKUP(D1458,'[2]stock-take'!$A:$E,3,FALSE))</f>
        <v>0</v>
      </c>
      <c r="I1458" s="48" t="str">
        <f>IF(F1458="", " ",IF(ISNA(VLOOKUP(D1458,'[2]stock-take'!$G:$K,4,FALSE)), "OUT OF STOCK", VLOOKUP(D1458,'[2]stock-take'!$G:$K,4,FALSE)))</f>
        <v xml:space="preserve"> </v>
      </c>
      <c r="J1458" s="39">
        <f>IF(ISNA(VLOOKUP(D1458,'[2]stock-take'!$G:$K,3,FALSE)), 0, VLOOKUP(D1458,'[2]stock-take'!$G:$K,3,FALSE))</f>
        <v>0</v>
      </c>
      <c r="K1458" s="49" t="str">
        <f>IF(F1458="", " ", IF(ISNA(VLOOKUP(D1458,'[2]stock-take'!$M:$Q,4,FALSE)), "OUT OF STOCK", VLOOKUP(D1458,'[2]stock-take'!$M:$Q,4,FALSE)))</f>
        <v xml:space="preserve"> </v>
      </c>
      <c r="L1458" s="47">
        <f>IF(ISNA(VLOOKUP(D1458,'[2]stock-take'!$M:$Q,3,FALSE)), 0, VLOOKUP(D1458,'[2]stock-take'!$M:$Q,3,FALSE))</f>
        <v>0</v>
      </c>
      <c r="M1458" s="48" t="str">
        <f t="shared" si="67"/>
        <v xml:space="preserve"> </v>
      </c>
      <c r="N1458" s="39" t="str">
        <f t="shared" si="68"/>
        <v xml:space="preserve"> </v>
      </c>
    </row>
    <row r="1459" spans="1:14">
      <c r="A1459" s="37">
        <f t="shared" si="66"/>
        <v>1448</v>
      </c>
      <c r="G1459" s="48" t="str">
        <f>IF(F1459=""," ",IF(ISNA(VLOOKUP(D1459,'[2]stock-take'!$A:$E,4,FALSE)), "OUT OF STOCK", VLOOKUP(D1459,'[2]stock-take'!$A:$E,4,FALSE)))</f>
        <v xml:space="preserve"> </v>
      </c>
      <c r="H1459" s="48">
        <f>IF(ISNA(VLOOKUP(D1459,'[2]stock-take'!$A:$E,3,FALSE)), 0, VLOOKUP(D1459,'[2]stock-take'!$A:$E,3,FALSE))</f>
        <v>0</v>
      </c>
      <c r="I1459" s="48" t="str">
        <f>IF(F1459="", " ",IF(ISNA(VLOOKUP(D1459,'[2]stock-take'!$G:$K,4,FALSE)), "OUT OF STOCK", VLOOKUP(D1459,'[2]stock-take'!$G:$K,4,FALSE)))</f>
        <v xml:space="preserve"> </v>
      </c>
      <c r="J1459" s="39">
        <f>IF(ISNA(VLOOKUP(D1459,'[2]stock-take'!$G:$K,3,FALSE)), 0, VLOOKUP(D1459,'[2]stock-take'!$G:$K,3,FALSE))</f>
        <v>0</v>
      </c>
      <c r="K1459" s="49" t="str">
        <f>IF(F1459="", " ", IF(ISNA(VLOOKUP(D1459,'[2]stock-take'!$M:$Q,4,FALSE)), "OUT OF STOCK", VLOOKUP(D1459,'[2]stock-take'!$M:$Q,4,FALSE)))</f>
        <v xml:space="preserve"> </v>
      </c>
      <c r="L1459" s="47">
        <f>IF(ISNA(VLOOKUP(D1459,'[2]stock-take'!$M:$Q,3,FALSE)), 0, VLOOKUP(D1459,'[2]stock-take'!$M:$Q,3,FALSE))</f>
        <v>0</v>
      </c>
      <c r="M1459" s="48" t="str">
        <f t="shared" si="67"/>
        <v xml:space="preserve"> </v>
      </c>
      <c r="N1459" s="39" t="str">
        <f t="shared" si="68"/>
        <v xml:space="preserve"> </v>
      </c>
    </row>
    <row r="1460" spans="1:14">
      <c r="A1460" s="37">
        <f t="shared" si="66"/>
        <v>1449</v>
      </c>
      <c r="G1460" s="48" t="str">
        <f>IF(F1460=""," ",IF(ISNA(VLOOKUP(D1460,'[2]stock-take'!$A:$E,4,FALSE)), "OUT OF STOCK", VLOOKUP(D1460,'[2]stock-take'!$A:$E,4,FALSE)))</f>
        <v xml:space="preserve"> </v>
      </c>
      <c r="H1460" s="48">
        <f>IF(ISNA(VLOOKUP(D1460,'[2]stock-take'!$A:$E,3,FALSE)), 0, VLOOKUP(D1460,'[2]stock-take'!$A:$E,3,FALSE))</f>
        <v>0</v>
      </c>
      <c r="I1460" s="48" t="str">
        <f>IF(F1460="", " ",IF(ISNA(VLOOKUP(D1460,'[2]stock-take'!$G:$K,4,FALSE)), "OUT OF STOCK", VLOOKUP(D1460,'[2]stock-take'!$G:$K,4,FALSE)))</f>
        <v xml:space="preserve"> </v>
      </c>
      <c r="J1460" s="39">
        <f>IF(ISNA(VLOOKUP(D1460,'[2]stock-take'!$G:$K,3,FALSE)), 0, VLOOKUP(D1460,'[2]stock-take'!$G:$K,3,FALSE))</f>
        <v>0</v>
      </c>
      <c r="K1460" s="49" t="str">
        <f>IF(F1460="", " ", IF(ISNA(VLOOKUP(D1460,'[2]stock-take'!$M:$Q,4,FALSE)), "OUT OF STOCK", VLOOKUP(D1460,'[2]stock-take'!$M:$Q,4,FALSE)))</f>
        <v xml:space="preserve"> </v>
      </c>
      <c r="L1460" s="47">
        <f>IF(ISNA(VLOOKUP(D1460,'[2]stock-take'!$M:$Q,3,FALSE)), 0, VLOOKUP(D1460,'[2]stock-take'!$M:$Q,3,FALSE))</f>
        <v>0</v>
      </c>
      <c r="M1460" s="48" t="str">
        <f t="shared" si="67"/>
        <v xml:space="preserve"> </v>
      </c>
      <c r="N1460" s="39" t="str">
        <f t="shared" si="68"/>
        <v xml:space="preserve"> </v>
      </c>
    </row>
    <row r="1461" spans="1:14">
      <c r="A1461" s="37">
        <f t="shared" si="66"/>
        <v>1450</v>
      </c>
      <c r="G1461" s="48" t="str">
        <f>IF(F1461=""," ",IF(ISNA(VLOOKUP(D1461,'[2]stock-take'!$A:$E,4,FALSE)), "OUT OF STOCK", VLOOKUP(D1461,'[2]stock-take'!$A:$E,4,FALSE)))</f>
        <v xml:space="preserve"> </v>
      </c>
      <c r="H1461" s="48">
        <f>IF(ISNA(VLOOKUP(D1461,'[2]stock-take'!$A:$E,3,FALSE)), 0, VLOOKUP(D1461,'[2]stock-take'!$A:$E,3,FALSE))</f>
        <v>0</v>
      </c>
      <c r="I1461" s="48" t="str">
        <f>IF(F1461="", " ",IF(ISNA(VLOOKUP(D1461,'[2]stock-take'!$G:$K,4,FALSE)), "OUT OF STOCK", VLOOKUP(D1461,'[2]stock-take'!$G:$K,4,FALSE)))</f>
        <v xml:space="preserve"> </v>
      </c>
      <c r="J1461" s="39">
        <f>IF(ISNA(VLOOKUP(D1461,'[2]stock-take'!$G:$K,3,FALSE)), 0, VLOOKUP(D1461,'[2]stock-take'!$G:$K,3,FALSE))</f>
        <v>0</v>
      </c>
      <c r="K1461" s="49" t="str">
        <f>IF(F1461="", " ", IF(ISNA(VLOOKUP(D1461,'[2]stock-take'!$M:$Q,4,FALSE)), "OUT OF STOCK", VLOOKUP(D1461,'[2]stock-take'!$M:$Q,4,FALSE)))</f>
        <v xml:space="preserve"> </v>
      </c>
      <c r="L1461" s="47">
        <f>IF(ISNA(VLOOKUP(D1461,'[2]stock-take'!$M:$Q,3,FALSE)), 0, VLOOKUP(D1461,'[2]stock-take'!$M:$Q,3,FALSE))</f>
        <v>0</v>
      </c>
      <c r="M1461" s="48" t="str">
        <f t="shared" si="67"/>
        <v xml:space="preserve"> </v>
      </c>
      <c r="N1461" s="39" t="str">
        <f t="shared" si="68"/>
        <v xml:space="preserve"> </v>
      </c>
    </row>
    <row r="1462" spans="1:14">
      <c r="A1462" s="37">
        <f t="shared" si="66"/>
        <v>1451</v>
      </c>
      <c r="G1462" s="48" t="str">
        <f>IF(F1462=""," ",IF(ISNA(VLOOKUP(D1462,'[2]stock-take'!$A:$E,4,FALSE)), "OUT OF STOCK", VLOOKUP(D1462,'[2]stock-take'!$A:$E,4,FALSE)))</f>
        <v xml:space="preserve"> </v>
      </c>
      <c r="H1462" s="48">
        <f>IF(ISNA(VLOOKUP(D1462,'[2]stock-take'!$A:$E,3,FALSE)), 0, VLOOKUP(D1462,'[2]stock-take'!$A:$E,3,FALSE))</f>
        <v>0</v>
      </c>
      <c r="I1462" s="48" t="str">
        <f>IF(F1462="", " ",IF(ISNA(VLOOKUP(D1462,'[2]stock-take'!$G:$K,4,FALSE)), "OUT OF STOCK", VLOOKUP(D1462,'[2]stock-take'!$G:$K,4,FALSE)))</f>
        <v xml:space="preserve"> </v>
      </c>
      <c r="J1462" s="39">
        <f>IF(ISNA(VLOOKUP(D1462,'[2]stock-take'!$G:$K,3,FALSE)), 0, VLOOKUP(D1462,'[2]stock-take'!$G:$K,3,FALSE))</f>
        <v>0</v>
      </c>
      <c r="K1462" s="49" t="str">
        <f>IF(F1462="", " ", IF(ISNA(VLOOKUP(D1462,'[2]stock-take'!$M:$Q,4,FALSE)), "OUT OF STOCK", VLOOKUP(D1462,'[2]stock-take'!$M:$Q,4,FALSE)))</f>
        <v xml:space="preserve"> </v>
      </c>
      <c r="L1462" s="47">
        <f>IF(ISNA(VLOOKUP(D1462,'[2]stock-take'!$M:$Q,3,FALSE)), 0, VLOOKUP(D1462,'[2]stock-take'!$M:$Q,3,FALSE))</f>
        <v>0</v>
      </c>
      <c r="M1462" s="48" t="str">
        <f t="shared" si="67"/>
        <v xml:space="preserve"> </v>
      </c>
      <c r="N1462" s="39" t="str">
        <f t="shared" si="68"/>
        <v xml:space="preserve"> </v>
      </c>
    </row>
    <row r="1463" spans="1:14">
      <c r="A1463" s="37">
        <f t="shared" si="66"/>
        <v>1452</v>
      </c>
      <c r="G1463" s="48" t="str">
        <f>IF(F1463=""," ",IF(ISNA(VLOOKUP(D1463,'[2]stock-take'!$A:$E,4,FALSE)), "OUT OF STOCK", VLOOKUP(D1463,'[2]stock-take'!$A:$E,4,FALSE)))</f>
        <v xml:space="preserve"> </v>
      </c>
      <c r="H1463" s="48">
        <f>IF(ISNA(VLOOKUP(D1463,'[2]stock-take'!$A:$E,3,FALSE)), 0, VLOOKUP(D1463,'[2]stock-take'!$A:$E,3,FALSE))</f>
        <v>0</v>
      </c>
      <c r="I1463" s="48" t="str">
        <f>IF(F1463="", " ",IF(ISNA(VLOOKUP(D1463,'[2]stock-take'!$G:$K,4,FALSE)), "OUT OF STOCK", VLOOKUP(D1463,'[2]stock-take'!$G:$K,4,FALSE)))</f>
        <v xml:space="preserve"> </v>
      </c>
      <c r="J1463" s="39">
        <f>IF(ISNA(VLOOKUP(D1463,'[2]stock-take'!$G:$K,3,FALSE)), 0, VLOOKUP(D1463,'[2]stock-take'!$G:$K,3,FALSE))</f>
        <v>0</v>
      </c>
      <c r="K1463" s="49" t="str">
        <f>IF(F1463="", " ", IF(ISNA(VLOOKUP(D1463,'[2]stock-take'!$M:$Q,4,FALSE)), "OUT OF STOCK", VLOOKUP(D1463,'[2]stock-take'!$M:$Q,4,FALSE)))</f>
        <v xml:space="preserve"> </v>
      </c>
      <c r="L1463" s="47">
        <f>IF(ISNA(VLOOKUP(D1463,'[2]stock-take'!$M:$Q,3,FALSE)), 0, VLOOKUP(D1463,'[2]stock-take'!$M:$Q,3,FALSE))</f>
        <v>0</v>
      </c>
      <c r="M1463" s="48" t="str">
        <f t="shared" si="67"/>
        <v xml:space="preserve"> </v>
      </c>
      <c r="N1463" s="39" t="str">
        <f t="shared" si="68"/>
        <v xml:space="preserve"> </v>
      </c>
    </row>
    <row r="1464" spans="1:14">
      <c r="A1464" s="37">
        <f t="shared" si="66"/>
        <v>1453</v>
      </c>
      <c r="G1464" s="48" t="str">
        <f>IF(F1464=""," ",IF(ISNA(VLOOKUP(D1464,'[2]stock-take'!$A:$E,4,FALSE)), "OUT OF STOCK", VLOOKUP(D1464,'[2]stock-take'!$A:$E,4,FALSE)))</f>
        <v xml:space="preserve"> </v>
      </c>
      <c r="H1464" s="48">
        <f>IF(ISNA(VLOOKUP(D1464,'[2]stock-take'!$A:$E,3,FALSE)), 0, VLOOKUP(D1464,'[2]stock-take'!$A:$E,3,FALSE))</f>
        <v>0</v>
      </c>
      <c r="I1464" s="48" t="str">
        <f>IF(F1464="", " ",IF(ISNA(VLOOKUP(D1464,'[2]stock-take'!$G:$K,4,FALSE)), "OUT OF STOCK", VLOOKUP(D1464,'[2]stock-take'!$G:$K,4,FALSE)))</f>
        <v xml:space="preserve"> </v>
      </c>
      <c r="J1464" s="39">
        <f>IF(ISNA(VLOOKUP(D1464,'[2]stock-take'!$G:$K,3,FALSE)), 0, VLOOKUP(D1464,'[2]stock-take'!$G:$K,3,FALSE))</f>
        <v>0</v>
      </c>
      <c r="K1464" s="49" t="str">
        <f>IF(F1464="", " ", IF(ISNA(VLOOKUP(D1464,'[2]stock-take'!$M:$Q,4,FALSE)), "OUT OF STOCK", VLOOKUP(D1464,'[2]stock-take'!$M:$Q,4,FALSE)))</f>
        <v xml:space="preserve"> </v>
      </c>
      <c r="L1464" s="47">
        <f>IF(ISNA(VLOOKUP(D1464,'[2]stock-take'!$M:$Q,3,FALSE)), 0, VLOOKUP(D1464,'[2]stock-take'!$M:$Q,3,FALSE))</f>
        <v>0</v>
      </c>
      <c r="M1464" s="48" t="str">
        <f t="shared" si="67"/>
        <v xml:space="preserve"> </v>
      </c>
      <c r="N1464" s="39" t="str">
        <f t="shared" si="68"/>
        <v xml:space="preserve"> </v>
      </c>
    </row>
    <row r="1465" spans="1:14">
      <c r="A1465" s="37">
        <f t="shared" si="66"/>
        <v>1454</v>
      </c>
      <c r="G1465" s="48" t="str">
        <f>IF(F1465=""," ",IF(ISNA(VLOOKUP(D1465,'[2]stock-take'!$A:$E,4,FALSE)), "OUT OF STOCK", VLOOKUP(D1465,'[2]stock-take'!$A:$E,4,FALSE)))</f>
        <v xml:space="preserve"> </v>
      </c>
      <c r="H1465" s="48">
        <f>IF(ISNA(VLOOKUP(D1465,'[2]stock-take'!$A:$E,3,FALSE)), 0, VLOOKUP(D1465,'[2]stock-take'!$A:$E,3,FALSE))</f>
        <v>0</v>
      </c>
      <c r="I1465" s="48" t="str">
        <f>IF(F1465="", " ",IF(ISNA(VLOOKUP(D1465,'[2]stock-take'!$G:$K,4,FALSE)), "OUT OF STOCK", VLOOKUP(D1465,'[2]stock-take'!$G:$K,4,FALSE)))</f>
        <v xml:space="preserve"> </v>
      </c>
      <c r="J1465" s="39">
        <f>IF(ISNA(VLOOKUP(D1465,'[2]stock-take'!$G:$K,3,FALSE)), 0, VLOOKUP(D1465,'[2]stock-take'!$G:$K,3,FALSE))</f>
        <v>0</v>
      </c>
      <c r="K1465" s="49" t="str">
        <f>IF(F1465="", " ", IF(ISNA(VLOOKUP(D1465,'[2]stock-take'!$M:$Q,4,FALSE)), "OUT OF STOCK", VLOOKUP(D1465,'[2]stock-take'!$M:$Q,4,FALSE)))</f>
        <v xml:space="preserve"> </v>
      </c>
      <c r="L1465" s="47">
        <f>IF(ISNA(VLOOKUP(D1465,'[2]stock-take'!$M:$Q,3,FALSE)), 0, VLOOKUP(D1465,'[2]stock-take'!$M:$Q,3,FALSE))</f>
        <v>0</v>
      </c>
      <c r="M1465" s="48" t="str">
        <f t="shared" si="67"/>
        <v xml:space="preserve"> </v>
      </c>
      <c r="N1465" s="39" t="str">
        <f t="shared" si="68"/>
        <v xml:space="preserve"> </v>
      </c>
    </row>
    <row r="1466" spans="1:14">
      <c r="A1466" s="37">
        <f t="shared" si="66"/>
        <v>1455</v>
      </c>
      <c r="G1466" s="48" t="str">
        <f>IF(F1466=""," ",IF(ISNA(VLOOKUP(D1466,'[2]stock-take'!$A:$E,4,FALSE)), "OUT OF STOCK", VLOOKUP(D1466,'[2]stock-take'!$A:$E,4,FALSE)))</f>
        <v xml:space="preserve"> </v>
      </c>
      <c r="H1466" s="48">
        <f>IF(ISNA(VLOOKUP(D1466,'[2]stock-take'!$A:$E,3,FALSE)), 0, VLOOKUP(D1466,'[2]stock-take'!$A:$E,3,FALSE))</f>
        <v>0</v>
      </c>
      <c r="I1466" s="48" t="str">
        <f>IF(F1466="", " ",IF(ISNA(VLOOKUP(D1466,'[2]stock-take'!$G:$K,4,FALSE)), "OUT OF STOCK", VLOOKUP(D1466,'[2]stock-take'!$G:$K,4,FALSE)))</f>
        <v xml:space="preserve"> </v>
      </c>
      <c r="J1466" s="39">
        <f>IF(ISNA(VLOOKUP(D1466,'[2]stock-take'!$G:$K,3,FALSE)), 0, VLOOKUP(D1466,'[2]stock-take'!$G:$K,3,FALSE))</f>
        <v>0</v>
      </c>
      <c r="K1466" s="49" t="str">
        <f>IF(F1466="", " ", IF(ISNA(VLOOKUP(D1466,'[2]stock-take'!$M:$Q,4,FALSE)), "OUT OF STOCK", VLOOKUP(D1466,'[2]stock-take'!$M:$Q,4,FALSE)))</f>
        <v xml:space="preserve"> </v>
      </c>
      <c r="L1466" s="47">
        <f>IF(ISNA(VLOOKUP(D1466,'[2]stock-take'!$M:$Q,3,FALSE)), 0, VLOOKUP(D1466,'[2]stock-take'!$M:$Q,3,FALSE))</f>
        <v>0</v>
      </c>
      <c r="M1466" s="48" t="str">
        <f t="shared" si="67"/>
        <v xml:space="preserve"> </v>
      </c>
      <c r="N1466" s="39" t="str">
        <f t="shared" si="68"/>
        <v xml:space="preserve"> </v>
      </c>
    </row>
    <row r="1467" spans="1:14">
      <c r="A1467" s="37">
        <f t="shared" si="66"/>
        <v>1456</v>
      </c>
      <c r="G1467" s="48" t="str">
        <f>IF(F1467=""," ",IF(ISNA(VLOOKUP(D1467,'[2]stock-take'!$A:$E,4,FALSE)), "OUT OF STOCK", VLOOKUP(D1467,'[2]stock-take'!$A:$E,4,FALSE)))</f>
        <v xml:space="preserve"> </v>
      </c>
      <c r="H1467" s="48">
        <f>IF(ISNA(VLOOKUP(D1467,'[2]stock-take'!$A:$E,3,FALSE)), 0, VLOOKUP(D1467,'[2]stock-take'!$A:$E,3,FALSE))</f>
        <v>0</v>
      </c>
      <c r="I1467" s="48" t="str">
        <f>IF(F1467="", " ",IF(ISNA(VLOOKUP(D1467,'[2]stock-take'!$G:$K,4,FALSE)), "OUT OF STOCK", VLOOKUP(D1467,'[2]stock-take'!$G:$K,4,FALSE)))</f>
        <v xml:space="preserve"> </v>
      </c>
      <c r="J1467" s="39">
        <f>IF(ISNA(VLOOKUP(D1467,'[2]stock-take'!$G:$K,3,FALSE)), 0, VLOOKUP(D1467,'[2]stock-take'!$G:$K,3,FALSE))</f>
        <v>0</v>
      </c>
      <c r="K1467" s="49" t="str">
        <f>IF(F1467="", " ", IF(ISNA(VLOOKUP(D1467,'[2]stock-take'!$M:$Q,4,FALSE)), "OUT OF STOCK", VLOOKUP(D1467,'[2]stock-take'!$M:$Q,4,FALSE)))</f>
        <v xml:space="preserve"> </v>
      </c>
      <c r="L1467" s="47">
        <f>IF(ISNA(VLOOKUP(D1467,'[2]stock-take'!$M:$Q,3,FALSE)), 0, VLOOKUP(D1467,'[2]stock-take'!$M:$Q,3,FALSE))</f>
        <v>0</v>
      </c>
      <c r="M1467" s="48" t="str">
        <f t="shared" si="67"/>
        <v xml:space="preserve"> </v>
      </c>
      <c r="N1467" s="39" t="str">
        <f t="shared" si="68"/>
        <v xml:space="preserve"> </v>
      </c>
    </row>
    <row r="1468" spans="1:14">
      <c r="A1468" s="37">
        <f t="shared" si="66"/>
        <v>1457</v>
      </c>
      <c r="G1468" s="48" t="str">
        <f>IF(F1468=""," ",IF(ISNA(VLOOKUP(D1468,'[2]stock-take'!$A:$E,4,FALSE)), "OUT OF STOCK", VLOOKUP(D1468,'[2]stock-take'!$A:$E,4,FALSE)))</f>
        <v xml:space="preserve"> </v>
      </c>
      <c r="H1468" s="48">
        <f>IF(ISNA(VLOOKUP(D1468,'[2]stock-take'!$A:$E,3,FALSE)), 0, VLOOKUP(D1468,'[2]stock-take'!$A:$E,3,FALSE))</f>
        <v>0</v>
      </c>
      <c r="I1468" s="48" t="str">
        <f>IF(F1468="", " ",IF(ISNA(VLOOKUP(D1468,'[2]stock-take'!$G:$K,4,FALSE)), "OUT OF STOCK", VLOOKUP(D1468,'[2]stock-take'!$G:$K,4,FALSE)))</f>
        <v xml:space="preserve"> </v>
      </c>
      <c r="J1468" s="39">
        <f>IF(ISNA(VLOOKUP(D1468,'[2]stock-take'!$G:$K,3,FALSE)), 0, VLOOKUP(D1468,'[2]stock-take'!$G:$K,3,FALSE))</f>
        <v>0</v>
      </c>
      <c r="K1468" s="49" t="str">
        <f>IF(F1468="", " ", IF(ISNA(VLOOKUP(D1468,'[2]stock-take'!$M:$Q,4,FALSE)), "OUT OF STOCK", VLOOKUP(D1468,'[2]stock-take'!$M:$Q,4,FALSE)))</f>
        <v xml:space="preserve"> </v>
      </c>
      <c r="L1468" s="47">
        <f>IF(ISNA(VLOOKUP(D1468,'[2]stock-take'!$M:$Q,3,FALSE)), 0, VLOOKUP(D1468,'[2]stock-take'!$M:$Q,3,FALSE))</f>
        <v>0</v>
      </c>
      <c r="M1468" s="48" t="str">
        <f t="shared" si="67"/>
        <v xml:space="preserve"> </v>
      </c>
      <c r="N1468" s="39" t="str">
        <f t="shared" si="68"/>
        <v xml:space="preserve"> </v>
      </c>
    </row>
    <row r="1469" spans="1:14">
      <c r="A1469" s="37">
        <f t="shared" si="66"/>
        <v>1458</v>
      </c>
      <c r="G1469" s="48" t="str">
        <f>IF(F1469=""," ",IF(ISNA(VLOOKUP(D1469,'[2]stock-take'!$A:$E,4,FALSE)), "OUT OF STOCK", VLOOKUP(D1469,'[2]stock-take'!$A:$E,4,FALSE)))</f>
        <v xml:space="preserve"> </v>
      </c>
      <c r="H1469" s="48">
        <f>IF(ISNA(VLOOKUP(D1469,'[2]stock-take'!$A:$E,3,FALSE)), 0, VLOOKUP(D1469,'[2]stock-take'!$A:$E,3,FALSE))</f>
        <v>0</v>
      </c>
      <c r="I1469" s="48" t="str">
        <f>IF(F1469="", " ",IF(ISNA(VLOOKUP(D1469,'[2]stock-take'!$G:$K,4,FALSE)), "OUT OF STOCK", VLOOKUP(D1469,'[2]stock-take'!$G:$K,4,FALSE)))</f>
        <v xml:space="preserve"> </v>
      </c>
      <c r="J1469" s="39">
        <f>IF(ISNA(VLOOKUP(D1469,'[2]stock-take'!$G:$K,3,FALSE)), 0, VLOOKUP(D1469,'[2]stock-take'!$G:$K,3,FALSE))</f>
        <v>0</v>
      </c>
      <c r="K1469" s="49" t="str">
        <f>IF(F1469="", " ", IF(ISNA(VLOOKUP(D1469,'[2]stock-take'!$M:$Q,4,FALSE)), "OUT OF STOCK", VLOOKUP(D1469,'[2]stock-take'!$M:$Q,4,FALSE)))</f>
        <v xml:space="preserve"> </v>
      </c>
      <c r="L1469" s="47">
        <f>IF(ISNA(VLOOKUP(D1469,'[2]stock-take'!$M:$Q,3,FALSE)), 0, VLOOKUP(D1469,'[2]stock-take'!$M:$Q,3,FALSE))</f>
        <v>0</v>
      </c>
      <c r="M1469" s="48" t="str">
        <f t="shared" si="67"/>
        <v xml:space="preserve"> </v>
      </c>
      <c r="N1469" s="39" t="str">
        <f t="shared" si="68"/>
        <v xml:space="preserve"> </v>
      </c>
    </row>
    <row r="1470" spans="1:14">
      <c r="A1470" s="37">
        <f t="shared" si="66"/>
        <v>1459</v>
      </c>
      <c r="G1470" s="48" t="str">
        <f>IF(F1470=""," ",IF(ISNA(VLOOKUP(D1470,'[2]stock-take'!$A:$E,4,FALSE)), "OUT OF STOCK", VLOOKUP(D1470,'[2]stock-take'!$A:$E,4,FALSE)))</f>
        <v xml:space="preserve"> </v>
      </c>
      <c r="H1470" s="48">
        <f>IF(ISNA(VLOOKUP(D1470,'[2]stock-take'!$A:$E,3,FALSE)), 0, VLOOKUP(D1470,'[2]stock-take'!$A:$E,3,FALSE))</f>
        <v>0</v>
      </c>
      <c r="I1470" s="48" t="str">
        <f>IF(F1470="", " ",IF(ISNA(VLOOKUP(D1470,'[2]stock-take'!$G:$K,4,FALSE)), "OUT OF STOCK", VLOOKUP(D1470,'[2]stock-take'!$G:$K,4,FALSE)))</f>
        <v xml:space="preserve"> </v>
      </c>
      <c r="J1470" s="39">
        <f>IF(ISNA(VLOOKUP(D1470,'[2]stock-take'!$G:$K,3,FALSE)), 0, VLOOKUP(D1470,'[2]stock-take'!$G:$K,3,FALSE))</f>
        <v>0</v>
      </c>
      <c r="K1470" s="49" t="str">
        <f>IF(F1470="", " ", IF(ISNA(VLOOKUP(D1470,'[2]stock-take'!$M:$Q,4,FALSE)), "OUT OF STOCK", VLOOKUP(D1470,'[2]stock-take'!$M:$Q,4,FALSE)))</f>
        <v xml:space="preserve"> </v>
      </c>
      <c r="L1470" s="47">
        <f>IF(ISNA(VLOOKUP(D1470,'[2]stock-take'!$M:$Q,3,FALSE)), 0, VLOOKUP(D1470,'[2]stock-take'!$M:$Q,3,FALSE))</f>
        <v>0</v>
      </c>
      <c r="M1470" s="48" t="str">
        <f t="shared" si="67"/>
        <v xml:space="preserve"> </v>
      </c>
      <c r="N1470" s="39" t="str">
        <f t="shared" si="68"/>
        <v xml:space="preserve"> </v>
      </c>
    </row>
    <row r="1471" spans="1:14">
      <c r="A1471" s="37">
        <f t="shared" si="66"/>
        <v>1460</v>
      </c>
      <c r="G1471" s="48" t="str">
        <f>IF(F1471=""," ",IF(ISNA(VLOOKUP(D1471,'[2]stock-take'!$A:$E,4,FALSE)), "OUT OF STOCK", VLOOKUP(D1471,'[2]stock-take'!$A:$E,4,FALSE)))</f>
        <v xml:space="preserve"> </v>
      </c>
      <c r="H1471" s="48">
        <f>IF(ISNA(VLOOKUP(D1471,'[2]stock-take'!$A:$E,3,FALSE)), 0, VLOOKUP(D1471,'[2]stock-take'!$A:$E,3,FALSE))</f>
        <v>0</v>
      </c>
      <c r="I1471" s="48" t="str">
        <f>IF(F1471="", " ",IF(ISNA(VLOOKUP(D1471,'[2]stock-take'!$G:$K,4,FALSE)), "OUT OF STOCK", VLOOKUP(D1471,'[2]stock-take'!$G:$K,4,FALSE)))</f>
        <v xml:space="preserve"> </v>
      </c>
      <c r="J1471" s="39">
        <f>IF(ISNA(VLOOKUP(D1471,'[2]stock-take'!$G:$K,3,FALSE)), 0, VLOOKUP(D1471,'[2]stock-take'!$G:$K,3,FALSE))</f>
        <v>0</v>
      </c>
      <c r="K1471" s="49" t="str">
        <f>IF(F1471="", " ", IF(ISNA(VLOOKUP(D1471,'[2]stock-take'!$M:$Q,4,FALSE)), "OUT OF STOCK", VLOOKUP(D1471,'[2]stock-take'!$M:$Q,4,FALSE)))</f>
        <v xml:space="preserve"> </v>
      </c>
      <c r="L1471" s="47">
        <f>IF(ISNA(VLOOKUP(D1471,'[2]stock-take'!$M:$Q,3,FALSE)), 0, VLOOKUP(D1471,'[2]stock-take'!$M:$Q,3,FALSE))</f>
        <v>0</v>
      </c>
      <c r="M1471" s="48" t="str">
        <f t="shared" si="67"/>
        <v xml:space="preserve"> </v>
      </c>
      <c r="N1471" s="39" t="str">
        <f t="shared" si="68"/>
        <v xml:space="preserve"> </v>
      </c>
    </row>
    <row r="1472" spans="1:14">
      <c r="A1472" s="37">
        <f t="shared" si="66"/>
        <v>1461</v>
      </c>
      <c r="G1472" s="48" t="str">
        <f>IF(F1472=""," ",IF(ISNA(VLOOKUP(D1472,'[2]stock-take'!$A:$E,4,FALSE)), "OUT OF STOCK", VLOOKUP(D1472,'[2]stock-take'!$A:$E,4,FALSE)))</f>
        <v xml:space="preserve"> </v>
      </c>
      <c r="H1472" s="48">
        <f>IF(ISNA(VLOOKUP(D1472,'[2]stock-take'!$A:$E,3,FALSE)), 0, VLOOKUP(D1472,'[2]stock-take'!$A:$E,3,FALSE))</f>
        <v>0</v>
      </c>
      <c r="I1472" s="48" t="str">
        <f>IF(F1472="", " ",IF(ISNA(VLOOKUP(D1472,'[2]stock-take'!$G:$K,4,FALSE)), "OUT OF STOCK", VLOOKUP(D1472,'[2]stock-take'!$G:$K,4,FALSE)))</f>
        <v xml:space="preserve"> </v>
      </c>
      <c r="J1472" s="39">
        <f>IF(ISNA(VLOOKUP(D1472,'[2]stock-take'!$G:$K,3,FALSE)), 0, VLOOKUP(D1472,'[2]stock-take'!$G:$K,3,FALSE))</f>
        <v>0</v>
      </c>
      <c r="K1472" s="49" t="str">
        <f>IF(F1472="", " ", IF(ISNA(VLOOKUP(D1472,'[2]stock-take'!$M:$Q,4,FALSE)), "OUT OF STOCK", VLOOKUP(D1472,'[2]stock-take'!$M:$Q,4,FALSE)))</f>
        <v xml:space="preserve"> </v>
      </c>
      <c r="L1472" s="47">
        <f>IF(ISNA(VLOOKUP(D1472,'[2]stock-take'!$M:$Q,3,FALSE)), 0, VLOOKUP(D1472,'[2]stock-take'!$M:$Q,3,FALSE))</f>
        <v>0</v>
      </c>
      <c r="M1472" s="48" t="str">
        <f t="shared" si="67"/>
        <v xml:space="preserve"> </v>
      </c>
      <c r="N1472" s="39" t="str">
        <f t="shared" si="68"/>
        <v xml:space="preserve"> </v>
      </c>
    </row>
    <row r="1473" spans="1:14">
      <c r="A1473" s="37">
        <f t="shared" si="66"/>
        <v>1462</v>
      </c>
      <c r="G1473" s="48" t="str">
        <f>IF(F1473=""," ",IF(ISNA(VLOOKUP(D1473,'[2]stock-take'!$A:$E,4,FALSE)), "OUT OF STOCK", VLOOKUP(D1473,'[2]stock-take'!$A:$E,4,FALSE)))</f>
        <v xml:space="preserve"> </v>
      </c>
      <c r="H1473" s="48">
        <f>IF(ISNA(VLOOKUP(D1473,'[2]stock-take'!$A:$E,3,FALSE)), 0, VLOOKUP(D1473,'[2]stock-take'!$A:$E,3,FALSE))</f>
        <v>0</v>
      </c>
      <c r="I1473" s="48" t="str">
        <f>IF(F1473="", " ",IF(ISNA(VLOOKUP(D1473,'[2]stock-take'!$G:$K,4,FALSE)), "OUT OF STOCK", VLOOKUP(D1473,'[2]stock-take'!$G:$K,4,FALSE)))</f>
        <v xml:space="preserve"> </v>
      </c>
      <c r="J1473" s="39">
        <f>IF(ISNA(VLOOKUP(D1473,'[2]stock-take'!$G:$K,3,FALSE)), 0, VLOOKUP(D1473,'[2]stock-take'!$G:$K,3,FALSE))</f>
        <v>0</v>
      </c>
      <c r="K1473" s="49" t="str">
        <f>IF(F1473="", " ", IF(ISNA(VLOOKUP(D1473,'[2]stock-take'!$M:$Q,4,FALSE)), "OUT OF STOCK", VLOOKUP(D1473,'[2]stock-take'!$M:$Q,4,FALSE)))</f>
        <v xml:space="preserve"> </v>
      </c>
      <c r="L1473" s="47">
        <f>IF(ISNA(VLOOKUP(D1473,'[2]stock-take'!$M:$Q,3,FALSE)), 0, VLOOKUP(D1473,'[2]stock-take'!$M:$Q,3,FALSE))</f>
        <v>0</v>
      </c>
      <c r="M1473" s="48" t="str">
        <f t="shared" si="67"/>
        <v xml:space="preserve"> </v>
      </c>
      <c r="N1473" s="39" t="str">
        <f t="shared" si="68"/>
        <v xml:space="preserve"> </v>
      </c>
    </row>
    <row r="1474" spans="1:14">
      <c r="A1474" s="37">
        <f t="shared" si="66"/>
        <v>1463</v>
      </c>
      <c r="G1474" s="48" t="str">
        <f>IF(F1474=""," ",IF(ISNA(VLOOKUP(D1474,'[2]stock-take'!$A:$E,4,FALSE)), "OUT OF STOCK", VLOOKUP(D1474,'[2]stock-take'!$A:$E,4,FALSE)))</f>
        <v xml:space="preserve"> </v>
      </c>
      <c r="H1474" s="48">
        <f>IF(ISNA(VLOOKUP(D1474,'[2]stock-take'!$A:$E,3,FALSE)), 0, VLOOKUP(D1474,'[2]stock-take'!$A:$E,3,FALSE))</f>
        <v>0</v>
      </c>
      <c r="I1474" s="48" t="str">
        <f>IF(F1474="", " ",IF(ISNA(VLOOKUP(D1474,'[2]stock-take'!$G:$K,4,FALSE)), "OUT OF STOCK", VLOOKUP(D1474,'[2]stock-take'!$G:$K,4,FALSE)))</f>
        <v xml:space="preserve"> </v>
      </c>
      <c r="J1474" s="39">
        <f>IF(ISNA(VLOOKUP(D1474,'[2]stock-take'!$G:$K,3,FALSE)), 0, VLOOKUP(D1474,'[2]stock-take'!$G:$K,3,FALSE))</f>
        <v>0</v>
      </c>
      <c r="K1474" s="49" t="str">
        <f>IF(F1474="", " ", IF(ISNA(VLOOKUP(D1474,'[2]stock-take'!$M:$Q,4,FALSE)), "OUT OF STOCK", VLOOKUP(D1474,'[2]stock-take'!$M:$Q,4,FALSE)))</f>
        <v xml:space="preserve"> </v>
      </c>
      <c r="L1474" s="47">
        <f>IF(ISNA(VLOOKUP(D1474,'[2]stock-take'!$M:$Q,3,FALSE)), 0, VLOOKUP(D1474,'[2]stock-take'!$M:$Q,3,FALSE))</f>
        <v>0</v>
      </c>
      <c r="M1474" s="48" t="str">
        <f t="shared" si="67"/>
        <v xml:space="preserve"> </v>
      </c>
      <c r="N1474" s="39" t="str">
        <f t="shared" si="68"/>
        <v xml:space="preserve"> </v>
      </c>
    </row>
    <row r="1475" spans="1:14">
      <c r="A1475" s="37">
        <f t="shared" si="66"/>
        <v>1464</v>
      </c>
      <c r="G1475" s="48" t="str">
        <f>IF(F1475=""," ",IF(ISNA(VLOOKUP(D1475,'[2]stock-take'!$A:$E,4,FALSE)), "OUT OF STOCK", VLOOKUP(D1475,'[2]stock-take'!$A:$E,4,FALSE)))</f>
        <v xml:space="preserve"> </v>
      </c>
      <c r="H1475" s="48">
        <f>IF(ISNA(VLOOKUP(D1475,'[2]stock-take'!$A:$E,3,FALSE)), 0, VLOOKUP(D1475,'[2]stock-take'!$A:$E,3,FALSE))</f>
        <v>0</v>
      </c>
      <c r="I1475" s="48" t="str">
        <f>IF(F1475="", " ",IF(ISNA(VLOOKUP(D1475,'[2]stock-take'!$G:$K,4,FALSE)), "OUT OF STOCK", VLOOKUP(D1475,'[2]stock-take'!$G:$K,4,FALSE)))</f>
        <v xml:space="preserve"> </v>
      </c>
      <c r="J1475" s="39">
        <f>IF(ISNA(VLOOKUP(D1475,'[2]stock-take'!$G:$K,3,FALSE)), 0, VLOOKUP(D1475,'[2]stock-take'!$G:$K,3,FALSE))</f>
        <v>0</v>
      </c>
      <c r="K1475" s="49" t="str">
        <f>IF(F1475="", " ", IF(ISNA(VLOOKUP(D1475,'[2]stock-take'!$M:$Q,4,FALSE)), "OUT OF STOCK", VLOOKUP(D1475,'[2]stock-take'!$M:$Q,4,FALSE)))</f>
        <v xml:space="preserve"> </v>
      </c>
      <c r="L1475" s="47">
        <f>IF(ISNA(VLOOKUP(D1475,'[2]stock-take'!$M:$Q,3,FALSE)), 0, VLOOKUP(D1475,'[2]stock-take'!$M:$Q,3,FALSE))</f>
        <v>0</v>
      </c>
      <c r="M1475" s="48" t="str">
        <f t="shared" si="67"/>
        <v xml:space="preserve"> </v>
      </c>
      <c r="N1475" s="39" t="str">
        <f t="shared" si="68"/>
        <v xml:space="preserve"> </v>
      </c>
    </row>
    <row r="1476" spans="1:14">
      <c r="A1476" s="37">
        <f t="shared" si="66"/>
        <v>1465</v>
      </c>
      <c r="G1476" s="48" t="str">
        <f>IF(F1476=""," ",IF(ISNA(VLOOKUP(D1476,'[2]stock-take'!$A:$E,4,FALSE)), "OUT OF STOCK", VLOOKUP(D1476,'[2]stock-take'!$A:$E,4,FALSE)))</f>
        <v xml:space="preserve"> </v>
      </c>
      <c r="H1476" s="48">
        <f>IF(ISNA(VLOOKUP(D1476,'[2]stock-take'!$A:$E,3,FALSE)), 0, VLOOKUP(D1476,'[2]stock-take'!$A:$E,3,FALSE))</f>
        <v>0</v>
      </c>
      <c r="I1476" s="48" t="str">
        <f>IF(F1476="", " ",IF(ISNA(VLOOKUP(D1476,'[2]stock-take'!$G:$K,4,FALSE)), "OUT OF STOCK", VLOOKUP(D1476,'[2]stock-take'!$G:$K,4,FALSE)))</f>
        <v xml:space="preserve"> </v>
      </c>
      <c r="J1476" s="39">
        <f>IF(ISNA(VLOOKUP(D1476,'[2]stock-take'!$G:$K,3,FALSE)), 0, VLOOKUP(D1476,'[2]stock-take'!$G:$K,3,FALSE))</f>
        <v>0</v>
      </c>
      <c r="K1476" s="49" t="str">
        <f>IF(F1476="", " ", IF(ISNA(VLOOKUP(D1476,'[2]stock-take'!$M:$Q,4,FALSE)), "OUT OF STOCK", VLOOKUP(D1476,'[2]stock-take'!$M:$Q,4,FALSE)))</f>
        <v xml:space="preserve"> </v>
      </c>
      <c r="L1476" s="47">
        <f>IF(ISNA(VLOOKUP(D1476,'[2]stock-take'!$M:$Q,3,FALSE)), 0, VLOOKUP(D1476,'[2]stock-take'!$M:$Q,3,FALSE))</f>
        <v>0</v>
      </c>
      <c r="M1476" s="48" t="str">
        <f t="shared" si="67"/>
        <v xml:space="preserve"> </v>
      </c>
      <c r="N1476" s="39" t="str">
        <f t="shared" si="68"/>
        <v xml:space="preserve"> </v>
      </c>
    </row>
    <row r="1477" spans="1:14">
      <c r="A1477" s="37">
        <f t="shared" si="66"/>
        <v>1466</v>
      </c>
      <c r="G1477" s="48" t="str">
        <f>IF(F1477=""," ",IF(ISNA(VLOOKUP(D1477,'[2]stock-take'!$A:$E,4,FALSE)), "OUT OF STOCK", VLOOKUP(D1477,'[2]stock-take'!$A:$E,4,FALSE)))</f>
        <v xml:space="preserve"> </v>
      </c>
      <c r="H1477" s="48">
        <f>IF(ISNA(VLOOKUP(D1477,'[2]stock-take'!$A:$E,3,FALSE)), 0, VLOOKUP(D1477,'[2]stock-take'!$A:$E,3,FALSE))</f>
        <v>0</v>
      </c>
      <c r="I1477" s="48" t="str">
        <f>IF(F1477="", " ",IF(ISNA(VLOOKUP(D1477,'[2]stock-take'!$G:$K,4,FALSE)), "OUT OF STOCK", VLOOKUP(D1477,'[2]stock-take'!$G:$K,4,FALSE)))</f>
        <v xml:space="preserve"> </v>
      </c>
      <c r="J1477" s="39">
        <f>IF(ISNA(VLOOKUP(D1477,'[2]stock-take'!$G:$K,3,FALSE)), 0, VLOOKUP(D1477,'[2]stock-take'!$G:$K,3,FALSE))</f>
        <v>0</v>
      </c>
      <c r="K1477" s="49" t="str">
        <f>IF(F1477="", " ", IF(ISNA(VLOOKUP(D1477,'[2]stock-take'!$M:$Q,4,FALSE)), "OUT OF STOCK", VLOOKUP(D1477,'[2]stock-take'!$M:$Q,4,FALSE)))</f>
        <v xml:space="preserve"> </v>
      </c>
      <c r="L1477" s="47">
        <f>IF(ISNA(VLOOKUP(D1477,'[2]stock-take'!$M:$Q,3,FALSE)), 0, VLOOKUP(D1477,'[2]stock-take'!$M:$Q,3,FALSE))</f>
        <v>0</v>
      </c>
      <c r="M1477" s="48" t="str">
        <f t="shared" si="67"/>
        <v xml:space="preserve"> </v>
      </c>
      <c r="N1477" s="39" t="str">
        <f t="shared" si="68"/>
        <v xml:space="preserve"> </v>
      </c>
    </row>
    <row r="1478" spans="1:14">
      <c r="A1478" s="37">
        <f t="shared" si="66"/>
        <v>1467</v>
      </c>
      <c r="G1478" s="48" t="str">
        <f>IF(F1478=""," ",IF(ISNA(VLOOKUP(D1478,'[2]stock-take'!$A:$E,4,FALSE)), "OUT OF STOCK", VLOOKUP(D1478,'[2]stock-take'!$A:$E,4,FALSE)))</f>
        <v xml:space="preserve"> </v>
      </c>
      <c r="H1478" s="48">
        <f>IF(ISNA(VLOOKUP(D1478,'[2]stock-take'!$A:$E,3,FALSE)), 0, VLOOKUP(D1478,'[2]stock-take'!$A:$E,3,FALSE))</f>
        <v>0</v>
      </c>
      <c r="I1478" s="48" t="str">
        <f>IF(F1478="", " ",IF(ISNA(VLOOKUP(D1478,'[2]stock-take'!$G:$K,4,FALSE)), "OUT OF STOCK", VLOOKUP(D1478,'[2]stock-take'!$G:$K,4,FALSE)))</f>
        <v xml:space="preserve"> </v>
      </c>
      <c r="J1478" s="39">
        <f>IF(ISNA(VLOOKUP(D1478,'[2]stock-take'!$G:$K,3,FALSE)), 0, VLOOKUP(D1478,'[2]stock-take'!$G:$K,3,FALSE))</f>
        <v>0</v>
      </c>
      <c r="K1478" s="49" t="str">
        <f>IF(F1478="", " ", IF(ISNA(VLOOKUP(D1478,'[2]stock-take'!$M:$Q,4,FALSE)), "OUT OF STOCK", VLOOKUP(D1478,'[2]stock-take'!$M:$Q,4,FALSE)))</f>
        <v xml:space="preserve"> </v>
      </c>
      <c r="L1478" s="47">
        <f>IF(ISNA(VLOOKUP(D1478,'[2]stock-take'!$M:$Q,3,FALSE)), 0, VLOOKUP(D1478,'[2]stock-take'!$M:$Q,3,FALSE))</f>
        <v>0</v>
      </c>
      <c r="M1478" s="48" t="str">
        <f t="shared" si="67"/>
        <v xml:space="preserve"> </v>
      </c>
      <c r="N1478" s="39" t="str">
        <f t="shared" si="68"/>
        <v xml:space="preserve"> </v>
      </c>
    </row>
    <row r="1479" spans="1:14">
      <c r="A1479" s="37">
        <f t="shared" si="66"/>
        <v>1468</v>
      </c>
      <c r="G1479" s="48" t="str">
        <f>IF(F1479=""," ",IF(ISNA(VLOOKUP(D1479,'[2]stock-take'!$A:$E,4,FALSE)), "OUT OF STOCK", VLOOKUP(D1479,'[2]stock-take'!$A:$E,4,FALSE)))</f>
        <v xml:space="preserve"> </v>
      </c>
      <c r="H1479" s="48">
        <f>IF(ISNA(VLOOKUP(D1479,'[2]stock-take'!$A:$E,3,FALSE)), 0, VLOOKUP(D1479,'[2]stock-take'!$A:$E,3,FALSE))</f>
        <v>0</v>
      </c>
      <c r="I1479" s="48" t="str">
        <f>IF(F1479="", " ",IF(ISNA(VLOOKUP(D1479,'[2]stock-take'!$G:$K,4,FALSE)), "OUT OF STOCK", VLOOKUP(D1479,'[2]stock-take'!$G:$K,4,FALSE)))</f>
        <v xml:space="preserve"> </v>
      </c>
      <c r="J1479" s="39">
        <f>IF(ISNA(VLOOKUP(D1479,'[2]stock-take'!$G:$K,3,FALSE)), 0, VLOOKUP(D1479,'[2]stock-take'!$G:$K,3,FALSE))</f>
        <v>0</v>
      </c>
      <c r="K1479" s="49" t="str">
        <f>IF(F1479="", " ", IF(ISNA(VLOOKUP(D1479,'[2]stock-take'!$M:$Q,4,FALSE)), "OUT OF STOCK", VLOOKUP(D1479,'[2]stock-take'!$M:$Q,4,FALSE)))</f>
        <v xml:space="preserve"> </v>
      </c>
      <c r="L1479" s="47">
        <f>IF(ISNA(VLOOKUP(D1479,'[2]stock-take'!$M:$Q,3,FALSE)), 0, VLOOKUP(D1479,'[2]stock-take'!$M:$Q,3,FALSE))</f>
        <v>0</v>
      </c>
      <c r="M1479" s="48" t="str">
        <f t="shared" si="67"/>
        <v xml:space="preserve"> </v>
      </c>
      <c r="N1479" s="39" t="str">
        <f t="shared" si="68"/>
        <v xml:space="preserve"> </v>
      </c>
    </row>
    <row r="1480" spans="1:14">
      <c r="A1480" s="37">
        <f t="shared" si="66"/>
        <v>1469</v>
      </c>
      <c r="G1480" s="48" t="str">
        <f>IF(F1480=""," ",IF(ISNA(VLOOKUP(D1480,'[2]stock-take'!$A:$E,4,FALSE)), "OUT OF STOCK", VLOOKUP(D1480,'[2]stock-take'!$A:$E,4,FALSE)))</f>
        <v xml:space="preserve"> </v>
      </c>
      <c r="H1480" s="48">
        <f>IF(ISNA(VLOOKUP(D1480,'[2]stock-take'!$A:$E,3,FALSE)), 0, VLOOKUP(D1480,'[2]stock-take'!$A:$E,3,FALSE))</f>
        <v>0</v>
      </c>
      <c r="I1480" s="48" t="str">
        <f>IF(F1480="", " ",IF(ISNA(VLOOKUP(D1480,'[2]stock-take'!$G:$K,4,FALSE)), "OUT OF STOCK", VLOOKUP(D1480,'[2]stock-take'!$G:$K,4,FALSE)))</f>
        <v xml:space="preserve"> </v>
      </c>
      <c r="J1480" s="39">
        <f>IF(ISNA(VLOOKUP(D1480,'[2]stock-take'!$G:$K,3,FALSE)), 0, VLOOKUP(D1480,'[2]stock-take'!$G:$K,3,FALSE))</f>
        <v>0</v>
      </c>
      <c r="K1480" s="49" t="str">
        <f>IF(F1480="", " ", IF(ISNA(VLOOKUP(D1480,'[2]stock-take'!$M:$Q,4,FALSE)), "OUT OF STOCK", VLOOKUP(D1480,'[2]stock-take'!$M:$Q,4,FALSE)))</f>
        <v xml:space="preserve"> </v>
      </c>
      <c r="L1480" s="47">
        <f>IF(ISNA(VLOOKUP(D1480,'[2]stock-take'!$M:$Q,3,FALSE)), 0, VLOOKUP(D1480,'[2]stock-take'!$M:$Q,3,FALSE))</f>
        <v>0</v>
      </c>
      <c r="M1480" s="48" t="str">
        <f t="shared" si="67"/>
        <v xml:space="preserve"> </v>
      </c>
      <c r="N1480" s="39" t="str">
        <f t="shared" si="68"/>
        <v xml:space="preserve"> </v>
      </c>
    </row>
    <row r="1481" spans="1:14">
      <c r="A1481" s="37">
        <f t="shared" si="66"/>
        <v>1470</v>
      </c>
      <c r="G1481" s="48" t="str">
        <f>IF(F1481=""," ",IF(ISNA(VLOOKUP(D1481,'[2]stock-take'!$A:$E,4,FALSE)), "OUT OF STOCK", VLOOKUP(D1481,'[2]stock-take'!$A:$E,4,FALSE)))</f>
        <v xml:space="preserve"> </v>
      </c>
      <c r="H1481" s="48">
        <f>IF(ISNA(VLOOKUP(D1481,'[2]stock-take'!$A:$E,3,FALSE)), 0, VLOOKUP(D1481,'[2]stock-take'!$A:$E,3,FALSE))</f>
        <v>0</v>
      </c>
      <c r="I1481" s="48" t="str">
        <f>IF(F1481="", " ",IF(ISNA(VLOOKUP(D1481,'[2]stock-take'!$G:$K,4,FALSE)), "OUT OF STOCK", VLOOKUP(D1481,'[2]stock-take'!$G:$K,4,FALSE)))</f>
        <v xml:space="preserve"> </v>
      </c>
      <c r="J1481" s="39">
        <f>IF(ISNA(VLOOKUP(D1481,'[2]stock-take'!$G:$K,3,FALSE)), 0, VLOOKUP(D1481,'[2]stock-take'!$G:$K,3,FALSE))</f>
        <v>0</v>
      </c>
      <c r="K1481" s="49" t="str">
        <f>IF(F1481="", " ", IF(ISNA(VLOOKUP(D1481,'[2]stock-take'!$M:$Q,4,FALSE)), "OUT OF STOCK", VLOOKUP(D1481,'[2]stock-take'!$M:$Q,4,FALSE)))</f>
        <v xml:space="preserve"> </v>
      </c>
      <c r="L1481" s="47">
        <f>IF(ISNA(VLOOKUP(D1481,'[2]stock-take'!$M:$Q,3,FALSE)), 0, VLOOKUP(D1481,'[2]stock-take'!$M:$Q,3,FALSE))</f>
        <v>0</v>
      </c>
      <c r="M1481" s="48" t="str">
        <f t="shared" si="67"/>
        <v xml:space="preserve"> </v>
      </c>
      <c r="N1481" s="39" t="str">
        <f t="shared" si="68"/>
        <v xml:space="preserve"> </v>
      </c>
    </row>
    <row r="1482" spans="1:14">
      <c r="A1482" s="37">
        <f t="shared" si="66"/>
        <v>1471</v>
      </c>
      <c r="G1482" s="48" t="str">
        <f>IF(F1482=""," ",IF(ISNA(VLOOKUP(D1482,'[2]stock-take'!$A:$E,4,FALSE)), "OUT OF STOCK", VLOOKUP(D1482,'[2]stock-take'!$A:$E,4,FALSE)))</f>
        <v xml:space="preserve"> </v>
      </c>
      <c r="H1482" s="48">
        <f>IF(ISNA(VLOOKUP(D1482,'[2]stock-take'!$A:$E,3,FALSE)), 0, VLOOKUP(D1482,'[2]stock-take'!$A:$E,3,FALSE))</f>
        <v>0</v>
      </c>
      <c r="I1482" s="48" t="str">
        <f>IF(F1482="", " ",IF(ISNA(VLOOKUP(D1482,'[2]stock-take'!$G:$K,4,FALSE)), "OUT OF STOCK", VLOOKUP(D1482,'[2]stock-take'!$G:$K,4,FALSE)))</f>
        <v xml:space="preserve"> </v>
      </c>
      <c r="J1482" s="39">
        <f>IF(ISNA(VLOOKUP(D1482,'[2]stock-take'!$G:$K,3,FALSE)), 0, VLOOKUP(D1482,'[2]stock-take'!$G:$K,3,FALSE))</f>
        <v>0</v>
      </c>
      <c r="K1482" s="49" t="str">
        <f>IF(F1482="", " ", IF(ISNA(VLOOKUP(D1482,'[2]stock-take'!$M:$Q,4,FALSE)), "OUT OF STOCK", VLOOKUP(D1482,'[2]stock-take'!$M:$Q,4,FALSE)))</f>
        <v xml:space="preserve"> </v>
      </c>
      <c r="L1482" s="47">
        <f>IF(ISNA(VLOOKUP(D1482,'[2]stock-take'!$M:$Q,3,FALSE)), 0, VLOOKUP(D1482,'[2]stock-take'!$M:$Q,3,FALSE))</f>
        <v>0</v>
      </c>
      <c r="M1482" s="48" t="str">
        <f t="shared" si="67"/>
        <v xml:space="preserve"> </v>
      </c>
      <c r="N1482" s="39" t="str">
        <f t="shared" si="68"/>
        <v xml:space="preserve"> </v>
      </c>
    </row>
    <row r="1483" spans="1:14">
      <c r="A1483" s="37">
        <f t="shared" si="66"/>
        <v>1472</v>
      </c>
      <c r="G1483" s="48" t="str">
        <f>IF(F1483=""," ",IF(ISNA(VLOOKUP(D1483,'[2]stock-take'!$A:$E,4,FALSE)), "OUT OF STOCK", VLOOKUP(D1483,'[2]stock-take'!$A:$E,4,FALSE)))</f>
        <v xml:space="preserve"> </v>
      </c>
      <c r="H1483" s="48">
        <f>IF(ISNA(VLOOKUP(D1483,'[2]stock-take'!$A:$E,3,FALSE)), 0, VLOOKUP(D1483,'[2]stock-take'!$A:$E,3,FALSE))</f>
        <v>0</v>
      </c>
      <c r="I1483" s="48" t="str">
        <f>IF(F1483="", " ",IF(ISNA(VLOOKUP(D1483,'[2]stock-take'!$G:$K,4,FALSE)), "OUT OF STOCK", VLOOKUP(D1483,'[2]stock-take'!$G:$K,4,FALSE)))</f>
        <v xml:space="preserve"> </v>
      </c>
      <c r="J1483" s="39">
        <f>IF(ISNA(VLOOKUP(D1483,'[2]stock-take'!$G:$K,3,FALSE)), 0, VLOOKUP(D1483,'[2]stock-take'!$G:$K,3,FALSE))</f>
        <v>0</v>
      </c>
      <c r="K1483" s="49" t="str">
        <f>IF(F1483="", " ", IF(ISNA(VLOOKUP(D1483,'[2]stock-take'!$M:$Q,4,FALSE)), "OUT OF STOCK", VLOOKUP(D1483,'[2]stock-take'!$M:$Q,4,FALSE)))</f>
        <v xml:space="preserve"> </v>
      </c>
      <c r="L1483" s="47">
        <f>IF(ISNA(VLOOKUP(D1483,'[2]stock-take'!$M:$Q,3,FALSE)), 0, VLOOKUP(D1483,'[2]stock-take'!$M:$Q,3,FALSE))</f>
        <v>0</v>
      </c>
      <c r="M1483" s="48" t="str">
        <f t="shared" si="67"/>
        <v xml:space="preserve"> </v>
      </c>
      <c r="N1483" s="39" t="str">
        <f t="shared" si="68"/>
        <v xml:space="preserve"> </v>
      </c>
    </row>
    <row r="1484" spans="1:14">
      <c r="A1484" s="37">
        <f t="shared" ref="A1484:A1547" si="69">ROW(A1484)-11</f>
        <v>1473</v>
      </c>
      <c r="G1484" s="48" t="str">
        <f>IF(F1484=""," ",IF(ISNA(VLOOKUP(D1484,'[2]stock-take'!$A:$E,4,FALSE)), "OUT OF STOCK", VLOOKUP(D1484,'[2]stock-take'!$A:$E,4,FALSE)))</f>
        <v xml:space="preserve"> </v>
      </c>
      <c r="H1484" s="48">
        <f>IF(ISNA(VLOOKUP(D1484,'[2]stock-take'!$A:$E,3,FALSE)), 0, VLOOKUP(D1484,'[2]stock-take'!$A:$E,3,FALSE))</f>
        <v>0</v>
      </c>
      <c r="I1484" s="48" t="str">
        <f>IF(F1484="", " ",IF(ISNA(VLOOKUP(D1484,'[2]stock-take'!$G:$K,4,FALSE)), "OUT OF STOCK", VLOOKUP(D1484,'[2]stock-take'!$G:$K,4,FALSE)))</f>
        <v xml:space="preserve"> </v>
      </c>
      <c r="J1484" s="39">
        <f>IF(ISNA(VLOOKUP(D1484,'[2]stock-take'!$G:$K,3,FALSE)), 0, VLOOKUP(D1484,'[2]stock-take'!$G:$K,3,FALSE))</f>
        <v>0</v>
      </c>
      <c r="K1484" s="49" t="str">
        <f>IF(F1484="", " ", IF(ISNA(VLOOKUP(D1484,'[2]stock-take'!$M:$Q,4,FALSE)), "OUT OF STOCK", VLOOKUP(D1484,'[2]stock-take'!$M:$Q,4,FALSE)))</f>
        <v xml:space="preserve"> </v>
      </c>
      <c r="L1484" s="47">
        <f>IF(ISNA(VLOOKUP(D1484,'[2]stock-take'!$M:$Q,3,FALSE)), 0, VLOOKUP(D1484,'[2]stock-take'!$M:$Q,3,FALSE))</f>
        <v>0</v>
      </c>
      <c r="M1484" s="48" t="str">
        <f t="shared" si="67"/>
        <v xml:space="preserve"> </v>
      </c>
      <c r="N1484" s="39" t="str">
        <f t="shared" si="68"/>
        <v xml:space="preserve"> </v>
      </c>
    </row>
    <row r="1485" spans="1:14">
      <c r="A1485" s="37">
        <f t="shared" si="69"/>
        <v>1474</v>
      </c>
      <c r="G1485" s="48" t="str">
        <f>IF(F1485=""," ",IF(ISNA(VLOOKUP(D1485,'[2]stock-take'!$A:$E,4,FALSE)), "OUT OF STOCK", VLOOKUP(D1485,'[2]stock-take'!$A:$E,4,FALSE)))</f>
        <v xml:space="preserve"> </v>
      </c>
      <c r="H1485" s="48">
        <f>IF(ISNA(VLOOKUP(D1485,'[2]stock-take'!$A:$E,3,FALSE)), 0, VLOOKUP(D1485,'[2]stock-take'!$A:$E,3,FALSE))</f>
        <v>0</v>
      </c>
      <c r="I1485" s="48" t="str">
        <f>IF(F1485="", " ",IF(ISNA(VLOOKUP(D1485,'[2]stock-take'!$G:$K,4,FALSE)), "OUT OF STOCK", VLOOKUP(D1485,'[2]stock-take'!$G:$K,4,FALSE)))</f>
        <v xml:space="preserve"> </v>
      </c>
      <c r="J1485" s="39">
        <f>IF(ISNA(VLOOKUP(D1485,'[2]stock-take'!$G:$K,3,FALSE)), 0, VLOOKUP(D1485,'[2]stock-take'!$G:$K,3,FALSE))</f>
        <v>0</v>
      </c>
      <c r="K1485" s="49" t="str">
        <f>IF(F1485="", " ", IF(ISNA(VLOOKUP(D1485,'[2]stock-take'!$M:$Q,4,FALSE)), "OUT OF STOCK", VLOOKUP(D1485,'[2]stock-take'!$M:$Q,4,FALSE)))</f>
        <v xml:space="preserve"> </v>
      </c>
      <c r="L1485" s="47">
        <f>IF(ISNA(VLOOKUP(D1485,'[2]stock-take'!$M:$Q,3,FALSE)), 0, VLOOKUP(D1485,'[2]stock-take'!$M:$Q,3,FALSE))</f>
        <v>0</v>
      </c>
      <c r="M1485" s="48" t="str">
        <f t="shared" ref="M1485:M1548" si="70">IF(F1485=""," ",IF(H1485&gt;=F1485,"Y",IF(J1485&gt;=F1485,"Y",IF(L1485&gt;=F1485,"Y",IF(SUM(H1485,J1485,L1485)&gt;=F1485,"Y","N")))))</f>
        <v xml:space="preserve"> </v>
      </c>
      <c r="N1485" s="39" t="str">
        <f t="shared" ref="N1485:N1548" si="71">IF(F1485=""," ",IF(H1485&gt;=F1485,"ILOOM",IF(J1485&gt;=F1485,"NO.6",IF(L1485&gt;=F1485,"RMD",IF(SUM(H1485,J1485,L1485)&gt;=F1485,"MULTI","LACK")))))</f>
        <v xml:space="preserve"> </v>
      </c>
    </row>
    <row r="1486" spans="1:14">
      <c r="A1486" s="37">
        <f t="shared" si="69"/>
        <v>1475</v>
      </c>
      <c r="G1486" s="48" t="str">
        <f>IF(F1486=""," ",IF(ISNA(VLOOKUP(D1486,'[2]stock-take'!$A:$E,4,FALSE)), "OUT OF STOCK", VLOOKUP(D1486,'[2]stock-take'!$A:$E,4,FALSE)))</f>
        <v xml:space="preserve"> </v>
      </c>
      <c r="H1486" s="48">
        <f>IF(ISNA(VLOOKUP(D1486,'[2]stock-take'!$A:$E,3,FALSE)), 0, VLOOKUP(D1486,'[2]stock-take'!$A:$E,3,FALSE))</f>
        <v>0</v>
      </c>
      <c r="I1486" s="48" t="str">
        <f>IF(F1486="", " ",IF(ISNA(VLOOKUP(D1486,'[2]stock-take'!$G:$K,4,FALSE)), "OUT OF STOCK", VLOOKUP(D1486,'[2]stock-take'!$G:$K,4,FALSE)))</f>
        <v xml:space="preserve"> </v>
      </c>
      <c r="J1486" s="39">
        <f>IF(ISNA(VLOOKUP(D1486,'[2]stock-take'!$G:$K,3,FALSE)), 0, VLOOKUP(D1486,'[2]stock-take'!$G:$K,3,FALSE))</f>
        <v>0</v>
      </c>
      <c r="K1486" s="49" t="str">
        <f>IF(F1486="", " ", IF(ISNA(VLOOKUP(D1486,'[2]stock-take'!$M:$Q,4,FALSE)), "OUT OF STOCK", VLOOKUP(D1486,'[2]stock-take'!$M:$Q,4,FALSE)))</f>
        <v xml:space="preserve"> </v>
      </c>
      <c r="L1486" s="47">
        <f>IF(ISNA(VLOOKUP(D1486,'[2]stock-take'!$M:$Q,3,FALSE)), 0, VLOOKUP(D1486,'[2]stock-take'!$M:$Q,3,FALSE))</f>
        <v>0</v>
      </c>
      <c r="M1486" s="48" t="str">
        <f t="shared" si="70"/>
        <v xml:space="preserve"> </v>
      </c>
      <c r="N1486" s="39" t="str">
        <f t="shared" si="71"/>
        <v xml:space="preserve"> </v>
      </c>
    </row>
    <row r="1487" spans="1:14">
      <c r="A1487" s="37">
        <f t="shared" si="69"/>
        <v>1476</v>
      </c>
      <c r="G1487" s="48" t="str">
        <f>IF(F1487=""," ",IF(ISNA(VLOOKUP(D1487,'[2]stock-take'!$A:$E,4,FALSE)), "OUT OF STOCK", VLOOKUP(D1487,'[2]stock-take'!$A:$E,4,FALSE)))</f>
        <v xml:space="preserve"> </v>
      </c>
      <c r="H1487" s="48">
        <f>IF(ISNA(VLOOKUP(D1487,'[2]stock-take'!$A:$E,3,FALSE)), 0, VLOOKUP(D1487,'[2]stock-take'!$A:$E,3,FALSE))</f>
        <v>0</v>
      </c>
      <c r="I1487" s="48" t="str">
        <f>IF(F1487="", " ",IF(ISNA(VLOOKUP(D1487,'[2]stock-take'!$G:$K,4,FALSE)), "OUT OF STOCK", VLOOKUP(D1487,'[2]stock-take'!$G:$K,4,FALSE)))</f>
        <v xml:space="preserve"> </v>
      </c>
      <c r="J1487" s="39">
        <f>IF(ISNA(VLOOKUP(D1487,'[2]stock-take'!$G:$K,3,FALSE)), 0, VLOOKUP(D1487,'[2]stock-take'!$G:$K,3,FALSE))</f>
        <v>0</v>
      </c>
      <c r="K1487" s="49" t="str">
        <f>IF(F1487="", " ", IF(ISNA(VLOOKUP(D1487,'[2]stock-take'!$M:$Q,4,FALSE)), "OUT OF STOCK", VLOOKUP(D1487,'[2]stock-take'!$M:$Q,4,FALSE)))</f>
        <v xml:space="preserve"> </v>
      </c>
      <c r="L1487" s="47">
        <f>IF(ISNA(VLOOKUP(D1487,'[2]stock-take'!$M:$Q,3,FALSE)), 0, VLOOKUP(D1487,'[2]stock-take'!$M:$Q,3,FALSE))</f>
        <v>0</v>
      </c>
      <c r="M1487" s="48" t="str">
        <f t="shared" si="70"/>
        <v xml:space="preserve"> </v>
      </c>
      <c r="N1487" s="39" t="str">
        <f t="shared" si="71"/>
        <v xml:space="preserve"> </v>
      </c>
    </row>
    <row r="1488" spans="1:14">
      <c r="A1488" s="37">
        <f t="shared" si="69"/>
        <v>1477</v>
      </c>
      <c r="G1488" s="48" t="str">
        <f>IF(F1488=""," ",IF(ISNA(VLOOKUP(D1488,'[2]stock-take'!$A:$E,4,FALSE)), "OUT OF STOCK", VLOOKUP(D1488,'[2]stock-take'!$A:$E,4,FALSE)))</f>
        <v xml:space="preserve"> </v>
      </c>
      <c r="H1488" s="48">
        <f>IF(ISNA(VLOOKUP(D1488,'[2]stock-take'!$A:$E,3,FALSE)), 0, VLOOKUP(D1488,'[2]stock-take'!$A:$E,3,FALSE))</f>
        <v>0</v>
      </c>
      <c r="I1488" s="48" t="str">
        <f>IF(F1488="", " ",IF(ISNA(VLOOKUP(D1488,'[2]stock-take'!$G:$K,4,FALSE)), "OUT OF STOCK", VLOOKUP(D1488,'[2]stock-take'!$G:$K,4,FALSE)))</f>
        <v xml:space="preserve"> </v>
      </c>
      <c r="J1488" s="39">
        <f>IF(ISNA(VLOOKUP(D1488,'[2]stock-take'!$G:$K,3,FALSE)), 0, VLOOKUP(D1488,'[2]stock-take'!$G:$K,3,FALSE))</f>
        <v>0</v>
      </c>
      <c r="K1488" s="49" t="str">
        <f>IF(F1488="", " ", IF(ISNA(VLOOKUP(D1488,'[2]stock-take'!$M:$Q,4,FALSE)), "OUT OF STOCK", VLOOKUP(D1488,'[2]stock-take'!$M:$Q,4,FALSE)))</f>
        <v xml:space="preserve"> </v>
      </c>
      <c r="L1488" s="47">
        <f>IF(ISNA(VLOOKUP(D1488,'[2]stock-take'!$M:$Q,3,FALSE)), 0, VLOOKUP(D1488,'[2]stock-take'!$M:$Q,3,FALSE))</f>
        <v>0</v>
      </c>
      <c r="M1488" s="48" t="str">
        <f t="shared" si="70"/>
        <v xml:space="preserve"> </v>
      </c>
      <c r="N1488" s="39" t="str">
        <f t="shared" si="71"/>
        <v xml:space="preserve"> </v>
      </c>
    </row>
    <row r="1489" spans="1:14">
      <c r="A1489" s="37">
        <f t="shared" si="69"/>
        <v>1478</v>
      </c>
      <c r="G1489" s="48" t="str">
        <f>IF(F1489=""," ",IF(ISNA(VLOOKUP(D1489,'[2]stock-take'!$A:$E,4,FALSE)), "OUT OF STOCK", VLOOKUP(D1489,'[2]stock-take'!$A:$E,4,FALSE)))</f>
        <v xml:space="preserve"> </v>
      </c>
      <c r="H1489" s="48">
        <f>IF(ISNA(VLOOKUP(D1489,'[2]stock-take'!$A:$E,3,FALSE)), 0, VLOOKUP(D1489,'[2]stock-take'!$A:$E,3,FALSE))</f>
        <v>0</v>
      </c>
      <c r="I1489" s="48" t="str">
        <f>IF(F1489="", " ",IF(ISNA(VLOOKUP(D1489,'[2]stock-take'!$G:$K,4,FALSE)), "OUT OF STOCK", VLOOKUP(D1489,'[2]stock-take'!$G:$K,4,FALSE)))</f>
        <v xml:space="preserve"> </v>
      </c>
      <c r="J1489" s="39">
        <f>IF(ISNA(VLOOKUP(D1489,'[2]stock-take'!$G:$K,3,FALSE)), 0, VLOOKUP(D1489,'[2]stock-take'!$G:$K,3,FALSE))</f>
        <v>0</v>
      </c>
      <c r="K1489" s="49" t="str">
        <f>IF(F1489="", " ", IF(ISNA(VLOOKUP(D1489,'[2]stock-take'!$M:$Q,4,FALSE)), "OUT OF STOCK", VLOOKUP(D1489,'[2]stock-take'!$M:$Q,4,FALSE)))</f>
        <v xml:space="preserve"> </v>
      </c>
      <c r="L1489" s="47">
        <f>IF(ISNA(VLOOKUP(D1489,'[2]stock-take'!$M:$Q,3,FALSE)), 0, VLOOKUP(D1489,'[2]stock-take'!$M:$Q,3,FALSE))</f>
        <v>0</v>
      </c>
      <c r="M1489" s="48" t="str">
        <f t="shared" si="70"/>
        <v xml:space="preserve"> </v>
      </c>
      <c r="N1489" s="39" t="str">
        <f t="shared" si="71"/>
        <v xml:space="preserve"> </v>
      </c>
    </row>
    <row r="1490" spans="1:14">
      <c r="A1490" s="37">
        <f t="shared" si="69"/>
        <v>1479</v>
      </c>
      <c r="G1490" s="48" t="str">
        <f>IF(F1490=""," ",IF(ISNA(VLOOKUP(D1490,'[2]stock-take'!$A:$E,4,FALSE)), "OUT OF STOCK", VLOOKUP(D1490,'[2]stock-take'!$A:$E,4,FALSE)))</f>
        <v xml:space="preserve"> </v>
      </c>
      <c r="H1490" s="48">
        <f>IF(ISNA(VLOOKUP(D1490,'[2]stock-take'!$A:$E,3,FALSE)), 0, VLOOKUP(D1490,'[2]stock-take'!$A:$E,3,FALSE))</f>
        <v>0</v>
      </c>
      <c r="I1490" s="48" t="str">
        <f>IF(F1490="", " ",IF(ISNA(VLOOKUP(D1490,'[2]stock-take'!$G:$K,4,FALSE)), "OUT OF STOCK", VLOOKUP(D1490,'[2]stock-take'!$G:$K,4,FALSE)))</f>
        <v xml:space="preserve"> </v>
      </c>
      <c r="J1490" s="39">
        <f>IF(ISNA(VLOOKUP(D1490,'[2]stock-take'!$G:$K,3,FALSE)), 0, VLOOKUP(D1490,'[2]stock-take'!$G:$K,3,FALSE))</f>
        <v>0</v>
      </c>
      <c r="K1490" s="49" t="str">
        <f>IF(F1490="", " ", IF(ISNA(VLOOKUP(D1490,'[2]stock-take'!$M:$Q,4,FALSE)), "OUT OF STOCK", VLOOKUP(D1490,'[2]stock-take'!$M:$Q,4,FALSE)))</f>
        <v xml:space="preserve"> </v>
      </c>
      <c r="L1490" s="47">
        <f>IF(ISNA(VLOOKUP(D1490,'[2]stock-take'!$M:$Q,3,FALSE)), 0, VLOOKUP(D1490,'[2]stock-take'!$M:$Q,3,FALSE))</f>
        <v>0</v>
      </c>
      <c r="M1490" s="48" t="str">
        <f t="shared" si="70"/>
        <v xml:space="preserve"> </v>
      </c>
      <c r="N1490" s="39" t="str">
        <f t="shared" si="71"/>
        <v xml:space="preserve"> </v>
      </c>
    </row>
    <row r="1491" spans="1:14">
      <c r="A1491" s="37">
        <f t="shared" si="69"/>
        <v>1480</v>
      </c>
      <c r="G1491" s="48" t="str">
        <f>IF(F1491=""," ",IF(ISNA(VLOOKUP(D1491,'[2]stock-take'!$A:$E,4,FALSE)), "OUT OF STOCK", VLOOKUP(D1491,'[2]stock-take'!$A:$E,4,FALSE)))</f>
        <v xml:space="preserve"> </v>
      </c>
      <c r="H1491" s="48">
        <f>IF(ISNA(VLOOKUP(D1491,'[2]stock-take'!$A:$E,3,FALSE)), 0, VLOOKUP(D1491,'[2]stock-take'!$A:$E,3,FALSE))</f>
        <v>0</v>
      </c>
      <c r="I1491" s="48" t="str">
        <f>IF(F1491="", " ",IF(ISNA(VLOOKUP(D1491,'[2]stock-take'!$G:$K,4,FALSE)), "OUT OF STOCK", VLOOKUP(D1491,'[2]stock-take'!$G:$K,4,FALSE)))</f>
        <v xml:space="preserve"> </v>
      </c>
      <c r="J1491" s="39">
        <f>IF(ISNA(VLOOKUP(D1491,'[2]stock-take'!$G:$K,3,FALSE)), 0, VLOOKUP(D1491,'[2]stock-take'!$G:$K,3,FALSE))</f>
        <v>0</v>
      </c>
      <c r="K1491" s="49" t="str">
        <f>IF(F1491="", " ", IF(ISNA(VLOOKUP(D1491,'[2]stock-take'!$M:$Q,4,FALSE)), "OUT OF STOCK", VLOOKUP(D1491,'[2]stock-take'!$M:$Q,4,FALSE)))</f>
        <v xml:space="preserve"> </v>
      </c>
      <c r="L1491" s="47">
        <f>IF(ISNA(VLOOKUP(D1491,'[2]stock-take'!$M:$Q,3,FALSE)), 0, VLOOKUP(D1491,'[2]stock-take'!$M:$Q,3,FALSE))</f>
        <v>0</v>
      </c>
      <c r="M1491" s="48" t="str">
        <f t="shared" si="70"/>
        <v xml:space="preserve"> </v>
      </c>
      <c r="N1491" s="39" t="str">
        <f t="shared" si="71"/>
        <v xml:space="preserve"> </v>
      </c>
    </row>
    <row r="1492" spans="1:14">
      <c r="A1492" s="37">
        <f t="shared" si="69"/>
        <v>1481</v>
      </c>
      <c r="G1492" s="48" t="str">
        <f>IF(F1492=""," ",IF(ISNA(VLOOKUP(D1492,'[2]stock-take'!$A:$E,4,FALSE)), "OUT OF STOCK", VLOOKUP(D1492,'[2]stock-take'!$A:$E,4,FALSE)))</f>
        <v xml:space="preserve"> </v>
      </c>
      <c r="H1492" s="48">
        <f>IF(ISNA(VLOOKUP(D1492,'[2]stock-take'!$A:$E,3,FALSE)), 0, VLOOKUP(D1492,'[2]stock-take'!$A:$E,3,FALSE))</f>
        <v>0</v>
      </c>
      <c r="I1492" s="48" t="str">
        <f>IF(F1492="", " ",IF(ISNA(VLOOKUP(D1492,'[2]stock-take'!$G:$K,4,FALSE)), "OUT OF STOCK", VLOOKUP(D1492,'[2]stock-take'!$G:$K,4,FALSE)))</f>
        <v xml:space="preserve"> </v>
      </c>
      <c r="J1492" s="39">
        <f>IF(ISNA(VLOOKUP(D1492,'[2]stock-take'!$G:$K,3,FALSE)), 0, VLOOKUP(D1492,'[2]stock-take'!$G:$K,3,FALSE))</f>
        <v>0</v>
      </c>
      <c r="K1492" s="49" t="str">
        <f>IF(F1492="", " ", IF(ISNA(VLOOKUP(D1492,'[2]stock-take'!$M:$Q,4,FALSE)), "OUT OF STOCK", VLOOKUP(D1492,'[2]stock-take'!$M:$Q,4,FALSE)))</f>
        <v xml:space="preserve"> </v>
      </c>
      <c r="L1492" s="47">
        <f>IF(ISNA(VLOOKUP(D1492,'[2]stock-take'!$M:$Q,3,FALSE)), 0, VLOOKUP(D1492,'[2]stock-take'!$M:$Q,3,FALSE))</f>
        <v>0</v>
      </c>
      <c r="M1492" s="48" t="str">
        <f t="shared" si="70"/>
        <v xml:space="preserve"> </v>
      </c>
      <c r="N1492" s="39" t="str">
        <f t="shared" si="71"/>
        <v xml:space="preserve"> </v>
      </c>
    </row>
    <row r="1493" spans="1:14">
      <c r="A1493" s="37">
        <f t="shared" si="69"/>
        <v>1482</v>
      </c>
      <c r="G1493" s="48" t="str">
        <f>IF(F1493=""," ",IF(ISNA(VLOOKUP(D1493,'[2]stock-take'!$A:$E,4,FALSE)), "OUT OF STOCK", VLOOKUP(D1493,'[2]stock-take'!$A:$E,4,FALSE)))</f>
        <v xml:space="preserve"> </v>
      </c>
      <c r="H1493" s="48">
        <f>IF(ISNA(VLOOKUP(D1493,'[2]stock-take'!$A:$E,3,FALSE)), 0, VLOOKUP(D1493,'[2]stock-take'!$A:$E,3,FALSE))</f>
        <v>0</v>
      </c>
      <c r="I1493" s="48" t="str">
        <f>IF(F1493="", " ",IF(ISNA(VLOOKUP(D1493,'[2]stock-take'!$G:$K,4,FALSE)), "OUT OF STOCK", VLOOKUP(D1493,'[2]stock-take'!$G:$K,4,FALSE)))</f>
        <v xml:space="preserve"> </v>
      </c>
      <c r="J1493" s="39">
        <f>IF(ISNA(VLOOKUP(D1493,'[2]stock-take'!$G:$K,3,FALSE)), 0, VLOOKUP(D1493,'[2]stock-take'!$G:$K,3,FALSE))</f>
        <v>0</v>
      </c>
      <c r="K1493" s="49" t="str">
        <f>IF(F1493="", " ", IF(ISNA(VLOOKUP(D1493,'[2]stock-take'!$M:$Q,4,FALSE)), "OUT OF STOCK", VLOOKUP(D1493,'[2]stock-take'!$M:$Q,4,FALSE)))</f>
        <v xml:space="preserve"> </v>
      </c>
      <c r="L1493" s="47">
        <f>IF(ISNA(VLOOKUP(D1493,'[2]stock-take'!$M:$Q,3,FALSE)), 0, VLOOKUP(D1493,'[2]stock-take'!$M:$Q,3,FALSE))</f>
        <v>0</v>
      </c>
      <c r="M1493" s="48" t="str">
        <f t="shared" si="70"/>
        <v xml:space="preserve"> </v>
      </c>
      <c r="N1493" s="39" t="str">
        <f t="shared" si="71"/>
        <v xml:space="preserve"> </v>
      </c>
    </row>
    <row r="1494" spans="1:14">
      <c r="A1494" s="37">
        <f t="shared" si="69"/>
        <v>1483</v>
      </c>
      <c r="G1494" s="48" t="str">
        <f>IF(F1494=""," ",IF(ISNA(VLOOKUP(D1494,'[2]stock-take'!$A:$E,4,FALSE)), "OUT OF STOCK", VLOOKUP(D1494,'[2]stock-take'!$A:$E,4,FALSE)))</f>
        <v xml:space="preserve"> </v>
      </c>
      <c r="H1494" s="48">
        <f>IF(ISNA(VLOOKUP(D1494,'[2]stock-take'!$A:$E,3,FALSE)), 0, VLOOKUP(D1494,'[2]stock-take'!$A:$E,3,FALSE))</f>
        <v>0</v>
      </c>
      <c r="I1494" s="48" t="str">
        <f>IF(F1494="", " ",IF(ISNA(VLOOKUP(D1494,'[2]stock-take'!$G:$K,4,FALSE)), "OUT OF STOCK", VLOOKUP(D1494,'[2]stock-take'!$G:$K,4,FALSE)))</f>
        <v xml:space="preserve"> </v>
      </c>
      <c r="J1494" s="39">
        <f>IF(ISNA(VLOOKUP(D1494,'[2]stock-take'!$G:$K,3,FALSE)), 0, VLOOKUP(D1494,'[2]stock-take'!$G:$K,3,FALSE))</f>
        <v>0</v>
      </c>
      <c r="K1494" s="49" t="str">
        <f>IF(F1494="", " ", IF(ISNA(VLOOKUP(D1494,'[2]stock-take'!$M:$Q,4,FALSE)), "OUT OF STOCK", VLOOKUP(D1494,'[2]stock-take'!$M:$Q,4,FALSE)))</f>
        <v xml:space="preserve"> </v>
      </c>
      <c r="L1494" s="47">
        <f>IF(ISNA(VLOOKUP(D1494,'[2]stock-take'!$M:$Q,3,FALSE)), 0, VLOOKUP(D1494,'[2]stock-take'!$M:$Q,3,FALSE))</f>
        <v>0</v>
      </c>
      <c r="M1494" s="48" t="str">
        <f t="shared" si="70"/>
        <v xml:space="preserve"> </v>
      </c>
      <c r="N1494" s="39" t="str">
        <f t="shared" si="71"/>
        <v xml:space="preserve"> </v>
      </c>
    </row>
    <row r="1495" spans="1:14">
      <c r="A1495" s="37">
        <f t="shared" si="69"/>
        <v>1484</v>
      </c>
      <c r="G1495" s="48" t="str">
        <f>IF(F1495=""," ",IF(ISNA(VLOOKUP(D1495,'[2]stock-take'!$A:$E,4,FALSE)), "OUT OF STOCK", VLOOKUP(D1495,'[2]stock-take'!$A:$E,4,FALSE)))</f>
        <v xml:space="preserve"> </v>
      </c>
      <c r="H1495" s="48">
        <f>IF(ISNA(VLOOKUP(D1495,'[2]stock-take'!$A:$E,3,FALSE)), 0, VLOOKUP(D1495,'[2]stock-take'!$A:$E,3,FALSE))</f>
        <v>0</v>
      </c>
      <c r="I1495" s="48" t="str">
        <f>IF(F1495="", " ",IF(ISNA(VLOOKUP(D1495,'[2]stock-take'!$G:$K,4,FALSE)), "OUT OF STOCK", VLOOKUP(D1495,'[2]stock-take'!$G:$K,4,FALSE)))</f>
        <v xml:space="preserve"> </v>
      </c>
      <c r="J1495" s="39">
        <f>IF(ISNA(VLOOKUP(D1495,'[2]stock-take'!$G:$K,3,FALSE)), 0, VLOOKUP(D1495,'[2]stock-take'!$G:$K,3,FALSE))</f>
        <v>0</v>
      </c>
      <c r="K1495" s="49" t="str">
        <f>IF(F1495="", " ", IF(ISNA(VLOOKUP(D1495,'[2]stock-take'!$M:$Q,4,FALSE)), "OUT OF STOCK", VLOOKUP(D1495,'[2]stock-take'!$M:$Q,4,FALSE)))</f>
        <v xml:space="preserve"> </v>
      </c>
      <c r="L1495" s="47">
        <f>IF(ISNA(VLOOKUP(D1495,'[2]stock-take'!$M:$Q,3,FALSE)), 0, VLOOKUP(D1495,'[2]stock-take'!$M:$Q,3,FALSE))</f>
        <v>0</v>
      </c>
      <c r="M1495" s="48" t="str">
        <f t="shared" si="70"/>
        <v xml:space="preserve"> </v>
      </c>
      <c r="N1495" s="39" t="str">
        <f t="shared" si="71"/>
        <v xml:space="preserve"> </v>
      </c>
    </row>
    <row r="1496" spans="1:14">
      <c r="A1496" s="37">
        <f t="shared" si="69"/>
        <v>1485</v>
      </c>
      <c r="G1496" s="48" t="str">
        <f>IF(F1496=""," ",IF(ISNA(VLOOKUP(D1496,'[2]stock-take'!$A:$E,4,FALSE)), "OUT OF STOCK", VLOOKUP(D1496,'[2]stock-take'!$A:$E,4,FALSE)))</f>
        <v xml:space="preserve"> </v>
      </c>
      <c r="H1496" s="48">
        <f>IF(ISNA(VLOOKUP(D1496,'[2]stock-take'!$A:$E,3,FALSE)), 0, VLOOKUP(D1496,'[2]stock-take'!$A:$E,3,FALSE))</f>
        <v>0</v>
      </c>
      <c r="I1496" s="48" t="str">
        <f>IF(F1496="", " ",IF(ISNA(VLOOKUP(D1496,'[2]stock-take'!$G:$K,4,FALSE)), "OUT OF STOCK", VLOOKUP(D1496,'[2]stock-take'!$G:$K,4,FALSE)))</f>
        <v xml:space="preserve"> </v>
      </c>
      <c r="J1496" s="39">
        <f>IF(ISNA(VLOOKUP(D1496,'[2]stock-take'!$G:$K,3,FALSE)), 0, VLOOKUP(D1496,'[2]stock-take'!$G:$K,3,FALSE))</f>
        <v>0</v>
      </c>
      <c r="K1496" s="49" t="str">
        <f>IF(F1496="", " ", IF(ISNA(VLOOKUP(D1496,'[2]stock-take'!$M:$Q,4,FALSE)), "OUT OF STOCK", VLOOKUP(D1496,'[2]stock-take'!$M:$Q,4,FALSE)))</f>
        <v xml:space="preserve"> </v>
      </c>
      <c r="L1496" s="47">
        <f>IF(ISNA(VLOOKUP(D1496,'[2]stock-take'!$M:$Q,3,FALSE)), 0, VLOOKUP(D1496,'[2]stock-take'!$M:$Q,3,FALSE))</f>
        <v>0</v>
      </c>
      <c r="M1496" s="48" t="str">
        <f t="shared" si="70"/>
        <v xml:space="preserve"> </v>
      </c>
      <c r="N1496" s="39" t="str">
        <f t="shared" si="71"/>
        <v xml:space="preserve"> </v>
      </c>
    </row>
    <row r="1497" spans="1:14">
      <c r="A1497" s="37">
        <f t="shared" si="69"/>
        <v>1486</v>
      </c>
      <c r="G1497" s="48" t="str">
        <f>IF(F1497=""," ",IF(ISNA(VLOOKUP(D1497,'[2]stock-take'!$A:$E,4,FALSE)), "OUT OF STOCK", VLOOKUP(D1497,'[2]stock-take'!$A:$E,4,FALSE)))</f>
        <v xml:space="preserve"> </v>
      </c>
      <c r="H1497" s="48">
        <f>IF(ISNA(VLOOKUP(D1497,'[2]stock-take'!$A:$E,3,FALSE)), 0, VLOOKUP(D1497,'[2]stock-take'!$A:$E,3,FALSE))</f>
        <v>0</v>
      </c>
      <c r="I1497" s="48" t="str">
        <f>IF(F1497="", " ",IF(ISNA(VLOOKUP(D1497,'[2]stock-take'!$G:$K,4,FALSE)), "OUT OF STOCK", VLOOKUP(D1497,'[2]stock-take'!$G:$K,4,FALSE)))</f>
        <v xml:space="preserve"> </v>
      </c>
      <c r="J1497" s="39">
        <f>IF(ISNA(VLOOKUP(D1497,'[2]stock-take'!$G:$K,3,FALSE)), 0, VLOOKUP(D1497,'[2]stock-take'!$G:$K,3,FALSE))</f>
        <v>0</v>
      </c>
      <c r="K1497" s="49" t="str">
        <f>IF(F1497="", " ", IF(ISNA(VLOOKUP(D1497,'[2]stock-take'!$M:$Q,4,FALSE)), "OUT OF STOCK", VLOOKUP(D1497,'[2]stock-take'!$M:$Q,4,FALSE)))</f>
        <v xml:space="preserve"> </v>
      </c>
      <c r="L1497" s="47">
        <f>IF(ISNA(VLOOKUP(D1497,'[2]stock-take'!$M:$Q,3,FALSE)), 0, VLOOKUP(D1497,'[2]stock-take'!$M:$Q,3,FALSE))</f>
        <v>0</v>
      </c>
      <c r="M1497" s="48" t="str">
        <f t="shared" si="70"/>
        <v xml:space="preserve"> </v>
      </c>
      <c r="N1497" s="39" t="str">
        <f t="shared" si="71"/>
        <v xml:space="preserve"> </v>
      </c>
    </row>
    <row r="1498" spans="1:14">
      <c r="A1498" s="37">
        <f t="shared" si="69"/>
        <v>1487</v>
      </c>
      <c r="G1498" s="48" t="str">
        <f>IF(F1498=""," ",IF(ISNA(VLOOKUP(D1498,'[2]stock-take'!$A:$E,4,FALSE)), "OUT OF STOCK", VLOOKUP(D1498,'[2]stock-take'!$A:$E,4,FALSE)))</f>
        <v xml:space="preserve"> </v>
      </c>
      <c r="H1498" s="48">
        <f>IF(ISNA(VLOOKUP(D1498,'[2]stock-take'!$A:$E,3,FALSE)), 0, VLOOKUP(D1498,'[2]stock-take'!$A:$E,3,FALSE))</f>
        <v>0</v>
      </c>
      <c r="I1498" s="48" t="str">
        <f>IF(F1498="", " ",IF(ISNA(VLOOKUP(D1498,'[2]stock-take'!$G:$K,4,FALSE)), "OUT OF STOCK", VLOOKUP(D1498,'[2]stock-take'!$G:$K,4,FALSE)))</f>
        <v xml:space="preserve"> </v>
      </c>
      <c r="J1498" s="39">
        <f>IF(ISNA(VLOOKUP(D1498,'[2]stock-take'!$G:$K,3,FALSE)), 0, VLOOKUP(D1498,'[2]stock-take'!$G:$K,3,FALSE))</f>
        <v>0</v>
      </c>
      <c r="K1498" s="49" t="str">
        <f>IF(F1498="", " ", IF(ISNA(VLOOKUP(D1498,'[2]stock-take'!$M:$Q,4,FALSE)), "OUT OF STOCK", VLOOKUP(D1498,'[2]stock-take'!$M:$Q,4,FALSE)))</f>
        <v xml:space="preserve"> </v>
      </c>
      <c r="L1498" s="47">
        <f>IF(ISNA(VLOOKUP(D1498,'[2]stock-take'!$M:$Q,3,FALSE)), 0, VLOOKUP(D1498,'[2]stock-take'!$M:$Q,3,FALSE))</f>
        <v>0</v>
      </c>
      <c r="M1498" s="48" t="str">
        <f t="shared" si="70"/>
        <v xml:space="preserve"> </v>
      </c>
      <c r="N1498" s="39" t="str">
        <f t="shared" si="71"/>
        <v xml:space="preserve"> </v>
      </c>
    </row>
    <row r="1499" spans="1:14">
      <c r="A1499" s="37">
        <f t="shared" si="69"/>
        <v>1488</v>
      </c>
      <c r="G1499" s="48" t="str">
        <f>IF(F1499=""," ",IF(ISNA(VLOOKUP(D1499,'[2]stock-take'!$A:$E,4,FALSE)), "OUT OF STOCK", VLOOKUP(D1499,'[2]stock-take'!$A:$E,4,FALSE)))</f>
        <v xml:space="preserve"> </v>
      </c>
      <c r="H1499" s="48">
        <f>IF(ISNA(VLOOKUP(D1499,'[2]stock-take'!$A:$E,3,FALSE)), 0, VLOOKUP(D1499,'[2]stock-take'!$A:$E,3,FALSE))</f>
        <v>0</v>
      </c>
      <c r="I1499" s="48" t="str">
        <f>IF(F1499="", " ",IF(ISNA(VLOOKUP(D1499,'[2]stock-take'!$G:$K,4,FALSE)), "OUT OF STOCK", VLOOKUP(D1499,'[2]stock-take'!$G:$K,4,FALSE)))</f>
        <v xml:space="preserve"> </v>
      </c>
      <c r="J1499" s="39">
        <f>IF(ISNA(VLOOKUP(D1499,'[2]stock-take'!$G:$K,3,FALSE)), 0, VLOOKUP(D1499,'[2]stock-take'!$G:$K,3,FALSE))</f>
        <v>0</v>
      </c>
      <c r="K1499" s="49" t="str">
        <f>IF(F1499="", " ", IF(ISNA(VLOOKUP(D1499,'[2]stock-take'!$M:$Q,4,FALSE)), "OUT OF STOCK", VLOOKUP(D1499,'[2]stock-take'!$M:$Q,4,FALSE)))</f>
        <v xml:space="preserve"> </v>
      </c>
      <c r="L1499" s="47">
        <f>IF(ISNA(VLOOKUP(D1499,'[2]stock-take'!$M:$Q,3,FALSE)), 0, VLOOKUP(D1499,'[2]stock-take'!$M:$Q,3,FALSE))</f>
        <v>0</v>
      </c>
      <c r="M1499" s="48" t="str">
        <f t="shared" si="70"/>
        <v xml:space="preserve"> </v>
      </c>
      <c r="N1499" s="39" t="str">
        <f t="shared" si="71"/>
        <v xml:space="preserve"> </v>
      </c>
    </row>
    <row r="1500" spans="1:14">
      <c r="A1500" s="37">
        <f t="shared" si="69"/>
        <v>1489</v>
      </c>
      <c r="G1500" s="48" t="str">
        <f>IF(F1500=""," ",IF(ISNA(VLOOKUP(D1500,'[2]stock-take'!$A:$E,4,FALSE)), "OUT OF STOCK", VLOOKUP(D1500,'[2]stock-take'!$A:$E,4,FALSE)))</f>
        <v xml:space="preserve"> </v>
      </c>
      <c r="H1500" s="48">
        <f>IF(ISNA(VLOOKUP(D1500,'[2]stock-take'!$A:$E,3,FALSE)), 0, VLOOKUP(D1500,'[2]stock-take'!$A:$E,3,FALSE))</f>
        <v>0</v>
      </c>
      <c r="I1500" s="48" t="str">
        <f>IF(F1500="", " ",IF(ISNA(VLOOKUP(D1500,'[2]stock-take'!$G:$K,4,FALSE)), "OUT OF STOCK", VLOOKUP(D1500,'[2]stock-take'!$G:$K,4,FALSE)))</f>
        <v xml:space="preserve"> </v>
      </c>
      <c r="J1500" s="39">
        <f>IF(ISNA(VLOOKUP(D1500,'[2]stock-take'!$G:$K,3,FALSE)), 0, VLOOKUP(D1500,'[2]stock-take'!$G:$K,3,FALSE))</f>
        <v>0</v>
      </c>
      <c r="K1500" s="49" t="str">
        <f>IF(F1500="", " ", IF(ISNA(VLOOKUP(D1500,'[2]stock-take'!$M:$Q,4,FALSE)), "OUT OF STOCK", VLOOKUP(D1500,'[2]stock-take'!$M:$Q,4,FALSE)))</f>
        <v xml:space="preserve"> </v>
      </c>
      <c r="L1500" s="47">
        <f>IF(ISNA(VLOOKUP(D1500,'[2]stock-take'!$M:$Q,3,FALSE)), 0, VLOOKUP(D1500,'[2]stock-take'!$M:$Q,3,FALSE))</f>
        <v>0</v>
      </c>
      <c r="M1500" s="48" t="str">
        <f t="shared" si="70"/>
        <v xml:space="preserve"> </v>
      </c>
      <c r="N1500" s="39" t="str">
        <f t="shared" si="71"/>
        <v xml:space="preserve"> </v>
      </c>
    </row>
    <row r="1501" spans="1:14">
      <c r="A1501" s="37">
        <f t="shared" si="69"/>
        <v>1490</v>
      </c>
      <c r="G1501" s="48" t="str">
        <f>IF(F1501=""," ",IF(ISNA(VLOOKUP(D1501,'[2]stock-take'!$A:$E,4,FALSE)), "OUT OF STOCK", VLOOKUP(D1501,'[2]stock-take'!$A:$E,4,FALSE)))</f>
        <v xml:space="preserve"> </v>
      </c>
      <c r="H1501" s="48">
        <f>IF(ISNA(VLOOKUP(D1501,'[2]stock-take'!$A:$E,3,FALSE)), 0, VLOOKUP(D1501,'[2]stock-take'!$A:$E,3,FALSE))</f>
        <v>0</v>
      </c>
      <c r="I1501" s="48" t="str">
        <f>IF(F1501="", " ",IF(ISNA(VLOOKUP(D1501,'[2]stock-take'!$G:$K,4,FALSE)), "OUT OF STOCK", VLOOKUP(D1501,'[2]stock-take'!$G:$K,4,FALSE)))</f>
        <v xml:space="preserve"> </v>
      </c>
      <c r="J1501" s="39">
        <f>IF(ISNA(VLOOKUP(D1501,'[2]stock-take'!$G:$K,3,FALSE)), 0, VLOOKUP(D1501,'[2]stock-take'!$G:$K,3,FALSE))</f>
        <v>0</v>
      </c>
      <c r="K1501" s="49" t="str">
        <f>IF(F1501="", " ", IF(ISNA(VLOOKUP(D1501,'[2]stock-take'!$M:$Q,4,FALSE)), "OUT OF STOCK", VLOOKUP(D1501,'[2]stock-take'!$M:$Q,4,FALSE)))</f>
        <v xml:space="preserve"> </v>
      </c>
      <c r="L1501" s="47">
        <f>IF(ISNA(VLOOKUP(D1501,'[2]stock-take'!$M:$Q,3,FALSE)), 0, VLOOKUP(D1501,'[2]stock-take'!$M:$Q,3,FALSE))</f>
        <v>0</v>
      </c>
      <c r="M1501" s="48" t="str">
        <f t="shared" si="70"/>
        <v xml:space="preserve"> </v>
      </c>
      <c r="N1501" s="39" t="str">
        <f t="shared" si="71"/>
        <v xml:space="preserve"> </v>
      </c>
    </row>
    <row r="1502" spans="1:14">
      <c r="A1502" s="37">
        <f t="shared" si="69"/>
        <v>1491</v>
      </c>
      <c r="G1502" s="48" t="str">
        <f>IF(F1502=""," ",IF(ISNA(VLOOKUP(D1502,'[2]stock-take'!$A:$E,4,FALSE)), "OUT OF STOCK", VLOOKUP(D1502,'[2]stock-take'!$A:$E,4,FALSE)))</f>
        <v xml:space="preserve"> </v>
      </c>
      <c r="H1502" s="48">
        <f>IF(ISNA(VLOOKUP(D1502,'[2]stock-take'!$A:$E,3,FALSE)), 0, VLOOKUP(D1502,'[2]stock-take'!$A:$E,3,FALSE))</f>
        <v>0</v>
      </c>
      <c r="I1502" s="48" t="str">
        <f>IF(F1502="", " ",IF(ISNA(VLOOKUP(D1502,'[2]stock-take'!$G:$K,4,FALSE)), "OUT OF STOCK", VLOOKUP(D1502,'[2]stock-take'!$G:$K,4,FALSE)))</f>
        <v xml:space="preserve"> </v>
      </c>
      <c r="J1502" s="39">
        <f>IF(ISNA(VLOOKUP(D1502,'[2]stock-take'!$G:$K,3,FALSE)), 0, VLOOKUP(D1502,'[2]stock-take'!$G:$K,3,FALSE))</f>
        <v>0</v>
      </c>
      <c r="K1502" s="49" t="str">
        <f>IF(F1502="", " ", IF(ISNA(VLOOKUP(D1502,'[2]stock-take'!$M:$Q,4,FALSE)), "OUT OF STOCK", VLOOKUP(D1502,'[2]stock-take'!$M:$Q,4,FALSE)))</f>
        <v xml:space="preserve"> </v>
      </c>
      <c r="L1502" s="47">
        <f>IF(ISNA(VLOOKUP(D1502,'[2]stock-take'!$M:$Q,3,FALSE)), 0, VLOOKUP(D1502,'[2]stock-take'!$M:$Q,3,FALSE))</f>
        <v>0</v>
      </c>
      <c r="M1502" s="48" t="str">
        <f t="shared" si="70"/>
        <v xml:space="preserve"> </v>
      </c>
      <c r="N1502" s="39" t="str">
        <f t="shared" si="71"/>
        <v xml:space="preserve"> </v>
      </c>
    </row>
    <row r="1503" spans="1:14">
      <c r="A1503" s="37">
        <f t="shared" si="69"/>
        <v>1492</v>
      </c>
      <c r="G1503" s="48" t="str">
        <f>IF(F1503=""," ",IF(ISNA(VLOOKUP(D1503,'[2]stock-take'!$A:$E,4,FALSE)), "OUT OF STOCK", VLOOKUP(D1503,'[2]stock-take'!$A:$E,4,FALSE)))</f>
        <v xml:space="preserve"> </v>
      </c>
      <c r="H1503" s="48">
        <f>IF(ISNA(VLOOKUP(D1503,'[2]stock-take'!$A:$E,3,FALSE)), 0, VLOOKUP(D1503,'[2]stock-take'!$A:$E,3,FALSE))</f>
        <v>0</v>
      </c>
      <c r="I1503" s="48" t="str">
        <f>IF(F1503="", " ",IF(ISNA(VLOOKUP(D1503,'[2]stock-take'!$G:$K,4,FALSE)), "OUT OF STOCK", VLOOKUP(D1503,'[2]stock-take'!$G:$K,4,FALSE)))</f>
        <v xml:space="preserve"> </v>
      </c>
      <c r="J1503" s="39">
        <f>IF(ISNA(VLOOKUP(D1503,'[2]stock-take'!$G:$K,3,FALSE)), 0, VLOOKUP(D1503,'[2]stock-take'!$G:$K,3,FALSE))</f>
        <v>0</v>
      </c>
      <c r="K1503" s="49" t="str">
        <f>IF(F1503="", " ", IF(ISNA(VLOOKUP(D1503,'[2]stock-take'!$M:$Q,4,FALSE)), "OUT OF STOCK", VLOOKUP(D1503,'[2]stock-take'!$M:$Q,4,FALSE)))</f>
        <v xml:space="preserve"> </v>
      </c>
      <c r="L1503" s="47">
        <f>IF(ISNA(VLOOKUP(D1503,'[2]stock-take'!$M:$Q,3,FALSE)), 0, VLOOKUP(D1503,'[2]stock-take'!$M:$Q,3,FALSE))</f>
        <v>0</v>
      </c>
      <c r="M1503" s="48" t="str">
        <f t="shared" si="70"/>
        <v xml:space="preserve"> </v>
      </c>
      <c r="N1503" s="39" t="str">
        <f t="shared" si="71"/>
        <v xml:space="preserve"> </v>
      </c>
    </row>
    <row r="1504" spans="1:14">
      <c r="A1504" s="37">
        <f t="shared" si="69"/>
        <v>1493</v>
      </c>
      <c r="G1504" s="48" t="str">
        <f>IF(F1504=""," ",IF(ISNA(VLOOKUP(D1504,'[2]stock-take'!$A:$E,4,FALSE)), "OUT OF STOCK", VLOOKUP(D1504,'[2]stock-take'!$A:$E,4,FALSE)))</f>
        <v xml:space="preserve"> </v>
      </c>
      <c r="H1504" s="48">
        <f>IF(ISNA(VLOOKUP(D1504,'[2]stock-take'!$A:$E,3,FALSE)), 0, VLOOKUP(D1504,'[2]stock-take'!$A:$E,3,FALSE))</f>
        <v>0</v>
      </c>
      <c r="I1504" s="48" t="str">
        <f>IF(F1504="", " ",IF(ISNA(VLOOKUP(D1504,'[2]stock-take'!$G:$K,4,FALSE)), "OUT OF STOCK", VLOOKUP(D1504,'[2]stock-take'!$G:$K,4,FALSE)))</f>
        <v xml:space="preserve"> </v>
      </c>
      <c r="J1504" s="39">
        <f>IF(ISNA(VLOOKUP(D1504,'[2]stock-take'!$G:$K,3,FALSE)), 0, VLOOKUP(D1504,'[2]stock-take'!$G:$K,3,FALSE))</f>
        <v>0</v>
      </c>
      <c r="K1504" s="49" t="str">
        <f>IF(F1504="", " ", IF(ISNA(VLOOKUP(D1504,'[2]stock-take'!$M:$Q,4,FALSE)), "OUT OF STOCK", VLOOKUP(D1504,'[2]stock-take'!$M:$Q,4,FALSE)))</f>
        <v xml:space="preserve"> </v>
      </c>
      <c r="L1504" s="47">
        <f>IF(ISNA(VLOOKUP(D1504,'[2]stock-take'!$M:$Q,3,FALSE)), 0, VLOOKUP(D1504,'[2]stock-take'!$M:$Q,3,FALSE))</f>
        <v>0</v>
      </c>
      <c r="M1504" s="48" t="str">
        <f t="shared" si="70"/>
        <v xml:space="preserve"> </v>
      </c>
      <c r="N1504" s="39" t="str">
        <f t="shared" si="71"/>
        <v xml:space="preserve"> </v>
      </c>
    </row>
    <row r="1505" spans="1:14">
      <c r="A1505" s="37">
        <f t="shared" si="69"/>
        <v>1494</v>
      </c>
      <c r="G1505" s="48" t="str">
        <f>IF(F1505=""," ",IF(ISNA(VLOOKUP(D1505,'[2]stock-take'!$A:$E,4,FALSE)), "OUT OF STOCK", VLOOKUP(D1505,'[2]stock-take'!$A:$E,4,FALSE)))</f>
        <v xml:space="preserve"> </v>
      </c>
      <c r="H1505" s="48">
        <f>IF(ISNA(VLOOKUP(D1505,'[2]stock-take'!$A:$E,3,FALSE)), 0, VLOOKUP(D1505,'[2]stock-take'!$A:$E,3,FALSE))</f>
        <v>0</v>
      </c>
      <c r="I1505" s="48" t="str">
        <f>IF(F1505="", " ",IF(ISNA(VLOOKUP(D1505,'[2]stock-take'!$G:$K,4,FALSE)), "OUT OF STOCK", VLOOKUP(D1505,'[2]stock-take'!$G:$K,4,FALSE)))</f>
        <v xml:space="preserve"> </v>
      </c>
      <c r="J1505" s="39">
        <f>IF(ISNA(VLOOKUP(D1505,'[2]stock-take'!$G:$K,3,FALSE)), 0, VLOOKUP(D1505,'[2]stock-take'!$G:$K,3,FALSE))</f>
        <v>0</v>
      </c>
      <c r="K1505" s="49" t="str">
        <f>IF(F1505="", " ", IF(ISNA(VLOOKUP(D1505,'[2]stock-take'!$M:$Q,4,FALSE)), "OUT OF STOCK", VLOOKUP(D1505,'[2]stock-take'!$M:$Q,4,FALSE)))</f>
        <v xml:space="preserve"> </v>
      </c>
      <c r="L1505" s="47">
        <f>IF(ISNA(VLOOKUP(D1505,'[2]stock-take'!$M:$Q,3,FALSE)), 0, VLOOKUP(D1505,'[2]stock-take'!$M:$Q,3,FALSE))</f>
        <v>0</v>
      </c>
      <c r="M1505" s="48" t="str">
        <f t="shared" si="70"/>
        <v xml:space="preserve"> </v>
      </c>
      <c r="N1505" s="39" t="str">
        <f t="shared" si="71"/>
        <v xml:space="preserve"> </v>
      </c>
    </row>
    <row r="1506" spans="1:14">
      <c r="A1506" s="37">
        <f t="shared" si="69"/>
        <v>1495</v>
      </c>
      <c r="G1506" s="48" t="str">
        <f>IF(F1506=""," ",IF(ISNA(VLOOKUP(D1506,'[2]stock-take'!$A:$E,4,FALSE)), "OUT OF STOCK", VLOOKUP(D1506,'[2]stock-take'!$A:$E,4,FALSE)))</f>
        <v xml:space="preserve"> </v>
      </c>
      <c r="H1506" s="48">
        <f>IF(ISNA(VLOOKUP(D1506,'[2]stock-take'!$A:$E,3,FALSE)), 0, VLOOKUP(D1506,'[2]stock-take'!$A:$E,3,FALSE))</f>
        <v>0</v>
      </c>
      <c r="I1506" s="48" t="str">
        <f>IF(F1506="", " ",IF(ISNA(VLOOKUP(D1506,'[2]stock-take'!$G:$K,4,FALSE)), "OUT OF STOCK", VLOOKUP(D1506,'[2]stock-take'!$G:$K,4,FALSE)))</f>
        <v xml:space="preserve"> </v>
      </c>
      <c r="J1506" s="39">
        <f>IF(ISNA(VLOOKUP(D1506,'[2]stock-take'!$G:$K,3,FALSE)), 0, VLOOKUP(D1506,'[2]stock-take'!$G:$K,3,FALSE))</f>
        <v>0</v>
      </c>
      <c r="K1506" s="49" t="str">
        <f>IF(F1506="", " ", IF(ISNA(VLOOKUP(D1506,'[2]stock-take'!$M:$Q,4,FALSE)), "OUT OF STOCK", VLOOKUP(D1506,'[2]stock-take'!$M:$Q,4,FALSE)))</f>
        <v xml:space="preserve"> </v>
      </c>
      <c r="L1506" s="47">
        <f>IF(ISNA(VLOOKUP(D1506,'[2]stock-take'!$M:$Q,3,FALSE)), 0, VLOOKUP(D1506,'[2]stock-take'!$M:$Q,3,FALSE))</f>
        <v>0</v>
      </c>
      <c r="M1506" s="48" t="str">
        <f t="shared" si="70"/>
        <v xml:space="preserve"> </v>
      </c>
      <c r="N1506" s="39" t="str">
        <f t="shared" si="71"/>
        <v xml:space="preserve"> </v>
      </c>
    </row>
    <row r="1507" spans="1:14">
      <c r="A1507" s="37">
        <f t="shared" si="69"/>
        <v>1496</v>
      </c>
      <c r="G1507" s="48" t="str">
        <f>IF(F1507=""," ",IF(ISNA(VLOOKUP(D1507,'[2]stock-take'!$A:$E,4,FALSE)), "OUT OF STOCK", VLOOKUP(D1507,'[2]stock-take'!$A:$E,4,FALSE)))</f>
        <v xml:space="preserve"> </v>
      </c>
      <c r="H1507" s="48">
        <f>IF(ISNA(VLOOKUP(D1507,'[2]stock-take'!$A:$E,3,FALSE)), 0, VLOOKUP(D1507,'[2]stock-take'!$A:$E,3,FALSE))</f>
        <v>0</v>
      </c>
      <c r="I1507" s="48" t="str">
        <f>IF(F1507="", " ",IF(ISNA(VLOOKUP(D1507,'[2]stock-take'!$G:$K,4,FALSE)), "OUT OF STOCK", VLOOKUP(D1507,'[2]stock-take'!$G:$K,4,FALSE)))</f>
        <v xml:space="preserve"> </v>
      </c>
      <c r="J1507" s="39">
        <f>IF(ISNA(VLOOKUP(D1507,'[2]stock-take'!$G:$K,3,FALSE)), 0, VLOOKUP(D1507,'[2]stock-take'!$G:$K,3,FALSE))</f>
        <v>0</v>
      </c>
      <c r="K1507" s="49" t="str">
        <f>IF(F1507="", " ", IF(ISNA(VLOOKUP(D1507,'[2]stock-take'!$M:$Q,4,FALSE)), "OUT OF STOCK", VLOOKUP(D1507,'[2]stock-take'!$M:$Q,4,FALSE)))</f>
        <v xml:space="preserve"> </v>
      </c>
      <c r="L1507" s="47">
        <f>IF(ISNA(VLOOKUP(D1507,'[2]stock-take'!$M:$Q,3,FALSE)), 0, VLOOKUP(D1507,'[2]stock-take'!$M:$Q,3,FALSE))</f>
        <v>0</v>
      </c>
      <c r="M1507" s="48" t="str">
        <f t="shared" si="70"/>
        <v xml:space="preserve"> </v>
      </c>
      <c r="N1507" s="39" t="str">
        <f t="shared" si="71"/>
        <v xml:space="preserve"> </v>
      </c>
    </row>
    <row r="1508" spans="1:14">
      <c r="A1508" s="37">
        <f t="shared" si="69"/>
        <v>1497</v>
      </c>
      <c r="G1508" s="48" t="str">
        <f>IF(F1508=""," ",IF(ISNA(VLOOKUP(D1508,'[2]stock-take'!$A:$E,4,FALSE)), "OUT OF STOCK", VLOOKUP(D1508,'[2]stock-take'!$A:$E,4,FALSE)))</f>
        <v xml:space="preserve"> </v>
      </c>
      <c r="H1508" s="48">
        <f>IF(ISNA(VLOOKUP(D1508,'[2]stock-take'!$A:$E,3,FALSE)), 0, VLOOKUP(D1508,'[2]stock-take'!$A:$E,3,FALSE))</f>
        <v>0</v>
      </c>
      <c r="I1508" s="48" t="str">
        <f>IF(F1508="", " ",IF(ISNA(VLOOKUP(D1508,'[2]stock-take'!$G:$K,4,FALSE)), "OUT OF STOCK", VLOOKUP(D1508,'[2]stock-take'!$G:$K,4,FALSE)))</f>
        <v xml:space="preserve"> </v>
      </c>
      <c r="J1508" s="39">
        <f>IF(ISNA(VLOOKUP(D1508,'[2]stock-take'!$G:$K,3,FALSE)), 0, VLOOKUP(D1508,'[2]stock-take'!$G:$K,3,FALSE))</f>
        <v>0</v>
      </c>
      <c r="K1508" s="49" t="str">
        <f>IF(F1508="", " ", IF(ISNA(VLOOKUP(D1508,'[2]stock-take'!$M:$Q,4,FALSE)), "OUT OF STOCK", VLOOKUP(D1508,'[2]stock-take'!$M:$Q,4,FALSE)))</f>
        <v xml:space="preserve"> </v>
      </c>
      <c r="L1508" s="47">
        <f>IF(ISNA(VLOOKUP(D1508,'[2]stock-take'!$M:$Q,3,FALSE)), 0, VLOOKUP(D1508,'[2]stock-take'!$M:$Q,3,FALSE))</f>
        <v>0</v>
      </c>
      <c r="M1508" s="48" t="str">
        <f t="shared" si="70"/>
        <v xml:space="preserve"> </v>
      </c>
      <c r="N1508" s="39" t="str">
        <f t="shared" si="71"/>
        <v xml:space="preserve"> </v>
      </c>
    </row>
    <row r="1509" spans="1:14">
      <c r="A1509" s="37">
        <f t="shared" si="69"/>
        <v>1498</v>
      </c>
      <c r="G1509" s="48" t="str">
        <f>IF(F1509=""," ",IF(ISNA(VLOOKUP(D1509,'[2]stock-take'!$A:$E,4,FALSE)), "OUT OF STOCK", VLOOKUP(D1509,'[2]stock-take'!$A:$E,4,FALSE)))</f>
        <v xml:space="preserve"> </v>
      </c>
      <c r="H1509" s="48">
        <f>IF(ISNA(VLOOKUP(D1509,'[2]stock-take'!$A:$E,3,FALSE)), 0, VLOOKUP(D1509,'[2]stock-take'!$A:$E,3,FALSE))</f>
        <v>0</v>
      </c>
      <c r="I1509" s="48" t="str">
        <f>IF(F1509="", " ",IF(ISNA(VLOOKUP(D1509,'[2]stock-take'!$G:$K,4,FALSE)), "OUT OF STOCK", VLOOKUP(D1509,'[2]stock-take'!$G:$K,4,FALSE)))</f>
        <v xml:space="preserve"> </v>
      </c>
      <c r="J1509" s="39">
        <f>IF(ISNA(VLOOKUP(D1509,'[2]stock-take'!$G:$K,3,FALSE)), 0, VLOOKUP(D1509,'[2]stock-take'!$G:$K,3,FALSE))</f>
        <v>0</v>
      </c>
      <c r="K1509" s="49" t="str">
        <f>IF(F1509="", " ", IF(ISNA(VLOOKUP(D1509,'[2]stock-take'!$M:$Q,4,FALSE)), "OUT OF STOCK", VLOOKUP(D1509,'[2]stock-take'!$M:$Q,4,FALSE)))</f>
        <v xml:space="preserve"> </v>
      </c>
      <c r="L1509" s="47">
        <f>IF(ISNA(VLOOKUP(D1509,'[2]stock-take'!$M:$Q,3,FALSE)), 0, VLOOKUP(D1509,'[2]stock-take'!$M:$Q,3,FALSE))</f>
        <v>0</v>
      </c>
      <c r="M1509" s="48" t="str">
        <f t="shared" si="70"/>
        <v xml:space="preserve"> </v>
      </c>
      <c r="N1509" s="39" t="str">
        <f t="shared" si="71"/>
        <v xml:space="preserve"> </v>
      </c>
    </row>
    <row r="1510" spans="1:14">
      <c r="A1510" s="37">
        <f t="shared" si="69"/>
        <v>1499</v>
      </c>
      <c r="G1510" s="48" t="str">
        <f>IF(F1510=""," ",IF(ISNA(VLOOKUP(D1510,'[2]stock-take'!$A:$E,4,FALSE)), "OUT OF STOCK", VLOOKUP(D1510,'[2]stock-take'!$A:$E,4,FALSE)))</f>
        <v xml:space="preserve"> </v>
      </c>
      <c r="H1510" s="48">
        <f>IF(ISNA(VLOOKUP(D1510,'[2]stock-take'!$A:$E,3,FALSE)), 0, VLOOKUP(D1510,'[2]stock-take'!$A:$E,3,FALSE))</f>
        <v>0</v>
      </c>
      <c r="I1510" s="48" t="str">
        <f>IF(F1510="", " ",IF(ISNA(VLOOKUP(D1510,'[2]stock-take'!$G:$K,4,FALSE)), "OUT OF STOCK", VLOOKUP(D1510,'[2]stock-take'!$G:$K,4,FALSE)))</f>
        <v xml:space="preserve"> </v>
      </c>
      <c r="J1510" s="39">
        <f>IF(ISNA(VLOOKUP(D1510,'[2]stock-take'!$G:$K,3,FALSE)), 0, VLOOKUP(D1510,'[2]stock-take'!$G:$K,3,FALSE))</f>
        <v>0</v>
      </c>
      <c r="K1510" s="49" t="str">
        <f>IF(F1510="", " ", IF(ISNA(VLOOKUP(D1510,'[2]stock-take'!$M:$Q,4,FALSE)), "OUT OF STOCK", VLOOKUP(D1510,'[2]stock-take'!$M:$Q,4,FALSE)))</f>
        <v xml:space="preserve"> </v>
      </c>
      <c r="L1510" s="47">
        <f>IF(ISNA(VLOOKUP(D1510,'[2]stock-take'!$M:$Q,3,FALSE)), 0, VLOOKUP(D1510,'[2]stock-take'!$M:$Q,3,FALSE))</f>
        <v>0</v>
      </c>
      <c r="M1510" s="48" t="str">
        <f t="shared" si="70"/>
        <v xml:space="preserve"> </v>
      </c>
      <c r="N1510" s="39" t="str">
        <f t="shared" si="71"/>
        <v xml:space="preserve"> </v>
      </c>
    </row>
    <row r="1511" spans="1:14">
      <c r="A1511" s="37">
        <f t="shared" si="69"/>
        <v>1500</v>
      </c>
      <c r="G1511" s="48" t="str">
        <f>IF(F1511=""," ",IF(ISNA(VLOOKUP(D1511,'[2]stock-take'!$A:$E,4,FALSE)), "OUT OF STOCK", VLOOKUP(D1511,'[2]stock-take'!$A:$E,4,FALSE)))</f>
        <v xml:space="preserve"> </v>
      </c>
      <c r="H1511" s="48">
        <f>IF(ISNA(VLOOKUP(D1511,'[2]stock-take'!$A:$E,3,FALSE)), 0, VLOOKUP(D1511,'[2]stock-take'!$A:$E,3,FALSE))</f>
        <v>0</v>
      </c>
      <c r="I1511" s="48" t="str">
        <f>IF(F1511="", " ",IF(ISNA(VLOOKUP(D1511,'[2]stock-take'!$G:$K,4,FALSE)), "OUT OF STOCK", VLOOKUP(D1511,'[2]stock-take'!$G:$K,4,FALSE)))</f>
        <v xml:space="preserve"> </v>
      </c>
      <c r="J1511" s="39">
        <f>IF(ISNA(VLOOKUP(D1511,'[2]stock-take'!$G:$K,3,FALSE)), 0, VLOOKUP(D1511,'[2]stock-take'!$G:$K,3,FALSE))</f>
        <v>0</v>
      </c>
      <c r="K1511" s="49" t="str">
        <f>IF(F1511="", " ", IF(ISNA(VLOOKUP(D1511,'[2]stock-take'!$M:$Q,4,FALSE)), "OUT OF STOCK", VLOOKUP(D1511,'[2]stock-take'!$M:$Q,4,FALSE)))</f>
        <v xml:space="preserve"> </v>
      </c>
      <c r="L1511" s="47">
        <f>IF(ISNA(VLOOKUP(D1511,'[2]stock-take'!$M:$Q,3,FALSE)), 0, VLOOKUP(D1511,'[2]stock-take'!$M:$Q,3,FALSE))</f>
        <v>0</v>
      </c>
      <c r="M1511" s="48" t="str">
        <f t="shared" si="70"/>
        <v xml:space="preserve"> </v>
      </c>
      <c r="N1511" s="39" t="str">
        <f t="shared" si="71"/>
        <v xml:space="preserve"> </v>
      </c>
    </row>
    <row r="1512" spans="1:14">
      <c r="A1512" s="37">
        <f t="shared" si="69"/>
        <v>1501</v>
      </c>
      <c r="G1512" s="48" t="str">
        <f>IF(F1512=""," ",IF(ISNA(VLOOKUP(D1512,'[2]stock-take'!$A:$E,4,FALSE)), "OUT OF STOCK", VLOOKUP(D1512,'[2]stock-take'!$A:$E,4,FALSE)))</f>
        <v xml:space="preserve"> </v>
      </c>
      <c r="H1512" s="48">
        <f>IF(ISNA(VLOOKUP(D1512,'[2]stock-take'!$A:$E,3,FALSE)), 0, VLOOKUP(D1512,'[2]stock-take'!$A:$E,3,FALSE))</f>
        <v>0</v>
      </c>
      <c r="I1512" s="48" t="str">
        <f>IF(F1512="", " ",IF(ISNA(VLOOKUP(D1512,'[2]stock-take'!$G:$K,4,FALSE)), "OUT OF STOCK", VLOOKUP(D1512,'[2]stock-take'!$G:$K,4,FALSE)))</f>
        <v xml:space="preserve"> </v>
      </c>
      <c r="J1512" s="39">
        <f>IF(ISNA(VLOOKUP(D1512,'[2]stock-take'!$G:$K,3,FALSE)), 0, VLOOKUP(D1512,'[2]stock-take'!$G:$K,3,FALSE))</f>
        <v>0</v>
      </c>
      <c r="K1512" s="49" t="str">
        <f>IF(F1512="", " ", IF(ISNA(VLOOKUP(D1512,'[2]stock-take'!$M:$Q,4,FALSE)), "OUT OF STOCK", VLOOKUP(D1512,'[2]stock-take'!$M:$Q,4,FALSE)))</f>
        <v xml:space="preserve"> </v>
      </c>
      <c r="L1512" s="47">
        <f>IF(ISNA(VLOOKUP(D1512,'[2]stock-take'!$M:$Q,3,FALSE)), 0, VLOOKUP(D1512,'[2]stock-take'!$M:$Q,3,FALSE))</f>
        <v>0</v>
      </c>
      <c r="M1512" s="48" t="str">
        <f t="shared" si="70"/>
        <v xml:space="preserve"> </v>
      </c>
      <c r="N1512" s="39" t="str">
        <f t="shared" si="71"/>
        <v xml:space="preserve"> </v>
      </c>
    </row>
    <row r="1513" spans="1:14">
      <c r="A1513" s="37">
        <f t="shared" si="69"/>
        <v>1502</v>
      </c>
      <c r="G1513" s="48" t="str">
        <f>IF(F1513=""," ",IF(ISNA(VLOOKUP(D1513,'[2]stock-take'!$A:$E,4,FALSE)), "OUT OF STOCK", VLOOKUP(D1513,'[2]stock-take'!$A:$E,4,FALSE)))</f>
        <v xml:space="preserve"> </v>
      </c>
      <c r="H1513" s="48">
        <f>IF(ISNA(VLOOKUP(D1513,'[2]stock-take'!$A:$E,3,FALSE)), 0, VLOOKUP(D1513,'[2]stock-take'!$A:$E,3,FALSE))</f>
        <v>0</v>
      </c>
      <c r="I1513" s="48" t="str">
        <f>IF(F1513="", " ",IF(ISNA(VLOOKUP(D1513,'[2]stock-take'!$G:$K,4,FALSE)), "OUT OF STOCK", VLOOKUP(D1513,'[2]stock-take'!$G:$K,4,FALSE)))</f>
        <v xml:space="preserve"> </v>
      </c>
      <c r="J1513" s="39">
        <f>IF(ISNA(VLOOKUP(D1513,'[2]stock-take'!$G:$K,3,FALSE)), 0, VLOOKUP(D1513,'[2]stock-take'!$G:$K,3,FALSE))</f>
        <v>0</v>
      </c>
      <c r="K1513" s="49" t="str">
        <f>IF(F1513="", " ", IF(ISNA(VLOOKUP(D1513,'[2]stock-take'!$M:$Q,4,FALSE)), "OUT OF STOCK", VLOOKUP(D1513,'[2]stock-take'!$M:$Q,4,FALSE)))</f>
        <v xml:space="preserve"> </v>
      </c>
      <c r="L1513" s="47">
        <f>IF(ISNA(VLOOKUP(D1513,'[2]stock-take'!$M:$Q,3,FALSE)), 0, VLOOKUP(D1513,'[2]stock-take'!$M:$Q,3,FALSE))</f>
        <v>0</v>
      </c>
      <c r="M1513" s="48" t="str">
        <f t="shared" si="70"/>
        <v xml:space="preserve"> </v>
      </c>
      <c r="N1513" s="39" t="str">
        <f t="shared" si="71"/>
        <v xml:space="preserve"> </v>
      </c>
    </row>
    <row r="1514" spans="1:14">
      <c r="A1514" s="37">
        <f t="shared" si="69"/>
        <v>1503</v>
      </c>
      <c r="G1514" s="48" t="str">
        <f>IF(F1514=""," ",IF(ISNA(VLOOKUP(D1514,'[2]stock-take'!$A:$E,4,FALSE)), "OUT OF STOCK", VLOOKUP(D1514,'[2]stock-take'!$A:$E,4,FALSE)))</f>
        <v xml:space="preserve"> </v>
      </c>
      <c r="H1514" s="48">
        <f>IF(ISNA(VLOOKUP(D1514,'[2]stock-take'!$A:$E,3,FALSE)), 0, VLOOKUP(D1514,'[2]stock-take'!$A:$E,3,FALSE))</f>
        <v>0</v>
      </c>
      <c r="I1514" s="48" t="str">
        <f>IF(F1514="", " ",IF(ISNA(VLOOKUP(D1514,'[2]stock-take'!$G:$K,4,FALSE)), "OUT OF STOCK", VLOOKUP(D1514,'[2]stock-take'!$G:$K,4,FALSE)))</f>
        <v xml:space="preserve"> </v>
      </c>
      <c r="J1514" s="39">
        <f>IF(ISNA(VLOOKUP(D1514,'[2]stock-take'!$G:$K,3,FALSE)), 0, VLOOKUP(D1514,'[2]stock-take'!$G:$K,3,FALSE))</f>
        <v>0</v>
      </c>
      <c r="K1514" s="49" t="str">
        <f>IF(F1514="", " ", IF(ISNA(VLOOKUP(D1514,'[2]stock-take'!$M:$Q,4,FALSE)), "OUT OF STOCK", VLOOKUP(D1514,'[2]stock-take'!$M:$Q,4,FALSE)))</f>
        <v xml:space="preserve"> </v>
      </c>
      <c r="L1514" s="47">
        <f>IF(ISNA(VLOOKUP(D1514,'[2]stock-take'!$M:$Q,3,FALSE)), 0, VLOOKUP(D1514,'[2]stock-take'!$M:$Q,3,FALSE))</f>
        <v>0</v>
      </c>
      <c r="M1514" s="48" t="str">
        <f t="shared" si="70"/>
        <v xml:space="preserve"> </v>
      </c>
      <c r="N1514" s="39" t="str">
        <f t="shared" si="71"/>
        <v xml:space="preserve"> </v>
      </c>
    </row>
    <row r="1515" spans="1:14">
      <c r="A1515" s="37">
        <f t="shared" si="69"/>
        <v>1504</v>
      </c>
      <c r="G1515" s="48" t="str">
        <f>IF(F1515=""," ",IF(ISNA(VLOOKUP(D1515,'[2]stock-take'!$A:$E,4,FALSE)), "OUT OF STOCK", VLOOKUP(D1515,'[2]stock-take'!$A:$E,4,FALSE)))</f>
        <v xml:space="preserve"> </v>
      </c>
      <c r="H1515" s="48">
        <f>IF(ISNA(VLOOKUP(D1515,'[2]stock-take'!$A:$E,3,FALSE)), 0, VLOOKUP(D1515,'[2]stock-take'!$A:$E,3,FALSE))</f>
        <v>0</v>
      </c>
      <c r="I1515" s="48" t="str">
        <f>IF(F1515="", " ",IF(ISNA(VLOOKUP(D1515,'[2]stock-take'!$G:$K,4,FALSE)), "OUT OF STOCK", VLOOKUP(D1515,'[2]stock-take'!$G:$K,4,FALSE)))</f>
        <v xml:space="preserve"> </v>
      </c>
      <c r="J1515" s="39">
        <f>IF(ISNA(VLOOKUP(D1515,'[2]stock-take'!$G:$K,3,FALSE)), 0, VLOOKUP(D1515,'[2]stock-take'!$G:$K,3,FALSE))</f>
        <v>0</v>
      </c>
      <c r="K1515" s="49" t="str">
        <f>IF(F1515="", " ", IF(ISNA(VLOOKUP(D1515,'[2]stock-take'!$M:$Q,4,FALSE)), "OUT OF STOCK", VLOOKUP(D1515,'[2]stock-take'!$M:$Q,4,FALSE)))</f>
        <v xml:space="preserve"> </v>
      </c>
      <c r="L1515" s="47">
        <f>IF(ISNA(VLOOKUP(D1515,'[2]stock-take'!$M:$Q,3,FALSE)), 0, VLOOKUP(D1515,'[2]stock-take'!$M:$Q,3,FALSE))</f>
        <v>0</v>
      </c>
      <c r="M1515" s="48" t="str">
        <f t="shared" si="70"/>
        <v xml:space="preserve"> </v>
      </c>
      <c r="N1515" s="39" t="str">
        <f t="shared" si="71"/>
        <v xml:space="preserve"> </v>
      </c>
    </row>
    <row r="1516" spans="1:14">
      <c r="A1516" s="37">
        <f t="shared" si="69"/>
        <v>1505</v>
      </c>
      <c r="G1516" s="48" t="str">
        <f>IF(F1516=""," ",IF(ISNA(VLOOKUP(D1516,'[2]stock-take'!$A:$E,4,FALSE)), "OUT OF STOCK", VLOOKUP(D1516,'[2]stock-take'!$A:$E,4,FALSE)))</f>
        <v xml:space="preserve"> </v>
      </c>
      <c r="H1516" s="48">
        <f>IF(ISNA(VLOOKUP(D1516,'[2]stock-take'!$A:$E,3,FALSE)), 0, VLOOKUP(D1516,'[2]stock-take'!$A:$E,3,FALSE))</f>
        <v>0</v>
      </c>
      <c r="I1516" s="48" t="str">
        <f>IF(F1516="", " ",IF(ISNA(VLOOKUP(D1516,'[2]stock-take'!$G:$K,4,FALSE)), "OUT OF STOCK", VLOOKUP(D1516,'[2]stock-take'!$G:$K,4,FALSE)))</f>
        <v xml:space="preserve"> </v>
      </c>
      <c r="J1516" s="39">
        <f>IF(ISNA(VLOOKUP(D1516,'[2]stock-take'!$G:$K,3,FALSE)), 0, VLOOKUP(D1516,'[2]stock-take'!$G:$K,3,FALSE))</f>
        <v>0</v>
      </c>
      <c r="K1516" s="49" t="str">
        <f>IF(F1516="", " ", IF(ISNA(VLOOKUP(D1516,'[2]stock-take'!$M:$Q,4,FALSE)), "OUT OF STOCK", VLOOKUP(D1516,'[2]stock-take'!$M:$Q,4,FALSE)))</f>
        <v xml:space="preserve"> </v>
      </c>
      <c r="L1516" s="47">
        <f>IF(ISNA(VLOOKUP(D1516,'[2]stock-take'!$M:$Q,3,FALSE)), 0, VLOOKUP(D1516,'[2]stock-take'!$M:$Q,3,FALSE))</f>
        <v>0</v>
      </c>
      <c r="M1516" s="48" t="str">
        <f t="shared" si="70"/>
        <v xml:space="preserve"> </v>
      </c>
      <c r="N1516" s="39" t="str">
        <f t="shared" si="71"/>
        <v xml:space="preserve"> </v>
      </c>
    </row>
    <row r="1517" spans="1:14">
      <c r="A1517" s="37">
        <f t="shared" si="69"/>
        <v>1506</v>
      </c>
      <c r="G1517" s="48" t="str">
        <f>IF(F1517=""," ",IF(ISNA(VLOOKUP(D1517,'[2]stock-take'!$A:$E,4,FALSE)), "OUT OF STOCK", VLOOKUP(D1517,'[2]stock-take'!$A:$E,4,FALSE)))</f>
        <v xml:space="preserve"> </v>
      </c>
      <c r="H1517" s="48">
        <f>IF(ISNA(VLOOKUP(D1517,'[2]stock-take'!$A:$E,3,FALSE)), 0, VLOOKUP(D1517,'[2]stock-take'!$A:$E,3,FALSE))</f>
        <v>0</v>
      </c>
      <c r="I1517" s="48" t="str">
        <f>IF(F1517="", " ",IF(ISNA(VLOOKUP(D1517,'[2]stock-take'!$G:$K,4,FALSE)), "OUT OF STOCK", VLOOKUP(D1517,'[2]stock-take'!$G:$K,4,FALSE)))</f>
        <v xml:space="preserve"> </v>
      </c>
      <c r="J1517" s="39">
        <f>IF(ISNA(VLOOKUP(D1517,'[2]stock-take'!$G:$K,3,FALSE)), 0, VLOOKUP(D1517,'[2]stock-take'!$G:$K,3,FALSE))</f>
        <v>0</v>
      </c>
      <c r="K1517" s="49" t="str">
        <f>IF(F1517="", " ", IF(ISNA(VLOOKUP(D1517,'[2]stock-take'!$M:$Q,4,FALSE)), "OUT OF STOCK", VLOOKUP(D1517,'[2]stock-take'!$M:$Q,4,FALSE)))</f>
        <v xml:space="preserve"> </v>
      </c>
      <c r="L1517" s="47">
        <f>IF(ISNA(VLOOKUP(D1517,'[2]stock-take'!$M:$Q,3,FALSE)), 0, VLOOKUP(D1517,'[2]stock-take'!$M:$Q,3,FALSE))</f>
        <v>0</v>
      </c>
      <c r="M1517" s="48" t="str">
        <f t="shared" si="70"/>
        <v xml:space="preserve"> </v>
      </c>
      <c r="N1517" s="39" t="str">
        <f t="shared" si="71"/>
        <v xml:space="preserve"> </v>
      </c>
    </row>
    <row r="1518" spans="1:14">
      <c r="A1518" s="37">
        <f t="shared" si="69"/>
        <v>1507</v>
      </c>
      <c r="G1518" s="48" t="str">
        <f>IF(F1518=""," ",IF(ISNA(VLOOKUP(D1518,'[2]stock-take'!$A:$E,4,FALSE)), "OUT OF STOCK", VLOOKUP(D1518,'[2]stock-take'!$A:$E,4,FALSE)))</f>
        <v xml:space="preserve"> </v>
      </c>
      <c r="H1518" s="48">
        <f>IF(ISNA(VLOOKUP(D1518,'[2]stock-take'!$A:$E,3,FALSE)), 0, VLOOKUP(D1518,'[2]stock-take'!$A:$E,3,FALSE))</f>
        <v>0</v>
      </c>
      <c r="I1518" s="48" t="str">
        <f>IF(F1518="", " ",IF(ISNA(VLOOKUP(D1518,'[2]stock-take'!$G:$K,4,FALSE)), "OUT OF STOCK", VLOOKUP(D1518,'[2]stock-take'!$G:$K,4,FALSE)))</f>
        <v xml:space="preserve"> </v>
      </c>
      <c r="J1518" s="39">
        <f>IF(ISNA(VLOOKUP(D1518,'[2]stock-take'!$G:$K,3,FALSE)), 0, VLOOKUP(D1518,'[2]stock-take'!$G:$K,3,FALSE))</f>
        <v>0</v>
      </c>
      <c r="K1518" s="49" t="str">
        <f>IF(F1518="", " ", IF(ISNA(VLOOKUP(D1518,'[2]stock-take'!$M:$Q,4,FALSE)), "OUT OF STOCK", VLOOKUP(D1518,'[2]stock-take'!$M:$Q,4,FALSE)))</f>
        <v xml:space="preserve"> </v>
      </c>
      <c r="L1518" s="47">
        <f>IF(ISNA(VLOOKUP(D1518,'[2]stock-take'!$M:$Q,3,FALSE)), 0, VLOOKUP(D1518,'[2]stock-take'!$M:$Q,3,FALSE))</f>
        <v>0</v>
      </c>
      <c r="M1518" s="48" t="str">
        <f t="shared" si="70"/>
        <v xml:space="preserve"> </v>
      </c>
      <c r="N1518" s="39" t="str">
        <f t="shared" si="71"/>
        <v xml:space="preserve"> </v>
      </c>
    </row>
    <row r="1519" spans="1:14">
      <c r="A1519" s="37">
        <f t="shared" si="69"/>
        <v>1508</v>
      </c>
      <c r="G1519" s="48" t="str">
        <f>IF(F1519=""," ",IF(ISNA(VLOOKUP(D1519,'[2]stock-take'!$A:$E,4,FALSE)), "OUT OF STOCK", VLOOKUP(D1519,'[2]stock-take'!$A:$E,4,FALSE)))</f>
        <v xml:space="preserve"> </v>
      </c>
      <c r="H1519" s="48">
        <f>IF(ISNA(VLOOKUP(D1519,'[2]stock-take'!$A:$E,3,FALSE)), 0, VLOOKUP(D1519,'[2]stock-take'!$A:$E,3,FALSE))</f>
        <v>0</v>
      </c>
      <c r="I1519" s="48" t="str">
        <f>IF(F1519="", " ",IF(ISNA(VLOOKUP(D1519,'[2]stock-take'!$G:$K,4,FALSE)), "OUT OF STOCK", VLOOKUP(D1519,'[2]stock-take'!$G:$K,4,FALSE)))</f>
        <v xml:space="preserve"> </v>
      </c>
      <c r="J1519" s="39">
        <f>IF(ISNA(VLOOKUP(D1519,'[2]stock-take'!$G:$K,3,FALSE)), 0, VLOOKUP(D1519,'[2]stock-take'!$G:$K,3,FALSE))</f>
        <v>0</v>
      </c>
      <c r="K1519" s="49" t="str">
        <f>IF(F1519="", " ", IF(ISNA(VLOOKUP(D1519,'[2]stock-take'!$M:$Q,4,FALSE)), "OUT OF STOCK", VLOOKUP(D1519,'[2]stock-take'!$M:$Q,4,FALSE)))</f>
        <v xml:space="preserve"> </v>
      </c>
      <c r="L1519" s="47">
        <f>IF(ISNA(VLOOKUP(D1519,'[2]stock-take'!$M:$Q,3,FALSE)), 0, VLOOKUP(D1519,'[2]stock-take'!$M:$Q,3,FALSE))</f>
        <v>0</v>
      </c>
      <c r="M1519" s="48" t="str">
        <f t="shared" si="70"/>
        <v xml:space="preserve"> </v>
      </c>
      <c r="N1519" s="39" t="str">
        <f t="shared" si="71"/>
        <v xml:space="preserve"> </v>
      </c>
    </row>
    <row r="1520" spans="1:14">
      <c r="A1520" s="37">
        <f t="shared" si="69"/>
        <v>1509</v>
      </c>
      <c r="G1520" s="48" t="str">
        <f>IF(F1520=""," ",IF(ISNA(VLOOKUP(D1520,'[2]stock-take'!$A:$E,4,FALSE)), "OUT OF STOCK", VLOOKUP(D1520,'[2]stock-take'!$A:$E,4,FALSE)))</f>
        <v xml:space="preserve"> </v>
      </c>
      <c r="H1520" s="48">
        <f>IF(ISNA(VLOOKUP(D1520,'[2]stock-take'!$A:$E,3,FALSE)), 0, VLOOKUP(D1520,'[2]stock-take'!$A:$E,3,FALSE))</f>
        <v>0</v>
      </c>
      <c r="I1520" s="48" t="str">
        <f>IF(F1520="", " ",IF(ISNA(VLOOKUP(D1520,'[2]stock-take'!$G:$K,4,FALSE)), "OUT OF STOCK", VLOOKUP(D1520,'[2]stock-take'!$G:$K,4,FALSE)))</f>
        <v xml:space="preserve"> </v>
      </c>
      <c r="J1520" s="39">
        <f>IF(ISNA(VLOOKUP(D1520,'[2]stock-take'!$G:$K,3,FALSE)), 0, VLOOKUP(D1520,'[2]stock-take'!$G:$K,3,FALSE))</f>
        <v>0</v>
      </c>
      <c r="K1520" s="49" t="str">
        <f>IF(F1520="", " ", IF(ISNA(VLOOKUP(D1520,'[2]stock-take'!$M:$Q,4,FALSE)), "OUT OF STOCK", VLOOKUP(D1520,'[2]stock-take'!$M:$Q,4,FALSE)))</f>
        <v xml:space="preserve"> </v>
      </c>
      <c r="L1520" s="47">
        <f>IF(ISNA(VLOOKUP(D1520,'[2]stock-take'!$M:$Q,3,FALSE)), 0, VLOOKUP(D1520,'[2]stock-take'!$M:$Q,3,FALSE))</f>
        <v>0</v>
      </c>
      <c r="M1520" s="48" t="str">
        <f t="shared" si="70"/>
        <v xml:space="preserve"> </v>
      </c>
      <c r="N1520" s="39" t="str">
        <f t="shared" si="71"/>
        <v xml:space="preserve"> </v>
      </c>
    </row>
    <row r="1521" spans="1:14">
      <c r="A1521" s="37">
        <f t="shared" si="69"/>
        <v>1510</v>
      </c>
      <c r="G1521" s="48" t="str">
        <f>IF(F1521=""," ",IF(ISNA(VLOOKUP(D1521,'[2]stock-take'!$A:$E,4,FALSE)), "OUT OF STOCK", VLOOKUP(D1521,'[2]stock-take'!$A:$E,4,FALSE)))</f>
        <v xml:space="preserve"> </v>
      </c>
      <c r="H1521" s="48">
        <f>IF(ISNA(VLOOKUP(D1521,'[2]stock-take'!$A:$E,3,FALSE)), 0, VLOOKUP(D1521,'[2]stock-take'!$A:$E,3,FALSE))</f>
        <v>0</v>
      </c>
      <c r="I1521" s="48" t="str">
        <f>IF(F1521="", " ",IF(ISNA(VLOOKUP(D1521,'[2]stock-take'!$G:$K,4,FALSE)), "OUT OF STOCK", VLOOKUP(D1521,'[2]stock-take'!$G:$K,4,FALSE)))</f>
        <v xml:space="preserve"> </v>
      </c>
      <c r="J1521" s="39">
        <f>IF(ISNA(VLOOKUP(D1521,'[2]stock-take'!$G:$K,3,FALSE)), 0, VLOOKUP(D1521,'[2]stock-take'!$G:$K,3,FALSE))</f>
        <v>0</v>
      </c>
      <c r="K1521" s="49" t="str">
        <f>IF(F1521="", " ", IF(ISNA(VLOOKUP(D1521,'[2]stock-take'!$M:$Q,4,FALSE)), "OUT OF STOCK", VLOOKUP(D1521,'[2]stock-take'!$M:$Q,4,FALSE)))</f>
        <v xml:space="preserve"> </v>
      </c>
      <c r="L1521" s="47">
        <f>IF(ISNA(VLOOKUP(D1521,'[2]stock-take'!$M:$Q,3,FALSE)), 0, VLOOKUP(D1521,'[2]stock-take'!$M:$Q,3,FALSE))</f>
        <v>0</v>
      </c>
      <c r="M1521" s="48" t="str">
        <f t="shared" si="70"/>
        <v xml:space="preserve"> </v>
      </c>
      <c r="N1521" s="39" t="str">
        <f t="shared" si="71"/>
        <v xml:space="preserve"> </v>
      </c>
    </row>
    <row r="1522" spans="1:14">
      <c r="A1522" s="37">
        <f t="shared" si="69"/>
        <v>1511</v>
      </c>
      <c r="G1522" s="48" t="str">
        <f>IF(F1522=""," ",IF(ISNA(VLOOKUP(D1522,'[2]stock-take'!$A:$E,4,FALSE)), "OUT OF STOCK", VLOOKUP(D1522,'[2]stock-take'!$A:$E,4,FALSE)))</f>
        <v xml:space="preserve"> </v>
      </c>
      <c r="H1522" s="48">
        <f>IF(ISNA(VLOOKUP(D1522,'[2]stock-take'!$A:$E,3,FALSE)), 0, VLOOKUP(D1522,'[2]stock-take'!$A:$E,3,FALSE))</f>
        <v>0</v>
      </c>
      <c r="I1522" s="48" t="str">
        <f>IF(F1522="", " ",IF(ISNA(VLOOKUP(D1522,'[2]stock-take'!$G:$K,4,FALSE)), "OUT OF STOCK", VLOOKUP(D1522,'[2]stock-take'!$G:$K,4,FALSE)))</f>
        <v xml:space="preserve"> </v>
      </c>
      <c r="J1522" s="39">
        <f>IF(ISNA(VLOOKUP(D1522,'[2]stock-take'!$G:$K,3,FALSE)), 0, VLOOKUP(D1522,'[2]stock-take'!$G:$K,3,FALSE))</f>
        <v>0</v>
      </c>
      <c r="K1522" s="49" t="str">
        <f>IF(F1522="", " ", IF(ISNA(VLOOKUP(D1522,'[2]stock-take'!$M:$Q,4,FALSE)), "OUT OF STOCK", VLOOKUP(D1522,'[2]stock-take'!$M:$Q,4,FALSE)))</f>
        <v xml:space="preserve"> </v>
      </c>
      <c r="L1522" s="47">
        <f>IF(ISNA(VLOOKUP(D1522,'[2]stock-take'!$M:$Q,3,FALSE)), 0, VLOOKUP(D1522,'[2]stock-take'!$M:$Q,3,FALSE))</f>
        <v>0</v>
      </c>
      <c r="M1522" s="48" t="str">
        <f t="shared" si="70"/>
        <v xml:space="preserve"> </v>
      </c>
      <c r="N1522" s="39" t="str">
        <f t="shared" si="71"/>
        <v xml:space="preserve"> </v>
      </c>
    </row>
    <row r="1523" spans="1:14">
      <c r="A1523" s="37">
        <f t="shared" si="69"/>
        <v>1512</v>
      </c>
      <c r="G1523" s="48" t="str">
        <f>IF(F1523=""," ",IF(ISNA(VLOOKUP(D1523,'[2]stock-take'!$A:$E,4,FALSE)), "OUT OF STOCK", VLOOKUP(D1523,'[2]stock-take'!$A:$E,4,FALSE)))</f>
        <v xml:space="preserve"> </v>
      </c>
      <c r="H1523" s="48">
        <f>IF(ISNA(VLOOKUP(D1523,'[2]stock-take'!$A:$E,3,FALSE)), 0, VLOOKUP(D1523,'[2]stock-take'!$A:$E,3,FALSE))</f>
        <v>0</v>
      </c>
      <c r="I1523" s="48" t="str">
        <f>IF(F1523="", " ",IF(ISNA(VLOOKUP(D1523,'[2]stock-take'!$G:$K,4,FALSE)), "OUT OF STOCK", VLOOKUP(D1523,'[2]stock-take'!$G:$K,4,FALSE)))</f>
        <v xml:space="preserve"> </v>
      </c>
      <c r="J1523" s="39">
        <f>IF(ISNA(VLOOKUP(D1523,'[2]stock-take'!$G:$K,3,FALSE)), 0, VLOOKUP(D1523,'[2]stock-take'!$G:$K,3,FALSE))</f>
        <v>0</v>
      </c>
      <c r="K1523" s="49" t="str">
        <f>IF(F1523="", " ", IF(ISNA(VLOOKUP(D1523,'[2]stock-take'!$M:$Q,4,FALSE)), "OUT OF STOCK", VLOOKUP(D1523,'[2]stock-take'!$M:$Q,4,FALSE)))</f>
        <v xml:space="preserve"> </v>
      </c>
      <c r="L1523" s="47">
        <f>IF(ISNA(VLOOKUP(D1523,'[2]stock-take'!$M:$Q,3,FALSE)), 0, VLOOKUP(D1523,'[2]stock-take'!$M:$Q,3,FALSE))</f>
        <v>0</v>
      </c>
      <c r="M1523" s="48" t="str">
        <f t="shared" si="70"/>
        <v xml:space="preserve"> </v>
      </c>
      <c r="N1523" s="39" t="str">
        <f t="shared" si="71"/>
        <v xml:space="preserve"> </v>
      </c>
    </row>
    <row r="1524" spans="1:14">
      <c r="A1524" s="37">
        <f t="shared" si="69"/>
        <v>1513</v>
      </c>
      <c r="G1524" s="48" t="str">
        <f>IF(F1524=""," ",IF(ISNA(VLOOKUP(D1524,'[2]stock-take'!$A:$E,4,FALSE)), "OUT OF STOCK", VLOOKUP(D1524,'[2]stock-take'!$A:$E,4,FALSE)))</f>
        <v xml:space="preserve"> </v>
      </c>
      <c r="H1524" s="48">
        <f>IF(ISNA(VLOOKUP(D1524,'[2]stock-take'!$A:$E,3,FALSE)), 0, VLOOKUP(D1524,'[2]stock-take'!$A:$E,3,FALSE))</f>
        <v>0</v>
      </c>
      <c r="I1524" s="48" t="str">
        <f>IF(F1524="", " ",IF(ISNA(VLOOKUP(D1524,'[2]stock-take'!$G:$K,4,FALSE)), "OUT OF STOCK", VLOOKUP(D1524,'[2]stock-take'!$G:$K,4,FALSE)))</f>
        <v xml:space="preserve"> </v>
      </c>
      <c r="J1524" s="39">
        <f>IF(ISNA(VLOOKUP(D1524,'[2]stock-take'!$G:$K,3,FALSE)), 0, VLOOKUP(D1524,'[2]stock-take'!$G:$K,3,FALSE))</f>
        <v>0</v>
      </c>
      <c r="K1524" s="49" t="str">
        <f>IF(F1524="", " ", IF(ISNA(VLOOKUP(D1524,'[2]stock-take'!$M:$Q,4,FALSE)), "OUT OF STOCK", VLOOKUP(D1524,'[2]stock-take'!$M:$Q,4,FALSE)))</f>
        <v xml:space="preserve"> </v>
      </c>
      <c r="L1524" s="47">
        <f>IF(ISNA(VLOOKUP(D1524,'[2]stock-take'!$M:$Q,3,FALSE)), 0, VLOOKUP(D1524,'[2]stock-take'!$M:$Q,3,FALSE))</f>
        <v>0</v>
      </c>
      <c r="M1524" s="48" t="str">
        <f t="shared" si="70"/>
        <v xml:space="preserve"> </v>
      </c>
      <c r="N1524" s="39" t="str">
        <f t="shared" si="71"/>
        <v xml:space="preserve"> </v>
      </c>
    </row>
    <row r="1525" spans="1:14">
      <c r="A1525" s="37">
        <f t="shared" si="69"/>
        <v>1514</v>
      </c>
      <c r="G1525" s="48" t="str">
        <f>IF(F1525=""," ",IF(ISNA(VLOOKUP(D1525,'[2]stock-take'!$A:$E,4,FALSE)), "OUT OF STOCK", VLOOKUP(D1525,'[2]stock-take'!$A:$E,4,FALSE)))</f>
        <v xml:space="preserve"> </v>
      </c>
      <c r="H1525" s="48">
        <f>IF(ISNA(VLOOKUP(D1525,'[2]stock-take'!$A:$E,3,FALSE)), 0, VLOOKUP(D1525,'[2]stock-take'!$A:$E,3,FALSE))</f>
        <v>0</v>
      </c>
      <c r="I1525" s="48" t="str">
        <f>IF(F1525="", " ",IF(ISNA(VLOOKUP(D1525,'[2]stock-take'!$G:$K,4,FALSE)), "OUT OF STOCK", VLOOKUP(D1525,'[2]stock-take'!$G:$K,4,FALSE)))</f>
        <v xml:space="preserve"> </v>
      </c>
      <c r="J1525" s="39">
        <f>IF(ISNA(VLOOKUP(D1525,'[2]stock-take'!$G:$K,3,FALSE)), 0, VLOOKUP(D1525,'[2]stock-take'!$G:$K,3,FALSE))</f>
        <v>0</v>
      </c>
      <c r="K1525" s="49" t="str">
        <f>IF(F1525="", " ", IF(ISNA(VLOOKUP(D1525,'[2]stock-take'!$M:$Q,4,FALSE)), "OUT OF STOCK", VLOOKUP(D1525,'[2]stock-take'!$M:$Q,4,FALSE)))</f>
        <v xml:space="preserve"> </v>
      </c>
      <c r="L1525" s="47">
        <f>IF(ISNA(VLOOKUP(D1525,'[2]stock-take'!$M:$Q,3,FALSE)), 0, VLOOKUP(D1525,'[2]stock-take'!$M:$Q,3,FALSE))</f>
        <v>0</v>
      </c>
      <c r="M1525" s="48" t="str">
        <f t="shared" si="70"/>
        <v xml:space="preserve"> </v>
      </c>
      <c r="N1525" s="39" t="str">
        <f t="shared" si="71"/>
        <v xml:space="preserve"> </v>
      </c>
    </row>
    <row r="1526" spans="1:14">
      <c r="A1526" s="37">
        <f t="shared" si="69"/>
        <v>1515</v>
      </c>
      <c r="G1526" s="48" t="str">
        <f>IF(F1526=""," ",IF(ISNA(VLOOKUP(D1526,'[2]stock-take'!$A:$E,4,FALSE)), "OUT OF STOCK", VLOOKUP(D1526,'[2]stock-take'!$A:$E,4,FALSE)))</f>
        <v xml:space="preserve"> </v>
      </c>
      <c r="H1526" s="48">
        <f>IF(ISNA(VLOOKUP(D1526,'[2]stock-take'!$A:$E,3,FALSE)), 0, VLOOKUP(D1526,'[2]stock-take'!$A:$E,3,FALSE))</f>
        <v>0</v>
      </c>
      <c r="I1526" s="48" t="str">
        <f>IF(F1526="", " ",IF(ISNA(VLOOKUP(D1526,'[2]stock-take'!$G:$K,4,FALSE)), "OUT OF STOCK", VLOOKUP(D1526,'[2]stock-take'!$G:$K,4,FALSE)))</f>
        <v xml:space="preserve"> </v>
      </c>
      <c r="J1526" s="39">
        <f>IF(ISNA(VLOOKUP(D1526,'[2]stock-take'!$G:$K,3,FALSE)), 0, VLOOKUP(D1526,'[2]stock-take'!$G:$K,3,FALSE))</f>
        <v>0</v>
      </c>
      <c r="K1526" s="49" t="str">
        <f>IF(F1526="", " ", IF(ISNA(VLOOKUP(D1526,'[2]stock-take'!$M:$Q,4,FALSE)), "OUT OF STOCK", VLOOKUP(D1526,'[2]stock-take'!$M:$Q,4,FALSE)))</f>
        <v xml:space="preserve"> </v>
      </c>
      <c r="L1526" s="47">
        <f>IF(ISNA(VLOOKUP(D1526,'[2]stock-take'!$M:$Q,3,FALSE)), 0, VLOOKUP(D1526,'[2]stock-take'!$M:$Q,3,FALSE))</f>
        <v>0</v>
      </c>
      <c r="M1526" s="48" t="str">
        <f t="shared" si="70"/>
        <v xml:space="preserve"> </v>
      </c>
      <c r="N1526" s="39" t="str">
        <f t="shared" si="71"/>
        <v xml:space="preserve"> </v>
      </c>
    </row>
    <row r="1527" spans="1:14">
      <c r="A1527" s="37">
        <f t="shared" si="69"/>
        <v>1516</v>
      </c>
      <c r="G1527" s="48" t="str">
        <f>IF(F1527=""," ",IF(ISNA(VLOOKUP(D1527,'[2]stock-take'!$A:$E,4,FALSE)), "OUT OF STOCK", VLOOKUP(D1527,'[2]stock-take'!$A:$E,4,FALSE)))</f>
        <v xml:space="preserve"> </v>
      </c>
      <c r="H1527" s="48">
        <f>IF(ISNA(VLOOKUP(D1527,'[2]stock-take'!$A:$E,3,FALSE)), 0, VLOOKUP(D1527,'[2]stock-take'!$A:$E,3,FALSE))</f>
        <v>0</v>
      </c>
      <c r="I1527" s="48" t="str">
        <f>IF(F1527="", " ",IF(ISNA(VLOOKUP(D1527,'[2]stock-take'!$G:$K,4,FALSE)), "OUT OF STOCK", VLOOKUP(D1527,'[2]stock-take'!$G:$K,4,FALSE)))</f>
        <v xml:space="preserve"> </v>
      </c>
      <c r="J1527" s="39">
        <f>IF(ISNA(VLOOKUP(D1527,'[2]stock-take'!$G:$K,3,FALSE)), 0, VLOOKUP(D1527,'[2]stock-take'!$G:$K,3,FALSE))</f>
        <v>0</v>
      </c>
      <c r="K1527" s="49" t="str">
        <f>IF(F1527="", " ", IF(ISNA(VLOOKUP(D1527,'[2]stock-take'!$M:$Q,4,FALSE)), "OUT OF STOCK", VLOOKUP(D1527,'[2]stock-take'!$M:$Q,4,FALSE)))</f>
        <v xml:space="preserve"> </v>
      </c>
      <c r="L1527" s="47">
        <f>IF(ISNA(VLOOKUP(D1527,'[2]stock-take'!$M:$Q,3,FALSE)), 0, VLOOKUP(D1527,'[2]stock-take'!$M:$Q,3,FALSE))</f>
        <v>0</v>
      </c>
      <c r="M1527" s="48" t="str">
        <f t="shared" si="70"/>
        <v xml:space="preserve"> </v>
      </c>
      <c r="N1527" s="39" t="str">
        <f t="shared" si="71"/>
        <v xml:space="preserve"> </v>
      </c>
    </row>
    <row r="1528" spans="1:14">
      <c r="A1528" s="37">
        <f t="shared" si="69"/>
        <v>1517</v>
      </c>
      <c r="G1528" s="48" t="str">
        <f>IF(F1528=""," ",IF(ISNA(VLOOKUP(D1528,'[2]stock-take'!$A:$E,4,FALSE)), "OUT OF STOCK", VLOOKUP(D1528,'[2]stock-take'!$A:$E,4,FALSE)))</f>
        <v xml:space="preserve"> </v>
      </c>
      <c r="H1528" s="48">
        <f>IF(ISNA(VLOOKUP(D1528,'[2]stock-take'!$A:$E,3,FALSE)), 0, VLOOKUP(D1528,'[2]stock-take'!$A:$E,3,FALSE))</f>
        <v>0</v>
      </c>
      <c r="I1528" s="48" t="str">
        <f>IF(F1528="", " ",IF(ISNA(VLOOKUP(D1528,'[2]stock-take'!$G:$K,4,FALSE)), "OUT OF STOCK", VLOOKUP(D1528,'[2]stock-take'!$G:$K,4,FALSE)))</f>
        <v xml:space="preserve"> </v>
      </c>
      <c r="J1528" s="39">
        <f>IF(ISNA(VLOOKUP(D1528,'[2]stock-take'!$G:$K,3,FALSE)), 0, VLOOKUP(D1528,'[2]stock-take'!$G:$K,3,FALSE))</f>
        <v>0</v>
      </c>
      <c r="K1528" s="49" t="str">
        <f>IF(F1528="", " ", IF(ISNA(VLOOKUP(D1528,'[2]stock-take'!$M:$Q,4,FALSE)), "OUT OF STOCK", VLOOKUP(D1528,'[2]stock-take'!$M:$Q,4,FALSE)))</f>
        <v xml:space="preserve"> </v>
      </c>
      <c r="L1528" s="47">
        <f>IF(ISNA(VLOOKUP(D1528,'[2]stock-take'!$M:$Q,3,FALSE)), 0, VLOOKUP(D1528,'[2]stock-take'!$M:$Q,3,FALSE))</f>
        <v>0</v>
      </c>
      <c r="M1528" s="48" t="str">
        <f t="shared" si="70"/>
        <v xml:space="preserve"> </v>
      </c>
      <c r="N1528" s="39" t="str">
        <f t="shared" si="71"/>
        <v xml:space="preserve"> </v>
      </c>
    </row>
    <row r="1529" spans="1:14">
      <c r="A1529" s="37">
        <f t="shared" si="69"/>
        <v>1518</v>
      </c>
      <c r="G1529" s="48" t="str">
        <f>IF(F1529=""," ",IF(ISNA(VLOOKUP(D1529,'[2]stock-take'!$A:$E,4,FALSE)), "OUT OF STOCK", VLOOKUP(D1529,'[2]stock-take'!$A:$E,4,FALSE)))</f>
        <v xml:space="preserve"> </v>
      </c>
      <c r="H1529" s="48">
        <f>IF(ISNA(VLOOKUP(D1529,'[2]stock-take'!$A:$E,3,FALSE)), 0, VLOOKUP(D1529,'[2]stock-take'!$A:$E,3,FALSE))</f>
        <v>0</v>
      </c>
      <c r="I1529" s="48" t="str">
        <f>IF(F1529="", " ",IF(ISNA(VLOOKUP(D1529,'[2]stock-take'!$G:$K,4,FALSE)), "OUT OF STOCK", VLOOKUP(D1529,'[2]stock-take'!$G:$K,4,FALSE)))</f>
        <v xml:space="preserve"> </v>
      </c>
      <c r="J1529" s="39">
        <f>IF(ISNA(VLOOKUP(D1529,'[2]stock-take'!$G:$K,3,FALSE)), 0, VLOOKUP(D1529,'[2]stock-take'!$G:$K,3,FALSE))</f>
        <v>0</v>
      </c>
      <c r="K1529" s="49" t="str">
        <f>IF(F1529="", " ", IF(ISNA(VLOOKUP(D1529,'[2]stock-take'!$M:$Q,4,FALSE)), "OUT OF STOCK", VLOOKUP(D1529,'[2]stock-take'!$M:$Q,4,FALSE)))</f>
        <v xml:space="preserve"> </v>
      </c>
      <c r="L1529" s="47">
        <f>IF(ISNA(VLOOKUP(D1529,'[2]stock-take'!$M:$Q,3,FALSE)), 0, VLOOKUP(D1529,'[2]stock-take'!$M:$Q,3,FALSE))</f>
        <v>0</v>
      </c>
      <c r="M1529" s="48" t="str">
        <f t="shared" si="70"/>
        <v xml:space="preserve"> </v>
      </c>
      <c r="N1529" s="39" t="str">
        <f t="shared" si="71"/>
        <v xml:space="preserve"> </v>
      </c>
    </row>
    <row r="1530" spans="1:14">
      <c r="A1530" s="37">
        <f t="shared" si="69"/>
        <v>1519</v>
      </c>
      <c r="G1530" s="48" t="str">
        <f>IF(F1530=""," ",IF(ISNA(VLOOKUP(D1530,'[2]stock-take'!$A:$E,4,FALSE)), "OUT OF STOCK", VLOOKUP(D1530,'[2]stock-take'!$A:$E,4,FALSE)))</f>
        <v xml:space="preserve"> </v>
      </c>
      <c r="H1530" s="48">
        <f>IF(ISNA(VLOOKUP(D1530,'[2]stock-take'!$A:$E,3,FALSE)), 0, VLOOKUP(D1530,'[2]stock-take'!$A:$E,3,FALSE))</f>
        <v>0</v>
      </c>
      <c r="I1530" s="48" t="str">
        <f>IF(F1530="", " ",IF(ISNA(VLOOKUP(D1530,'[2]stock-take'!$G:$K,4,FALSE)), "OUT OF STOCK", VLOOKUP(D1530,'[2]stock-take'!$G:$K,4,FALSE)))</f>
        <v xml:space="preserve"> </v>
      </c>
      <c r="J1530" s="39">
        <f>IF(ISNA(VLOOKUP(D1530,'[2]stock-take'!$G:$K,3,FALSE)), 0, VLOOKUP(D1530,'[2]stock-take'!$G:$K,3,FALSE))</f>
        <v>0</v>
      </c>
      <c r="K1530" s="49" t="str">
        <f>IF(F1530="", " ", IF(ISNA(VLOOKUP(D1530,'[2]stock-take'!$M:$Q,4,FALSE)), "OUT OF STOCK", VLOOKUP(D1530,'[2]stock-take'!$M:$Q,4,FALSE)))</f>
        <v xml:space="preserve"> </v>
      </c>
      <c r="L1530" s="47">
        <f>IF(ISNA(VLOOKUP(D1530,'[2]stock-take'!$M:$Q,3,FALSE)), 0, VLOOKUP(D1530,'[2]stock-take'!$M:$Q,3,FALSE))</f>
        <v>0</v>
      </c>
      <c r="M1530" s="48" t="str">
        <f t="shared" si="70"/>
        <v xml:space="preserve"> </v>
      </c>
      <c r="N1530" s="39" t="str">
        <f t="shared" si="71"/>
        <v xml:space="preserve"> </v>
      </c>
    </row>
    <row r="1531" spans="1:14">
      <c r="A1531" s="37">
        <f t="shared" si="69"/>
        <v>1520</v>
      </c>
      <c r="G1531" s="48" t="str">
        <f>IF(F1531=""," ",IF(ISNA(VLOOKUP(D1531,'[2]stock-take'!$A:$E,4,FALSE)), "OUT OF STOCK", VLOOKUP(D1531,'[2]stock-take'!$A:$E,4,FALSE)))</f>
        <v xml:space="preserve"> </v>
      </c>
      <c r="H1531" s="48">
        <f>IF(ISNA(VLOOKUP(D1531,'[2]stock-take'!$A:$E,3,FALSE)), 0, VLOOKUP(D1531,'[2]stock-take'!$A:$E,3,FALSE))</f>
        <v>0</v>
      </c>
      <c r="I1531" s="48" t="str">
        <f>IF(F1531="", " ",IF(ISNA(VLOOKUP(D1531,'[2]stock-take'!$G:$K,4,FALSE)), "OUT OF STOCK", VLOOKUP(D1531,'[2]stock-take'!$G:$K,4,FALSE)))</f>
        <v xml:space="preserve"> </v>
      </c>
      <c r="J1531" s="39">
        <f>IF(ISNA(VLOOKUP(D1531,'[2]stock-take'!$G:$K,3,FALSE)), 0, VLOOKUP(D1531,'[2]stock-take'!$G:$K,3,FALSE))</f>
        <v>0</v>
      </c>
      <c r="K1531" s="49" t="str">
        <f>IF(F1531="", " ", IF(ISNA(VLOOKUP(D1531,'[2]stock-take'!$M:$Q,4,FALSE)), "OUT OF STOCK", VLOOKUP(D1531,'[2]stock-take'!$M:$Q,4,FALSE)))</f>
        <v xml:space="preserve"> </v>
      </c>
      <c r="L1531" s="47">
        <f>IF(ISNA(VLOOKUP(D1531,'[2]stock-take'!$M:$Q,3,FALSE)), 0, VLOOKUP(D1531,'[2]stock-take'!$M:$Q,3,FALSE))</f>
        <v>0</v>
      </c>
      <c r="M1531" s="48" t="str">
        <f t="shared" si="70"/>
        <v xml:space="preserve"> </v>
      </c>
      <c r="N1531" s="39" t="str">
        <f t="shared" si="71"/>
        <v xml:space="preserve"> </v>
      </c>
    </row>
    <row r="1532" spans="1:14">
      <c r="A1532" s="37">
        <f t="shared" si="69"/>
        <v>1521</v>
      </c>
      <c r="G1532" s="48" t="str">
        <f>IF(F1532=""," ",IF(ISNA(VLOOKUP(D1532,'[2]stock-take'!$A:$E,4,FALSE)), "OUT OF STOCK", VLOOKUP(D1532,'[2]stock-take'!$A:$E,4,FALSE)))</f>
        <v xml:space="preserve"> </v>
      </c>
      <c r="H1532" s="48">
        <f>IF(ISNA(VLOOKUP(D1532,'[2]stock-take'!$A:$E,3,FALSE)), 0, VLOOKUP(D1532,'[2]stock-take'!$A:$E,3,FALSE))</f>
        <v>0</v>
      </c>
      <c r="I1532" s="48" t="str">
        <f>IF(F1532="", " ",IF(ISNA(VLOOKUP(D1532,'[2]stock-take'!$G:$K,4,FALSE)), "OUT OF STOCK", VLOOKUP(D1532,'[2]stock-take'!$G:$K,4,FALSE)))</f>
        <v xml:space="preserve"> </v>
      </c>
      <c r="J1532" s="39">
        <f>IF(ISNA(VLOOKUP(D1532,'[2]stock-take'!$G:$K,3,FALSE)), 0, VLOOKUP(D1532,'[2]stock-take'!$G:$K,3,FALSE))</f>
        <v>0</v>
      </c>
      <c r="K1532" s="49" t="str">
        <f>IF(F1532="", " ", IF(ISNA(VLOOKUP(D1532,'[2]stock-take'!$M:$Q,4,FALSE)), "OUT OF STOCK", VLOOKUP(D1532,'[2]stock-take'!$M:$Q,4,FALSE)))</f>
        <v xml:space="preserve"> </v>
      </c>
      <c r="L1532" s="47">
        <f>IF(ISNA(VLOOKUP(D1532,'[2]stock-take'!$M:$Q,3,FALSE)), 0, VLOOKUP(D1532,'[2]stock-take'!$M:$Q,3,FALSE))</f>
        <v>0</v>
      </c>
      <c r="M1532" s="48" t="str">
        <f t="shared" si="70"/>
        <v xml:space="preserve"> </v>
      </c>
      <c r="N1532" s="39" t="str">
        <f t="shared" si="71"/>
        <v xml:space="preserve"> </v>
      </c>
    </row>
    <row r="1533" spans="1:14">
      <c r="A1533" s="37">
        <f t="shared" si="69"/>
        <v>1522</v>
      </c>
      <c r="G1533" s="48" t="str">
        <f>IF(F1533=""," ",IF(ISNA(VLOOKUP(D1533,'[2]stock-take'!$A:$E,4,FALSE)), "OUT OF STOCK", VLOOKUP(D1533,'[2]stock-take'!$A:$E,4,FALSE)))</f>
        <v xml:space="preserve"> </v>
      </c>
      <c r="H1533" s="48">
        <f>IF(ISNA(VLOOKUP(D1533,'[2]stock-take'!$A:$E,3,FALSE)), 0, VLOOKUP(D1533,'[2]stock-take'!$A:$E,3,FALSE))</f>
        <v>0</v>
      </c>
      <c r="I1533" s="48" t="str">
        <f>IF(F1533="", " ",IF(ISNA(VLOOKUP(D1533,'[2]stock-take'!$G:$K,4,FALSE)), "OUT OF STOCK", VLOOKUP(D1533,'[2]stock-take'!$G:$K,4,FALSE)))</f>
        <v xml:space="preserve"> </v>
      </c>
      <c r="J1533" s="39">
        <f>IF(ISNA(VLOOKUP(D1533,'[2]stock-take'!$G:$K,3,FALSE)), 0, VLOOKUP(D1533,'[2]stock-take'!$G:$K,3,FALSE))</f>
        <v>0</v>
      </c>
      <c r="K1533" s="49" t="str">
        <f>IF(F1533="", " ", IF(ISNA(VLOOKUP(D1533,'[2]stock-take'!$M:$Q,4,FALSE)), "OUT OF STOCK", VLOOKUP(D1533,'[2]stock-take'!$M:$Q,4,FALSE)))</f>
        <v xml:space="preserve"> </v>
      </c>
      <c r="L1533" s="47">
        <f>IF(ISNA(VLOOKUP(D1533,'[2]stock-take'!$M:$Q,3,FALSE)), 0, VLOOKUP(D1533,'[2]stock-take'!$M:$Q,3,FALSE))</f>
        <v>0</v>
      </c>
      <c r="M1533" s="48" t="str">
        <f t="shared" si="70"/>
        <v xml:space="preserve"> </v>
      </c>
      <c r="N1533" s="39" t="str">
        <f t="shared" si="71"/>
        <v xml:space="preserve"> </v>
      </c>
    </row>
    <row r="1534" spans="1:14">
      <c r="A1534" s="37">
        <f t="shared" si="69"/>
        <v>1523</v>
      </c>
      <c r="G1534" s="48" t="str">
        <f>IF(F1534=""," ",IF(ISNA(VLOOKUP(D1534,'[2]stock-take'!$A:$E,4,FALSE)), "OUT OF STOCK", VLOOKUP(D1534,'[2]stock-take'!$A:$E,4,FALSE)))</f>
        <v xml:space="preserve"> </v>
      </c>
      <c r="H1534" s="48">
        <f>IF(ISNA(VLOOKUP(D1534,'[2]stock-take'!$A:$E,3,FALSE)), 0, VLOOKUP(D1534,'[2]stock-take'!$A:$E,3,FALSE))</f>
        <v>0</v>
      </c>
      <c r="I1534" s="48" t="str">
        <f>IF(F1534="", " ",IF(ISNA(VLOOKUP(D1534,'[2]stock-take'!$G:$K,4,FALSE)), "OUT OF STOCK", VLOOKUP(D1534,'[2]stock-take'!$G:$K,4,FALSE)))</f>
        <v xml:space="preserve"> </v>
      </c>
      <c r="J1534" s="39">
        <f>IF(ISNA(VLOOKUP(D1534,'[2]stock-take'!$G:$K,3,FALSE)), 0, VLOOKUP(D1534,'[2]stock-take'!$G:$K,3,FALSE))</f>
        <v>0</v>
      </c>
      <c r="K1534" s="49" t="str">
        <f>IF(F1534="", " ", IF(ISNA(VLOOKUP(D1534,'[2]stock-take'!$M:$Q,4,FALSE)), "OUT OF STOCK", VLOOKUP(D1534,'[2]stock-take'!$M:$Q,4,FALSE)))</f>
        <v xml:space="preserve"> </v>
      </c>
      <c r="L1534" s="47">
        <f>IF(ISNA(VLOOKUP(D1534,'[2]stock-take'!$M:$Q,3,FALSE)), 0, VLOOKUP(D1534,'[2]stock-take'!$M:$Q,3,FALSE))</f>
        <v>0</v>
      </c>
      <c r="M1534" s="48" t="str">
        <f t="shared" si="70"/>
        <v xml:space="preserve"> </v>
      </c>
      <c r="N1534" s="39" t="str">
        <f t="shared" si="71"/>
        <v xml:space="preserve"> </v>
      </c>
    </row>
    <row r="1535" spans="1:14">
      <c r="A1535" s="37">
        <f t="shared" si="69"/>
        <v>1524</v>
      </c>
      <c r="G1535" s="48" t="str">
        <f>IF(F1535=""," ",IF(ISNA(VLOOKUP(D1535,'[2]stock-take'!$A:$E,4,FALSE)), "OUT OF STOCK", VLOOKUP(D1535,'[2]stock-take'!$A:$E,4,FALSE)))</f>
        <v xml:space="preserve"> </v>
      </c>
      <c r="H1535" s="48">
        <f>IF(ISNA(VLOOKUP(D1535,'[2]stock-take'!$A:$E,3,FALSE)), 0, VLOOKUP(D1535,'[2]stock-take'!$A:$E,3,FALSE))</f>
        <v>0</v>
      </c>
      <c r="I1535" s="48" t="str">
        <f>IF(F1535="", " ",IF(ISNA(VLOOKUP(D1535,'[2]stock-take'!$G:$K,4,FALSE)), "OUT OF STOCK", VLOOKUP(D1535,'[2]stock-take'!$G:$K,4,FALSE)))</f>
        <v xml:space="preserve"> </v>
      </c>
      <c r="J1535" s="39">
        <f>IF(ISNA(VLOOKUP(D1535,'[2]stock-take'!$G:$K,3,FALSE)), 0, VLOOKUP(D1535,'[2]stock-take'!$G:$K,3,FALSE))</f>
        <v>0</v>
      </c>
      <c r="K1535" s="49" t="str">
        <f>IF(F1535="", " ", IF(ISNA(VLOOKUP(D1535,'[2]stock-take'!$M:$Q,4,FALSE)), "OUT OF STOCK", VLOOKUP(D1535,'[2]stock-take'!$M:$Q,4,FALSE)))</f>
        <v xml:space="preserve"> </v>
      </c>
      <c r="L1535" s="47">
        <f>IF(ISNA(VLOOKUP(D1535,'[2]stock-take'!$M:$Q,3,FALSE)), 0, VLOOKUP(D1535,'[2]stock-take'!$M:$Q,3,FALSE))</f>
        <v>0</v>
      </c>
      <c r="M1535" s="48" t="str">
        <f t="shared" si="70"/>
        <v xml:space="preserve"> </v>
      </c>
      <c r="N1535" s="39" t="str">
        <f t="shared" si="71"/>
        <v xml:space="preserve"> </v>
      </c>
    </row>
    <row r="1536" spans="1:14">
      <c r="A1536" s="37">
        <f t="shared" si="69"/>
        <v>1525</v>
      </c>
      <c r="G1536" s="48" t="str">
        <f>IF(F1536=""," ",IF(ISNA(VLOOKUP(D1536,'[2]stock-take'!$A:$E,4,FALSE)), "OUT OF STOCK", VLOOKUP(D1536,'[2]stock-take'!$A:$E,4,FALSE)))</f>
        <v xml:space="preserve"> </v>
      </c>
      <c r="H1536" s="48">
        <f>IF(ISNA(VLOOKUP(D1536,'[2]stock-take'!$A:$E,3,FALSE)), 0, VLOOKUP(D1536,'[2]stock-take'!$A:$E,3,FALSE))</f>
        <v>0</v>
      </c>
      <c r="I1536" s="48" t="str">
        <f>IF(F1536="", " ",IF(ISNA(VLOOKUP(D1536,'[2]stock-take'!$G:$K,4,FALSE)), "OUT OF STOCK", VLOOKUP(D1536,'[2]stock-take'!$G:$K,4,FALSE)))</f>
        <v xml:space="preserve"> </v>
      </c>
      <c r="J1536" s="39">
        <f>IF(ISNA(VLOOKUP(D1536,'[2]stock-take'!$G:$K,3,FALSE)), 0, VLOOKUP(D1536,'[2]stock-take'!$G:$K,3,FALSE))</f>
        <v>0</v>
      </c>
      <c r="K1536" s="49" t="str">
        <f>IF(F1536="", " ", IF(ISNA(VLOOKUP(D1536,'[2]stock-take'!$M:$Q,4,FALSE)), "OUT OF STOCK", VLOOKUP(D1536,'[2]stock-take'!$M:$Q,4,FALSE)))</f>
        <v xml:space="preserve"> </v>
      </c>
      <c r="L1536" s="47">
        <f>IF(ISNA(VLOOKUP(D1536,'[2]stock-take'!$M:$Q,3,FALSE)), 0, VLOOKUP(D1536,'[2]stock-take'!$M:$Q,3,FALSE))</f>
        <v>0</v>
      </c>
      <c r="M1536" s="48" t="str">
        <f t="shared" si="70"/>
        <v xml:space="preserve"> </v>
      </c>
      <c r="N1536" s="39" t="str">
        <f t="shared" si="71"/>
        <v xml:space="preserve"> </v>
      </c>
    </row>
    <row r="1537" spans="1:14">
      <c r="A1537" s="37">
        <f t="shared" si="69"/>
        <v>1526</v>
      </c>
      <c r="G1537" s="48" t="str">
        <f>IF(F1537=""," ",IF(ISNA(VLOOKUP(D1537,'[2]stock-take'!$A:$E,4,FALSE)), "OUT OF STOCK", VLOOKUP(D1537,'[2]stock-take'!$A:$E,4,FALSE)))</f>
        <v xml:space="preserve"> </v>
      </c>
      <c r="H1537" s="48">
        <f>IF(ISNA(VLOOKUP(D1537,'[2]stock-take'!$A:$E,3,FALSE)), 0, VLOOKUP(D1537,'[2]stock-take'!$A:$E,3,FALSE))</f>
        <v>0</v>
      </c>
      <c r="I1537" s="48" t="str">
        <f>IF(F1537="", " ",IF(ISNA(VLOOKUP(D1537,'[2]stock-take'!$G:$K,4,FALSE)), "OUT OF STOCK", VLOOKUP(D1537,'[2]stock-take'!$G:$K,4,FALSE)))</f>
        <v xml:space="preserve"> </v>
      </c>
      <c r="J1537" s="39">
        <f>IF(ISNA(VLOOKUP(D1537,'[2]stock-take'!$G:$K,3,FALSE)), 0, VLOOKUP(D1537,'[2]stock-take'!$G:$K,3,FALSE))</f>
        <v>0</v>
      </c>
      <c r="K1537" s="49" t="str">
        <f>IF(F1537="", " ", IF(ISNA(VLOOKUP(D1537,'[2]stock-take'!$M:$Q,4,FALSE)), "OUT OF STOCK", VLOOKUP(D1537,'[2]stock-take'!$M:$Q,4,FALSE)))</f>
        <v xml:space="preserve"> </v>
      </c>
      <c r="L1537" s="47">
        <f>IF(ISNA(VLOOKUP(D1537,'[2]stock-take'!$M:$Q,3,FALSE)), 0, VLOOKUP(D1537,'[2]stock-take'!$M:$Q,3,FALSE))</f>
        <v>0</v>
      </c>
      <c r="M1537" s="48" t="str">
        <f t="shared" si="70"/>
        <v xml:space="preserve"> </v>
      </c>
      <c r="N1537" s="39" t="str">
        <f t="shared" si="71"/>
        <v xml:space="preserve"> </v>
      </c>
    </row>
    <row r="1538" spans="1:14">
      <c r="A1538" s="37">
        <f t="shared" si="69"/>
        <v>1527</v>
      </c>
      <c r="G1538" s="48" t="str">
        <f>IF(F1538=""," ",IF(ISNA(VLOOKUP(D1538,'[2]stock-take'!$A:$E,4,FALSE)), "OUT OF STOCK", VLOOKUP(D1538,'[2]stock-take'!$A:$E,4,FALSE)))</f>
        <v xml:space="preserve"> </v>
      </c>
      <c r="H1538" s="48">
        <f>IF(ISNA(VLOOKUP(D1538,'[2]stock-take'!$A:$E,3,FALSE)), 0, VLOOKUP(D1538,'[2]stock-take'!$A:$E,3,FALSE))</f>
        <v>0</v>
      </c>
      <c r="I1538" s="48" t="str">
        <f>IF(F1538="", " ",IF(ISNA(VLOOKUP(D1538,'[2]stock-take'!$G:$K,4,FALSE)), "OUT OF STOCK", VLOOKUP(D1538,'[2]stock-take'!$G:$K,4,FALSE)))</f>
        <v xml:space="preserve"> </v>
      </c>
      <c r="J1538" s="39">
        <f>IF(ISNA(VLOOKUP(D1538,'[2]stock-take'!$G:$K,3,FALSE)), 0, VLOOKUP(D1538,'[2]stock-take'!$G:$K,3,FALSE))</f>
        <v>0</v>
      </c>
      <c r="K1538" s="49" t="str">
        <f>IF(F1538="", " ", IF(ISNA(VLOOKUP(D1538,'[2]stock-take'!$M:$Q,4,FALSE)), "OUT OF STOCK", VLOOKUP(D1538,'[2]stock-take'!$M:$Q,4,FALSE)))</f>
        <v xml:space="preserve"> </v>
      </c>
      <c r="L1538" s="47">
        <f>IF(ISNA(VLOOKUP(D1538,'[2]stock-take'!$M:$Q,3,FALSE)), 0, VLOOKUP(D1538,'[2]stock-take'!$M:$Q,3,FALSE))</f>
        <v>0</v>
      </c>
      <c r="M1538" s="48" t="str">
        <f t="shared" si="70"/>
        <v xml:space="preserve"> </v>
      </c>
      <c r="N1538" s="39" t="str">
        <f t="shared" si="71"/>
        <v xml:space="preserve"> </v>
      </c>
    </row>
    <row r="1539" spans="1:14">
      <c r="A1539" s="37">
        <f t="shared" si="69"/>
        <v>1528</v>
      </c>
      <c r="G1539" s="48" t="str">
        <f>IF(F1539=""," ",IF(ISNA(VLOOKUP(D1539,'[2]stock-take'!$A:$E,4,FALSE)), "OUT OF STOCK", VLOOKUP(D1539,'[2]stock-take'!$A:$E,4,FALSE)))</f>
        <v xml:space="preserve"> </v>
      </c>
      <c r="H1539" s="48">
        <f>IF(ISNA(VLOOKUP(D1539,'[2]stock-take'!$A:$E,3,FALSE)), 0, VLOOKUP(D1539,'[2]stock-take'!$A:$E,3,FALSE))</f>
        <v>0</v>
      </c>
      <c r="I1539" s="48" t="str">
        <f>IF(F1539="", " ",IF(ISNA(VLOOKUP(D1539,'[2]stock-take'!$G:$K,4,FALSE)), "OUT OF STOCK", VLOOKUP(D1539,'[2]stock-take'!$G:$K,4,FALSE)))</f>
        <v xml:space="preserve"> </v>
      </c>
      <c r="J1539" s="39">
        <f>IF(ISNA(VLOOKUP(D1539,'[2]stock-take'!$G:$K,3,FALSE)), 0, VLOOKUP(D1539,'[2]stock-take'!$G:$K,3,FALSE))</f>
        <v>0</v>
      </c>
      <c r="K1539" s="49" t="str">
        <f>IF(F1539="", " ", IF(ISNA(VLOOKUP(D1539,'[2]stock-take'!$M:$Q,4,FALSE)), "OUT OF STOCK", VLOOKUP(D1539,'[2]stock-take'!$M:$Q,4,FALSE)))</f>
        <v xml:space="preserve"> </v>
      </c>
      <c r="L1539" s="47">
        <f>IF(ISNA(VLOOKUP(D1539,'[2]stock-take'!$M:$Q,3,FALSE)), 0, VLOOKUP(D1539,'[2]stock-take'!$M:$Q,3,FALSE))</f>
        <v>0</v>
      </c>
      <c r="M1539" s="48" t="str">
        <f t="shared" si="70"/>
        <v xml:space="preserve"> </v>
      </c>
      <c r="N1539" s="39" t="str">
        <f t="shared" si="71"/>
        <v xml:space="preserve"> </v>
      </c>
    </row>
    <row r="1540" spans="1:14">
      <c r="A1540" s="37">
        <f t="shared" si="69"/>
        <v>1529</v>
      </c>
      <c r="G1540" s="48" t="str">
        <f>IF(F1540=""," ",IF(ISNA(VLOOKUP(D1540,'[2]stock-take'!$A:$E,4,FALSE)), "OUT OF STOCK", VLOOKUP(D1540,'[2]stock-take'!$A:$E,4,FALSE)))</f>
        <v xml:space="preserve"> </v>
      </c>
      <c r="H1540" s="48">
        <f>IF(ISNA(VLOOKUP(D1540,'[2]stock-take'!$A:$E,3,FALSE)), 0, VLOOKUP(D1540,'[2]stock-take'!$A:$E,3,FALSE))</f>
        <v>0</v>
      </c>
      <c r="I1540" s="48" t="str">
        <f>IF(F1540="", " ",IF(ISNA(VLOOKUP(D1540,'[2]stock-take'!$G:$K,4,FALSE)), "OUT OF STOCK", VLOOKUP(D1540,'[2]stock-take'!$G:$K,4,FALSE)))</f>
        <v xml:space="preserve"> </v>
      </c>
      <c r="J1540" s="39">
        <f>IF(ISNA(VLOOKUP(D1540,'[2]stock-take'!$G:$K,3,FALSE)), 0, VLOOKUP(D1540,'[2]stock-take'!$G:$K,3,FALSE))</f>
        <v>0</v>
      </c>
      <c r="K1540" s="49" t="str">
        <f>IF(F1540="", " ", IF(ISNA(VLOOKUP(D1540,'[2]stock-take'!$M:$Q,4,FALSE)), "OUT OF STOCK", VLOOKUP(D1540,'[2]stock-take'!$M:$Q,4,FALSE)))</f>
        <v xml:space="preserve"> </v>
      </c>
      <c r="L1540" s="47">
        <f>IF(ISNA(VLOOKUP(D1540,'[2]stock-take'!$M:$Q,3,FALSE)), 0, VLOOKUP(D1540,'[2]stock-take'!$M:$Q,3,FALSE))</f>
        <v>0</v>
      </c>
      <c r="M1540" s="48" t="str">
        <f t="shared" si="70"/>
        <v xml:space="preserve"> </v>
      </c>
      <c r="N1540" s="39" t="str">
        <f t="shared" si="71"/>
        <v xml:space="preserve"> </v>
      </c>
    </row>
    <row r="1541" spans="1:14">
      <c r="A1541" s="37">
        <f t="shared" si="69"/>
        <v>1530</v>
      </c>
      <c r="G1541" s="48" t="str">
        <f>IF(F1541=""," ",IF(ISNA(VLOOKUP(D1541,'[2]stock-take'!$A:$E,4,FALSE)), "OUT OF STOCK", VLOOKUP(D1541,'[2]stock-take'!$A:$E,4,FALSE)))</f>
        <v xml:space="preserve"> </v>
      </c>
      <c r="H1541" s="48">
        <f>IF(ISNA(VLOOKUP(D1541,'[2]stock-take'!$A:$E,3,FALSE)), 0, VLOOKUP(D1541,'[2]stock-take'!$A:$E,3,FALSE))</f>
        <v>0</v>
      </c>
      <c r="I1541" s="48" t="str">
        <f>IF(F1541="", " ",IF(ISNA(VLOOKUP(D1541,'[2]stock-take'!$G:$K,4,FALSE)), "OUT OF STOCK", VLOOKUP(D1541,'[2]stock-take'!$G:$K,4,FALSE)))</f>
        <v xml:space="preserve"> </v>
      </c>
      <c r="J1541" s="39">
        <f>IF(ISNA(VLOOKUP(D1541,'[2]stock-take'!$G:$K,3,FALSE)), 0, VLOOKUP(D1541,'[2]stock-take'!$G:$K,3,FALSE))</f>
        <v>0</v>
      </c>
      <c r="K1541" s="49" t="str">
        <f>IF(F1541="", " ", IF(ISNA(VLOOKUP(D1541,'[2]stock-take'!$M:$Q,4,FALSE)), "OUT OF STOCK", VLOOKUP(D1541,'[2]stock-take'!$M:$Q,4,FALSE)))</f>
        <v xml:space="preserve"> </v>
      </c>
      <c r="L1541" s="47">
        <f>IF(ISNA(VLOOKUP(D1541,'[2]stock-take'!$M:$Q,3,FALSE)), 0, VLOOKUP(D1541,'[2]stock-take'!$M:$Q,3,FALSE))</f>
        <v>0</v>
      </c>
      <c r="M1541" s="48" t="str">
        <f t="shared" si="70"/>
        <v xml:space="preserve"> </v>
      </c>
      <c r="N1541" s="39" t="str">
        <f t="shared" si="71"/>
        <v xml:space="preserve"> </v>
      </c>
    </row>
    <row r="1542" spans="1:14">
      <c r="A1542" s="37">
        <f t="shared" si="69"/>
        <v>1531</v>
      </c>
      <c r="G1542" s="48" t="str">
        <f>IF(F1542=""," ",IF(ISNA(VLOOKUP(D1542,'[2]stock-take'!$A:$E,4,FALSE)), "OUT OF STOCK", VLOOKUP(D1542,'[2]stock-take'!$A:$E,4,FALSE)))</f>
        <v xml:space="preserve"> </v>
      </c>
      <c r="H1542" s="48">
        <f>IF(ISNA(VLOOKUP(D1542,'[2]stock-take'!$A:$E,3,FALSE)), 0, VLOOKUP(D1542,'[2]stock-take'!$A:$E,3,FALSE))</f>
        <v>0</v>
      </c>
      <c r="I1542" s="48" t="str">
        <f>IF(F1542="", " ",IF(ISNA(VLOOKUP(D1542,'[2]stock-take'!$G:$K,4,FALSE)), "OUT OF STOCK", VLOOKUP(D1542,'[2]stock-take'!$G:$K,4,FALSE)))</f>
        <v xml:space="preserve"> </v>
      </c>
      <c r="J1542" s="39">
        <f>IF(ISNA(VLOOKUP(D1542,'[2]stock-take'!$G:$K,3,FALSE)), 0, VLOOKUP(D1542,'[2]stock-take'!$G:$K,3,FALSE))</f>
        <v>0</v>
      </c>
      <c r="K1542" s="49" t="str">
        <f>IF(F1542="", " ", IF(ISNA(VLOOKUP(D1542,'[2]stock-take'!$M:$Q,4,FALSE)), "OUT OF STOCK", VLOOKUP(D1542,'[2]stock-take'!$M:$Q,4,FALSE)))</f>
        <v xml:space="preserve"> </v>
      </c>
      <c r="L1542" s="47">
        <f>IF(ISNA(VLOOKUP(D1542,'[2]stock-take'!$M:$Q,3,FALSE)), 0, VLOOKUP(D1542,'[2]stock-take'!$M:$Q,3,FALSE))</f>
        <v>0</v>
      </c>
      <c r="M1542" s="48" t="str">
        <f t="shared" si="70"/>
        <v xml:space="preserve"> </v>
      </c>
      <c r="N1542" s="39" t="str">
        <f t="shared" si="71"/>
        <v xml:space="preserve"> </v>
      </c>
    </row>
    <row r="1543" spans="1:14">
      <c r="A1543" s="37">
        <f t="shared" si="69"/>
        <v>1532</v>
      </c>
      <c r="G1543" s="48" t="str">
        <f>IF(F1543=""," ",IF(ISNA(VLOOKUP(D1543,'[2]stock-take'!$A:$E,4,FALSE)), "OUT OF STOCK", VLOOKUP(D1543,'[2]stock-take'!$A:$E,4,FALSE)))</f>
        <v xml:space="preserve"> </v>
      </c>
      <c r="H1543" s="48">
        <f>IF(ISNA(VLOOKUP(D1543,'[2]stock-take'!$A:$E,3,FALSE)), 0, VLOOKUP(D1543,'[2]stock-take'!$A:$E,3,FALSE))</f>
        <v>0</v>
      </c>
      <c r="I1543" s="48" t="str">
        <f>IF(F1543="", " ",IF(ISNA(VLOOKUP(D1543,'[2]stock-take'!$G:$K,4,FALSE)), "OUT OF STOCK", VLOOKUP(D1543,'[2]stock-take'!$G:$K,4,FALSE)))</f>
        <v xml:space="preserve"> </v>
      </c>
      <c r="J1543" s="39">
        <f>IF(ISNA(VLOOKUP(D1543,'[2]stock-take'!$G:$K,3,FALSE)), 0, VLOOKUP(D1543,'[2]stock-take'!$G:$K,3,FALSE))</f>
        <v>0</v>
      </c>
      <c r="K1543" s="49" t="str">
        <f>IF(F1543="", " ", IF(ISNA(VLOOKUP(D1543,'[2]stock-take'!$M:$Q,4,FALSE)), "OUT OF STOCK", VLOOKUP(D1543,'[2]stock-take'!$M:$Q,4,FALSE)))</f>
        <v xml:space="preserve"> </v>
      </c>
      <c r="L1543" s="47">
        <f>IF(ISNA(VLOOKUP(D1543,'[2]stock-take'!$M:$Q,3,FALSE)), 0, VLOOKUP(D1543,'[2]stock-take'!$M:$Q,3,FALSE))</f>
        <v>0</v>
      </c>
      <c r="M1543" s="48" t="str">
        <f t="shared" si="70"/>
        <v xml:space="preserve"> </v>
      </c>
      <c r="N1543" s="39" t="str">
        <f t="shared" si="71"/>
        <v xml:space="preserve"> </v>
      </c>
    </row>
    <row r="1544" spans="1:14">
      <c r="A1544" s="37">
        <f t="shared" si="69"/>
        <v>1533</v>
      </c>
      <c r="G1544" s="48" t="str">
        <f>IF(F1544=""," ",IF(ISNA(VLOOKUP(D1544,'[2]stock-take'!$A:$E,4,FALSE)), "OUT OF STOCK", VLOOKUP(D1544,'[2]stock-take'!$A:$E,4,FALSE)))</f>
        <v xml:space="preserve"> </v>
      </c>
      <c r="H1544" s="48">
        <f>IF(ISNA(VLOOKUP(D1544,'[2]stock-take'!$A:$E,3,FALSE)), 0, VLOOKUP(D1544,'[2]stock-take'!$A:$E,3,FALSE))</f>
        <v>0</v>
      </c>
      <c r="I1544" s="48" t="str">
        <f>IF(F1544="", " ",IF(ISNA(VLOOKUP(D1544,'[2]stock-take'!$G:$K,4,FALSE)), "OUT OF STOCK", VLOOKUP(D1544,'[2]stock-take'!$G:$K,4,FALSE)))</f>
        <v xml:space="preserve"> </v>
      </c>
      <c r="J1544" s="39">
        <f>IF(ISNA(VLOOKUP(D1544,'[2]stock-take'!$G:$K,3,FALSE)), 0, VLOOKUP(D1544,'[2]stock-take'!$G:$K,3,FALSE))</f>
        <v>0</v>
      </c>
      <c r="K1544" s="49" t="str">
        <f>IF(F1544="", " ", IF(ISNA(VLOOKUP(D1544,'[2]stock-take'!$M:$Q,4,FALSE)), "OUT OF STOCK", VLOOKUP(D1544,'[2]stock-take'!$M:$Q,4,FALSE)))</f>
        <v xml:space="preserve"> </v>
      </c>
      <c r="L1544" s="47">
        <f>IF(ISNA(VLOOKUP(D1544,'[2]stock-take'!$M:$Q,3,FALSE)), 0, VLOOKUP(D1544,'[2]stock-take'!$M:$Q,3,FALSE))</f>
        <v>0</v>
      </c>
      <c r="M1544" s="48" t="str">
        <f t="shared" si="70"/>
        <v xml:space="preserve"> </v>
      </c>
      <c r="N1544" s="39" t="str">
        <f t="shared" si="71"/>
        <v xml:space="preserve"> </v>
      </c>
    </row>
    <row r="1545" spans="1:14">
      <c r="A1545" s="37">
        <f t="shared" si="69"/>
        <v>1534</v>
      </c>
      <c r="G1545" s="48" t="str">
        <f>IF(F1545=""," ",IF(ISNA(VLOOKUP(D1545,'[2]stock-take'!$A:$E,4,FALSE)), "OUT OF STOCK", VLOOKUP(D1545,'[2]stock-take'!$A:$E,4,FALSE)))</f>
        <v xml:space="preserve"> </v>
      </c>
      <c r="H1545" s="48">
        <f>IF(ISNA(VLOOKUP(D1545,'[2]stock-take'!$A:$E,3,FALSE)), 0, VLOOKUP(D1545,'[2]stock-take'!$A:$E,3,FALSE))</f>
        <v>0</v>
      </c>
      <c r="I1545" s="48" t="str">
        <f>IF(F1545="", " ",IF(ISNA(VLOOKUP(D1545,'[2]stock-take'!$G:$K,4,FALSE)), "OUT OF STOCK", VLOOKUP(D1545,'[2]stock-take'!$G:$K,4,FALSE)))</f>
        <v xml:space="preserve"> </v>
      </c>
      <c r="J1545" s="39">
        <f>IF(ISNA(VLOOKUP(D1545,'[2]stock-take'!$G:$K,3,FALSE)), 0, VLOOKUP(D1545,'[2]stock-take'!$G:$K,3,FALSE))</f>
        <v>0</v>
      </c>
      <c r="K1545" s="49" t="str">
        <f>IF(F1545="", " ", IF(ISNA(VLOOKUP(D1545,'[2]stock-take'!$M:$Q,4,FALSE)), "OUT OF STOCK", VLOOKUP(D1545,'[2]stock-take'!$M:$Q,4,FALSE)))</f>
        <v xml:space="preserve"> </v>
      </c>
      <c r="L1545" s="47">
        <f>IF(ISNA(VLOOKUP(D1545,'[2]stock-take'!$M:$Q,3,FALSE)), 0, VLOOKUP(D1545,'[2]stock-take'!$M:$Q,3,FALSE))</f>
        <v>0</v>
      </c>
      <c r="M1545" s="48" t="str">
        <f t="shared" si="70"/>
        <v xml:space="preserve"> </v>
      </c>
      <c r="N1545" s="39" t="str">
        <f t="shared" si="71"/>
        <v xml:space="preserve"> </v>
      </c>
    </row>
    <row r="1546" spans="1:14">
      <c r="A1546" s="37">
        <f t="shared" si="69"/>
        <v>1535</v>
      </c>
      <c r="G1546" s="48" t="str">
        <f>IF(F1546=""," ",IF(ISNA(VLOOKUP(D1546,'[2]stock-take'!$A:$E,4,FALSE)), "OUT OF STOCK", VLOOKUP(D1546,'[2]stock-take'!$A:$E,4,FALSE)))</f>
        <v xml:space="preserve"> </v>
      </c>
      <c r="H1546" s="48">
        <f>IF(ISNA(VLOOKUP(D1546,'[2]stock-take'!$A:$E,3,FALSE)), 0, VLOOKUP(D1546,'[2]stock-take'!$A:$E,3,FALSE))</f>
        <v>0</v>
      </c>
      <c r="I1546" s="48" t="str">
        <f>IF(F1546="", " ",IF(ISNA(VLOOKUP(D1546,'[2]stock-take'!$G:$K,4,FALSE)), "OUT OF STOCK", VLOOKUP(D1546,'[2]stock-take'!$G:$K,4,FALSE)))</f>
        <v xml:space="preserve"> </v>
      </c>
      <c r="J1546" s="39">
        <f>IF(ISNA(VLOOKUP(D1546,'[2]stock-take'!$G:$K,3,FALSE)), 0, VLOOKUP(D1546,'[2]stock-take'!$G:$K,3,FALSE))</f>
        <v>0</v>
      </c>
      <c r="K1546" s="49" t="str">
        <f>IF(F1546="", " ", IF(ISNA(VLOOKUP(D1546,'[2]stock-take'!$M:$Q,4,FALSE)), "OUT OF STOCK", VLOOKUP(D1546,'[2]stock-take'!$M:$Q,4,FALSE)))</f>
        <v xml:space="preserve"> </v>
      </c>
      <c r="L1546" s="47">
        <f>IF(ISNA(VLOOKUP(D1546,'[2]stock-take'!$M:$Q,3,FALSE)), 0, VLOOKUP(D1546,'[2]stock-take'!$M:$Q,3,FALSE))</f>
        <v>0</v>
      </c>
      <c r="M1546" s="48" t="str">
        <f t="shared" si="70"/>
        <v xml:space="preserve"> </v>
      </c>
      <c r="N1546" s="39" t="str">
        <f t="shared" si="71"/>
        <v xml:space="preserve"> </v>
      </c>
    </row>
    <row r="1547" spans="1:14">
      <c r="A1547" s="37">
        <f t="shared" si="69"/>
        <v>1536</v>
      </c>
      <c r="G1547" s="48" t="str">
        <f>IF(F1547=""," ",IF(ISNA(VLOOKUP(D1547,'[2]stock-take'!$A:$E,4,FALSE)), "OUT OF STOCK", VLOOKUP(D1547,'[2]stock-take'!$A:$E,4,FALSE)))</f>
        <v xml:space="preserve"> </v>
      </c>
      <c r="H1547" s="48">
        <f>IF(ISNA(VLOOKUP(D1547,'[2]stock-take'!$A:$E,3,FALSE)), 0, VLOOKUP(D1547,'[2]stock-take'!$A:$E,3,FALSE))</f>
        <v>0</v>
      </c>
      <c r="I1547" s="48" t="str">
        <f>IF(F1547="", " ",IF(ISNA(VLOOKUP(D1547,'[2]stock-take'!$G:$K,4,FALSE)), "OUT OF STOCK", VLOOKUP(D1547,'[2]stock-take'!$G:$K,4,FALSE)))</f>
        <v xml:space="preserve"> </v>
      </c>
      <c r="J1547" s="39">
        <f>IF(ISNA(VLOOKUP(D1547,'[2]stock-take'!$G:$K,3,FALSE)), 0, VLOOKUP(D1547,'[2]stock-take'!$G:$K,3,FALSE))</f>
        <v>0</v>
      </c>
      <c r="K1547" s="49" t="str">
        <f>IF(F1547="", " ", IF(ISNA(VLOOKUP(D1547,'[2]stock-take'!$M:$Q,4,FALSE)), "OUT OF STOCK", VLOOKUP(D1547,'[2]stock-take'!$M:$Q,4,FALSE)))</f>
        <v xml:space="preserve"> </v>
      </c>
      <c r="L1547" s="47">
        <f>IF(ISNA(VLOOKUP(D1547,'[2]stock-take'!$M:$Q,3,FALSE)), 0, VLOOKUP(D1547,'[2]stock-take'!$M:$Q,3,FALSE))</f>
        <v>0</v>
      </c>
      <c r="M1547" s="48" t="str">
        <f t="shared" si="70"/>
        <v xml:space="preserve"> </v>
      </c>
      <c r="N1547" s="39" t="str">
        <f t="shared" si="71"/>
        <v xml:space="preserve"> </v>
      </c>
    </row>
    <row r="1548" spans="1:14">
      <c r="A1548" s="37">
        <f t="shared" ref="A1548:A1611" si="72">ROW(A1548)-11</f>
        <v>1537</v>
      </c>
      <c r="G1548" s="48" t="str">
        <f>IF(F1548=""," ",IF(ISNA(VLOOKUP(D1548,'[2]stock-take'!$A:$E,4,FALSE)), "OUT OF STOCK", VLOOKUP(D1548,'[2]stock-take'!$A:$E,4,FALSE)))</f>
        <v xml:space="preserve"> </v>
      </c>
      <c r="H1548" s="48">
        <f>IF(ISNA(VLOOKUP(D1548,'[2]stock-take'!$A:$E,3,FALSE)), 0, VLOOKUP(D1548,'[2]stock-take'!$A:$E,3,FALSE))</f>
        <v>0</v>
      </c>
      <c r="I1548" s="48" t="str">
        <f>IF(F1548="", " ",IF(ISNA(VLOOKUP(D1548,'[2]stock-take'!$G:$K,4,FALSE)), "OUT OF STOCK", VLOOKUP(D1548,'[2]stock-take'!$G:$K,4,FALSE)))</f>
        <v xml:space="preserve"> </v>
      </c>
      <c r="J1548" s="39">
        <f>IF(ISNA(VLOOKUP(D1548,'[2]stock-take'!$G:$K,3,FALSE)), 0, VLOOKUP(D1548,'[2]stock-take'!$G:$K,3,FALSE))</f>
        <v>0</v>
      </c>
      <c r="K1548" s="49" t="str">
        <f>IF(F1548="", " ", IF(ISNA(VLOOKUP(D1548,'[2]stock-take'!$M:$Q,4,FALSE)), "OUT OF STOCK", VLOOKUP(D1548,'[2]stock-take'!$M:$Q,4,FALSE)))</f>
        <v xml:space="preserve"> </v>
      </c>
      <c r="L1548" s="47">
        <f>IF(ISNA(VLOOKUP(D1548,'[2]stock-take'!$M:$Q,3,FALSE)), 0, VLOOKUP(D1548,'[2]stock-take'!$M:$Q,3,FALSE))</f>
        <v>0</v>
      </c>
      <c r="M1548" s="48" t="str">
        <f t="shared" si="70"/>
        <v xml:space="preserve"> </v>
      </c>
      <c r="N1548" s="39" t="str">
        <f t="shared" si="71"/>
        <v xml:space="preserve"> </v>
      </c>
    </row>
    <row r="1549" spans="1:14">
      <c r="A1549" s="37">
        <f t="shared" si="72"/>
        <v>1538</v>
      </c>
      <c r="G1549" s="48" t="str">
        <f>IF(F1549=""," ",IF(ISNA(VLOOKUP(D1549,'[2]stock-take'!$A:$E,4,FALSE)), "OUT OF STOCK", VLOOKUP(D1549,'[2]stock-take'!$A:$E,4,FALSE)))</f>
        <v xml:space="preserve"> </v>
      </c>
      <c r="H1549" s="48">
        <f>IF(ISNA(VLOOKUP(D1549,'[2]stock-take'!$A:$E,3,FALSE)), 0, VLOOKUP(D1549,'[2]stock-take'!$A:$E,3,FALSE))</f>
        <v>0</v>
      </c>
      <c r="I1549" s="48" t="str">
        <f>IF(F1549="", " ",IF(ISNA(VLOOKUP(D1549,'[2]stock-take'!$G:$K,4,FALSE)), "OUT OF STOCK", VLOOKUP(D1549,'[2]stock-take'!$G:$K,4,FALSE)))</f>
        <v xml:space="preserve"> </v>
      </c>
      <c r="J1549" s="39">
        <f>IF(ISNA(VLOOKUP(D1549,'[2]stock-take'!$G:$K,3,FALSE)), 0, VLOOKUP(D1549,'[2]stock-take'!$G:$K,3,FALSE))</f>
        <v>0</v>
      </c>
      <c r="K1549" s="49" t="str">
        <f>IF(F1549="", " ", IF(ISNA(VLOOKUP(D1549,'[2]stock-take'!$M:$Q,4,FALSE)), "OUT OF STOCK", VLOOKUP(D1549,'[2]stock-take'!$M:$Q,4,FALSE)))</f>
        <v xml:space="preserve"> </v>
      </c>
      <c r="L1549" s="47">
        <f>IF(ISNA(VLOOKUP(D1549,'[2]stock-take'!$M:$Q,3,FALSE)), 0, VLOOKUP(D1549,'[2]stock-take'!$M:$Q,3,FALSE))</f>
        <v>0</v>
      </c>
      <c r="M1549" s="48" t="str">
        <f t="shared" ref="M1549:M1612" si="73">IF(F1549=""," ",IF(H1549&gt;=F1549,"Y",IF(J1549&gt;=F1549,"Y",IF(L1549&gt;=F1549,"Y",IF(SUM(H1549,J1549,L1549)&gt;=F1549,"Y","N")))))</f>
        <v xml:space="preserve"> </v>
      </c>
      <c r="N1549" s="39" t="str">
        <f t="shared" ref="N1549:N1612" si="74">IF(F1549=""," ",IF(H1549&gt;=F1549,"ILOOM",IF(J1549&gt;=F1549,"NO.6",IF(L1549&gt;=F1549,"RMD",IF(SUM(H1549,J1549,L1549)&gt;=F1549,"MULTI","LACK")))))</f>
        <v xml:space="preserve"> </v>
      </c>
    </row>
    <row r="1550" spans="1:14">
      <c r="A1550" s="37">
        <f t="shared" si="72"/>
        <v>1539</v>
      </c>
      <c r="G1550" s="48" t="str">
        <f>IF(F1550=""," ",IF(ISNA(VLOOKUP(D1550,'[2]stock-take'!$A:$E,4,FALSE)), "OUT OF STOCK", VLOOKUP(D1550,'[2]stock-take'!$A:$E,4,FALSE)))</f>
        <v xml:space="preserve"> </v>
      </c>
      <c r="H1550" s="48">
        <f>IF(ISNA(VLOOKUP(D1550,'[2]stock-take'!$A:$E,3,FALSE)), 0, VLOOKUP(D1550,'[2]stock-take'!$A:$E,3,FALSE))</f>
        <v>0</v>
      </c>
      <c r="I1550" s="48" t="str">
        <f>IF(F1550="", " ",IF(ISNA(VLOOKUP(D1550,'[2]stock-take'!$G:$K,4,FALSE)), "OUT OF STOCK", VLOOKUP(D1550,'[2]stock-take'!$G:$K,4,FALSE)))</f>
        <v xml:space="preserve"> </v>
      </c>
      <c r="J1550" s="39">
        <f>IF(ISNA(VLOOKUP(D1550,'[2]stock-take'!$G:$K,3,FALSE)), 0, VLOOKUP(D1550,'[2]stock-take'!$G:$K,3,FALSE))</f>
        <v>0</v>
      </c>
      <c r="K1550" s="49" t="str">
        <f>IF(F1550="", " ", IF(ISNA(VLOOKUP(D1550,'[2]stock-take'!$M:$Q,4,FALSE)), "OUT OF STOCK", VLOOKUP(D1550,'[2]stock-take'!$M:$Q,4,FALSE)))</f>
        <v xml:space="preserve"> </v>
      </c>
      <c r="L1550" s="47">
        <f>IF(ISNA(VLOOKUP(D1550,'[2]stock-take'!$M:$Q,3,FALSE)), 0, VLOOKUP(D1550,'[2]stock-take'!$M:$Q,3,FALSE))</f>
        <v>0</v>
      </c>
      <c r="M1550" s="48" t="str">
        <f t="shared" si="73"/>
        <v xml:space="preserve"> </v>
      </c>
      <c r="N1550" s="39" t="str">
        <f t="shared" si="74"/>
        <v xml:space="preserve"> </v>
      </c>
    </row>
    <row r="1551" spans="1:14">
      <c r="A1551" s="37">
        <f t="shared" si="72"/>
        <v>1540</v>
      </c>
      <c r="G1551" s="48" t="str">
        <f>IF(F1551=""," ",IF(ISNA(VLOOKUP(D1551,'[2]stock-take'!$A:$E,4,FALSE)), "OUT OF STOCK", VLOOKUP(D1551,'[2]stock-take'!$A:$E,4,FALSE)))</f>
        <v xml:space="preserve"> </v>
      </c>
      <c r="H1551" s="48">
        <f>IF(ISNA(VLOOKUP(D1551,'[2]stock-take'!$A:$E,3,FALSE)), 0, VLOOKUP(D1551,'[2]stock-take'!$A:$E,3,FALSE))</f>
        <v>0</v>
      </c>
      <c r="I1551" s="48" t="str">
        <f>IF(F1551="", " ",IF(ISNA(VLOOKUP(D1551,'[2]stock-take'!$G:$K,4,FALSE)), "OUT OF STOCK", VLOOKUP(D1551,'[2]stock-take'!$G:$K,4,FALSE)))</f>
        <v xml:space="preserve"> </v>
      </c>
      <c r="J1551" s="39">
        <f>IF(ISNA(VLOOKUP(D1551,'[2]stock-take'!$G:$K,3,FALSE)), 0, VLOOKUP(D1551,'[2]stock-take'!$G:$K,3,FALSE))</f>
        <v>0</v>
      </c>
      <c r="K1551" s="49" t="str">
        <f>IF(F1551="", " ", IF(ISNA(VLOOKUP(D1551,'[2]stock-take'!$M:$Q,4,FALSE)), "OUT OF STOCK", VLOOKUP(D1551,'[2]stock-take'!$M:$Q,4,FALSE)))</f>
        <v xml:space="preserve"> </v>
      </c>
      <c r="L1551" s="47">
        <f>IF(ISNA(VLOOKUP(D1551,'[2]stock-take'!$M:$Q,3,FALSE)), 0, VLOOKUP(D1551,'[2]stock-take'!$M:$Q,3,FALSE))</f>
        <v>0</v>
      </c>
      <c r="M1551" s="48" t="str">
        <f t="shared" si="73"/>
        <v xml:space="preserve"> </v>
      </c>
      <c r="N1551" s="39" t="str">
        <f t="shared" si="74"/>
        <v xml:space="preserve"> </v>
      </c>
    </row>
    <row r="1552" spans="1:14">
      <c r="A1552" s="37">
        <f t="shared" si="72"/>
        <v>1541</v>
      </c>
      <c r="G1552" s="48" t="str">
        <f>IF(F1552=""," ",IF(ISNA(VLOOKUP(D1552,'[2]stock-take'!$A:$E,4,FALSE)), "OUT OF STOCK", VLOOKUP(D1552,'[2]stock-take'!$A:$E,4,FALSE)))</f>
        <v xml:space="preserve"> </v>
      </c>
      <c r="H1552" s="48">
        <f>IF(ISNA(VLOOKUP(D1552,'[2]stock-take'!$A:$E,3,FALSE)), 0, VLOOKUP(D1552,'[2]stock-take'!$A:$E,3,FALSE))</f>
        <v>0</v>
      </c>
      <c r="I1552" s="48" t="str">
        <f>IF(F1552="", " ",IF(ISNA(VLOOKUP(D1552,'[2]stock-take'!$G:$K,4,FALSE)), "OUT OF STOCK", VLOOKUP(D1552,'[2]stock-take'!$G:$K,4,FALSE)))</f>
        <v xml:space="preserve"> </v>
      </c>
      <c r="J1552" s="39">
        <f>IF(ISNA(VLOOKUP(D1552,'[2]stock-take'!$G:$K,3,FALSE)), 0, VLOOKUP(D1552,'[2]stock-take'!$G:$K,3,FALSE))</f>
        <v>0</v>
      </c>
      <c r="K1552" s="49" t="str">
        <f>IF(F1552="", " ", IF(ISNA(VLOOKUP(D1552,'[2]stock-take'!$M:$Q,4,FALSE)), "OUT OF STOCK", VLOOKUP(D1552,'[2]stock-take'!$M:$Q,4,FALSE)))</f>
        <v xml:space="preserve"> </v>
      </c>
      <c r="L1552" s="47">
        <f>IF(ISNA(VLOOKUP(D1552,'[2]stock-take'!$M:$Q,3,FALSE)), 0, VLOOKUP(D1552,'[2]stock-take'!$M:$Q,3,FALSE))</f>
        <v>0</v>
      </c>
      <c r="M1552" s="48" t="str">
        <f t="shared" si="73"/>
        <v xml:space="preserve"> </v>
      </c>
      <c r="N1552" s="39" t="str">
        <f t="shared" si="74"/>
        <v xml:space="preserve"> </v>
      </c>
    </row>
    <row r="1553" spans="1:14">
      <c r="A1553" s="37">
        <f t="shared" si="72"/>
        <v>1542</v>
      </c>
      <c r="G1553" s="48" t="str">
        <f>IF(F1553=""," ",IF(ISNA(VLOOKUP(D1553,'[2]stock-take'!$A:$E,4,FALSE)), "OUT OF STOCK", VLOOKUP(D1553,'[2]stock-take'!$A:$E,4,FALSE)))</f>
        <v xml:space="preserve"> </v>
      </c>
      <c r="H1553" s="48">
        <f>IF(ISNA(VLOOKUP(D1553,'[2]stock-take'!$A:$E,3,FALSE)), 0, VLOOKUP(D1553,'[2]stock-take'!$A:$E,3,FALSE))</f>
        <v>0</v>
      </c>
      <c r="I1553" s="48" t="str">
        <f>IF(F1553="", " ",IF(ISNA(VLOOKUP(D1553,'[2]stock-take'!$G:$K,4,FALSE)), "OUT OF STOCK", VLOOKUP(D1553,'[2]stock-take'!$G:$K,4,FALSE)))</f>
        <v xml:space="preserve"> </v>
      </c>
      <c r="J1553" s="39">
        <f>IF(ISNA(VLOOKUP(D1553,'[2]stock-take'!$G:$K,3,FALSE)), 0, VLOOKUP(D1553,'[2]stock-take'!$G:$K,3,FALSE))</f>
        <v>0</v>
      </c>
      <c r="K1553" s="49" t="str">
        <f>IF(F1553="", " ", IF(ISNA(VLOOKUP(D1553,'[2]stock-take'!$M:$Q,4,FALSE)), "OUT OF STOCK", VLOOKUP(D1553,'[2]stock-take'!$M:$Q,4,FALSE)))</f>
        <v xml:space="preserve"> </v>
      </c>
      <c r="L1553" s="47">
        <f>IF(ISNA(VLOOKUP(D1553,'[2]stock-take'!$M:$Q,3,FALSE)), 0, VLOOKUP(D1553,'[2]stock-take'!$M:$Q,3,FALSE))</f>
        <v>0</v>
      </c>
      <c r="M1553" s="48" t="str">
        <f t="shared" si="73"/>
        <v xml:space="preserve"> </v>
      </c>
      <c r="N1553" s="39" t="str">
        <f t="shared" si="74"/>
        <v xml:space="preserve"> </v>
      </c>
    </row>
    <row r="1554" spans="1:14">
      <c r="A1554" s="37">
        <f t="shared" si="72"/>
        <v>1543</v>
      </c>
      <c r="G1554" s="48" t="str">
        <f>IF(F1554=""," ",IF(ISNA(VLOOKUP(D1554,'[2]stock-take'!$A:$E,4,FALSE)), "OUT OF STOCK", VLOOKUP(D1554,'[2]stock-take'!$A:$E,4,FALSE)))</f>
        <v xml:space="preserve"> </v>
      </c>
      <c r="H1554" s="48">
        <f>IF(ISNA(VLOOKUP(D1554,'[2]stock-take'!$A:$E,3,FALSE)), 0, VLOOKUP(D1554,'[2]stock-take'!$A:$E,3,FALSE))</f>
        <v>0</v>
      </c>
      <c r="I1554" s="48" t="str">
        <f>IF(F1554="", " ",IF(ISNA(VLOOKUP(D1554,'[2]stock-take'!$G:$K,4,FALSE)), "OUT OF STOCK", VLOOKUP(D1554,'[2]stock-take'!$G:$K,4,FALSE)))</f>
        <v xml:space="preserve"> </v>
      </c>
      <c r="J1554" s="39">
        <f>IF(ISNA(VLOOKUP(D1554,'[2]stock-take'!$G:$K,3,FALSE)), 0, VLOOKUP(D1554,'[2]stock-take'!$G:$K,3,FALSE))</f>
        <v>0</v>
      </c>
      <c r="K1554" s="49" t="str">
        <f>IF(F1554="", " ", IF(ISNA(VLOOKUP(D1554,'[2]stock-take'!$M:$Q,4,FALSE)), "OUT OF STOCK", VLOOKUP(D1554,'[2]stock-take'!$M:$Q,4,FALSE)))</f>
        <v xml:space="preserve"> </v>
      </c>
      <c r="L1554" s="47">
        <f>IF(ISNA(VLOOKUP(D1554,'[2]stock-take'!$M:$Q,3,FALSE)), 0, VLOOKUP(D1554,'[2]stock-take'!$M:$Q,3,FALSE))</f>
        <v>0</v>
      </c>
      <c r="M1554" s="48" t="str">
        <f t="shared" si="73"/>
        <v xml:space="preserve"> </v>
      </c>
      <c r="N1554" s="39" t="str">
        <f t="shared" si="74"/>
        <v xml:space="preserve"> </v>
      </c>
    </row>
    <row r="1555" spans="1:14">
      <c r="A1555" s="37">
        <f t="shared" si="72"/>
        <v>1544</v>
      </c>
      <c r="G1555" s="48" t="str">
        <f>IF(F1555=""," ",IF(ISNA(VLOOKUP(D1555,'[2]stock-take'!$A:$E,4,FALSE)), "OUT OF STOCK", VLOOKUP(D1555,'[2]stock-take'!$A:$E,4,FALSE)))</f>
        <v xml:space="preserve"> </v>
      </c>
      <c r="H1555" s="48">
        <f>IF(ISNA(VLOOKUP(D1555,'[2]stock-take'!$A:$E,3,FALSE)), 0, VLOOKUP(D1555,'[2]stock-take'!$A:$E,3,FALSE))</f>
        <v>0</v>
      </c>
      <c r="I1555" s="48" t="str">
        <f>IF(F1555="", " ",IF(ISNA(VLOOKUP(D1555,'[2]stock-take'!$G:$K,4,FALSE)), "OUT OF STOCK", VLOOKUP(D1555,'[2]stock-take'!$G:$K,4,FALSE)))</f>
        <v xml:space="preserve"> </v>
      </c>
      <c r="J1555" s="39">
        <f>IF(ISNA(VLOOKUP(D1555,'[2]stock-take'!$G:$K,3,FALSE)), 0, VLOOKUP(D1555,'[2]stock-take'!$G:$K,3,FALSE))</f>
        <v>0</v>
      </c>
      <c r="K1555" s="49" t="str">
        <f>IF(F1555="", " ", IF(ISNA(VLOOKUP(D1555,'[2]stock-take'!$M:$Q,4,FALSE)), "OUT OF STOCK", VLOOKUP(D1555,'[2]stock-take'!$M:$Q,4,FALSE)))</f>
        <v xml:space="preserve"> </v>
      </c>
      <c r="L1555" s="47">
        <f>IF(ISNA(VLOOKUP(D1555,'[2]stock-take'!$M:$Q,3,FALSE)), 0, VLOOKUP(D1555,'[2]stock-take'!$M:$Q,3,FALSE))</f>
        <v>0</v>
      </c>
      <c r="M1555" s="48" t="str">
        <f t="shared" si="73"/>
        <v xml:space="preserve"> </v>
      </c>
      <c r="N1555" s="39" t="str">
        <f t="shared" si="74"/>
        <v xml:space="preserve"> </v>
      </c>
    </row>
    <row r="1556" spans="1:14">
      <c r="A1556" s="37">
        <f t="shared" si="72"/>
        <v>1545</v>
      </c>
      <c r="G1556" s="48" t="str">
        <f>IF(F1556=""," ",IF(ISNA(VLOOKUP(D1556,'[2]stock-take'!$A:$E,4,FALSE)), "OUT OF STOCK", VLOOKUP(D1556,'[2]stock-take'!$A:$E,4,FALSE)))</f>
        <v xml:space="preserve"> </v>
      </c>
      <c r="H1556" s="48">
        <f>IF(ISNA(VLOOKUP(D1556,'[2]stock-take'!$A:$E,3,FALSE)), 0, VLOOKUP(D1556,'[2]stock-take'!$A:$E,3,FALSE))</f>
        <v>0</v>
      </c>
      <c r="I1556" s="48" t="str">
        <f>IF(F1556="", " ",IF(ISNA(VLOOKUP(D1556,'[2]stock-take'!$G:$K,4,FALSE)), "OUT OF STOCK", VLOOKUP(D1556,'[2]stock-take'!$G:$K,4,FALSE)))</f>
        <v xml:space="preserve"> </v>
      </c>
      <c r="J1556" s="39">
        <f>IF(ISNA(VLOOKUP(D1556,'[2]stock-take'!$G:$K,3,FALSE)), 0, VLOOKUP(D1556,'[2]stock-take'!$G:$K,3,FALSE))</f>
        <v>0</v>
      </c>
      <c r="K1556" s="49" t="str">
        <f>IF(F1556="", " ", IF(ISNA(VLOOKUP(D1556,'[2]stock-take'!$M:$Q,4,FALSE)), "OUT OF STOCK", VLOOKUP(D1556,'[2]stock-take'!$M:$Q,4,FALSE)))</f>
        <v xml:space="preserve"> </v>
      </c>
      <c r="L1556" s="47">
        <f>IF(ISNA(VLOOKUP(D1556,'[2]stock-take'!$M:$Q,3,FALSE)), 0, VLOOKUP(D1556,'[2]stock-take'!$M:$Q,3,FALSE))</f>
        <v>0</v>
      </c>
      <c r="M1556" s="48" t="str">
        <f t="shared" si="73"/>
        <v xml:space="preserve"> </v>
      </c>
      <c r="N1556" s="39" t="str">
        <f t="shared" si="74"/>
        <v xml:space="preserve"> </v>
      </c>
    </row>
    <row r="1557" spans="1:14">
      <c r="A1557" s="37">
        <f t="shared" si="72"/>
        <v>1546</v>
      </c>
      <c r="G1557" s="48" t="str">
        <f>IF(F1557=""," ",IF(ISNA(VLOOKUP(D1557,'[2]stock-take'!$A:$E,4,FALSE)), "OUT OF STOCK", VLOOKUP(D1557,'[2]stock-take'!$A:$E,4,FALSE)))</f>
        <v xml:space="preserve"> </v>
      </c>
      <c r="H1557" s="48">
        <f>IF(ISNA(VLOOKUP(D1557,'[2]stock-take'!$A:$E,3,FALSE)), 0, VLOOKUP(D1557,'[2]stock-take'!$A:$E,3,FALSE))</f>
        <v>0</v>
      </c>
      <c r="I1557" s="48" t="str">
        <f>IF(F1557="", " ",IF(ISNA(VLOOKUP(D1557,'[2]stock-take'!$G:$K,4,FALSE)), "OUT OF STOCK", VLOOKUP(D1557,'[2]stock-take'!$G:$K,4,FALSE)))</f>
        <v xml:space="preserve"> </v>
      </c>
      <c r="J1557" s="39">
        <f>IF(ISNA(VLOOKUP(D1557,'[2]stock-take'!$G:$K,3,FALSE)), 0, VLOOKUP(D1557,'[2]stock-take'!$G:$K,3,FALSE))</f>
        <v>0</v>
      </c>
      <c r="K1557" s="49" t="str">
        <f>IF(F1557="", " ", IF(ISNA(VLOOKUP(D1557,'[2]stock-take'!$M:$Q,4,FALSE)), "OUT OF STOCK", VLOOKUP(D1557,'[2]stock-take'!$M:$Q,4,FALSE)))</f>
        <v xml:space="preserve"> </v>
      </c>
      <c r="L1557" s="47">
        <f>IF(ISNA(VLOOKUP(D1557,'[2]stock-take'!$M:$Q,3,FALSE)), 0, VLOOKUP(D1557,'[2]stock-take'!$M:$Q,3,FALSE))</f>
        <v>0</v>
      </c>
      <c r="M1557" s="48" t="str">
        <f t="shared" si="73"/>
        <v xml:space="preserve"> </v>
      </c>
      <c r="N1557" s="39" t="str">
        <f t="shared" si="74"/>
        <v xml:space="preserve"> </v>
      </c>
    </row>
    <row r="1558" spans="1:14">
      <c r="A1558" s="37">
        <f t="shared" si="72"/>
        <v>1547</v>
      </c>
      <c r="G1558" s="48" t="str">
        <f>IF(F1558=""," ",IF(ISNA(VLOOKUP(D1558,'[2]stock-take'!$A:$E,4,FALSE)), "OUT OF STOCK", VLOOKUP(D1558,'[2]stock-take'!$A:$E,4,FALSE)))</f>
        <v xml:space="preserve"> </v>
      </c>
      <c r="H1558" s="48">
        <f>IF(ISNA(VLOOKUP(D1558,'[2]stock-take'!$A:$E,3,FALSE)), 0, VLOOKUP(D1558,'[2]stock-take'!$A:$E,3,FALSE))</f>
        <v>0</v>
      </c>
      <c r="I1558" s="48" t="str">
        <f>IF(F1558="", " ",IF(ISNA(VLOOKUP(D1558,'[2]stock-take'!$G:$K,4,FALSE)), "OUT OF STOCK", VLOOKUP(D1558,'[2]stock-take'!$G:$K,4,FALSE)))</f>
        <v xml:space="preserve"> </v>
      </c>
      <c r="J1558" s="39">
        <f>IF(ISNA(VLOOKUP(D1558,'[2]stock-take'!$G:$K,3,FALSE)), 0, VLOOKUP(D1558,'[2]stock-take'!$G:$K,3,FALSE))</f>
        <v>0</v>
      </c>
      <c r="K1558" s="49" t="str">
        <f>IF(F1558="", " ", IF(ISNA(VLOOKUP(D1558,'[2]stock-take'!$M:$Q,4,FALSE)), "OUT OF STOCK", VLOOKUP(D1558,'[2]stock-take'!$M:$Q,4,FALSE)))</f>
        <v xml:space="preserve"> </v>
      </c>
      <c r="L1558" s="47">
        <f>IF(ISNA(VLOOKUP(D1558,'[2]stock-take'!$M:$Q,3,FALSE)), 0, VLOOKUP(D1558,'[2]stock-take'!$M:$Q,3,FALSE))</f>
        <v>0</v>
      </c>
      <c r="M1558" s="48" t="str">
        <f t="shared" si="73"/>
        <v xml:space="preserve"> </v>
      </c>
      <c r="N1558" s="39" t="str">
        <f t="shared" si="74"/>
        <v xml:space="preserve"> </v>
      </c>
    </row>
    <row r="1559" spans="1:14">
      <c r="A1559" s="37">
        <f t="shared" si="72"/>
        <v>1548</v>
      </c>
      <c r="G1559" s="48" t="str">
        <f>IF(F1559=""," ",IF(ISNA(VLOOKUP(D1559,'[2]stock-take'!$A:$E,4,FALSE)), "OUT OF STOCK", VLOOKUP(D1559,'[2]stock-take'!$A:$E,4,FALSE)))</f>
        <v xml:space="preserve"> </v>
      </c>
      <c r="H1559" s="48">
        <f>IF(ISNA(VLOOKUP(D1559,'[2]stock-take'!$A:$E,3,FALSE)), 0, VLOOKUP(D1559,'[2]stock-take'!$A:$E,3,FALSE))</f>
        <v>0</v>
      </c>
      <c r="I1559" s="48" t="str">
        <f>IF(F1559="", " ",IF(ISNA(VLOOKUP(D1559,'[2]stock-take'!$G:$K,4,FALSE)), "OUT OF STOCK", VLOOKUP(D1559,'[2]stock-take'!$G:$K,4,FALSE)))</f>
        <v xml:space="preserve"> </v>
      </c>
      <c r="J1559" s="39">
        <f>IF(ISNA(VLOOKUP(D1559,'[2]stock-take'!$G:$K,3,FALSE)), 0, VLOOKUP(D1559,'[2]stock-take'!$G:$K,3,FALSE))</f>
        <v>0</v>
      </c>
      <c r="K1559" s="49" t="str">
        <f>IF(F1559="", " ", IF(ISNA(VLOOKUP(D1559,'[2]stock-take'!$M:$Q,4,FALSE)), "OUT OF STOCK", VLOOKUP(D1559,'[2]stock-take'!$M:$Q,4,FALSE)))</f>
        <v xml:space="preserve"> </v>
      </c>
      <c r="L1559" s="47">
        <f>IF(ISNA(VLOOKUP(D1559,'[2]stock-take'!$M:$Q,3,FALSE)), 0, VLOOKUP(D1559,'[2]stock-take'!$M:$Q,3,FALSE))</f>
        <v>0</v>
      </c>
      <c r="M1559" s="48" t="str">
        <f t="shared" si="73"/>
        <v xml:space="preserve"> </v>
      </c>
      <c r="N1559" s="39" t="str">
        <f t="shared" si="74"/>
        <v xml:space="preserve"> </v>
      </c>
    </row>
    <row r="1560" spans="1:14">
      <c r="A1560" s="37">
        <f t="shared" si="72"/>
        <v>1549</v>
      </c>
      <c r="G1560" s="48" t="str">
        <f>IF(F1560=""," ",IF(ISNA(VLOOKUP(D1560,'[2]stock-take'!$A:$E,4,FALSE)), "OUT OF STOCK", VLOOKUP(D1560,'[2]stock-take'!$A:$E,4,FALSE)))</f>
        <v xml:space="preserve"> </v>
      </c>
      <c r="H1560" s="48">
        <f>IF(ISNA(VLOOKUP(D1560,'[2]stock-take'!$A:$E,3,FALSE)), 0, VLOOKUP(D1560,'[2]stock-take'!$A:$E,3,FALSE))</f>
        <v>0</v>
      </c>
      <c r="I1560" s="48" t="str">
        <f>IF(F1560="", " ",IF(ISNA(VLOOKUP(D1560,'[2]stock-take'!$G:$K,4,FALSE)), "OUT OF STOCK", VLOOKUP(D1560,'[2]stock-take'!$G:$K,4,FALSE)))</f>
        <v xml:space="preserve"> </v>
      </c>
      <c r="J1560" s="39">
        <f>IF(ISNA(VLOOKUP(D1560,'[2]stock-take'!$G:$K,3,FALSE)), 0, VLOOKUP(D1560,'[2]stock-take'!$G:$K,3,FALSE))</f>
        <v>0</v>
      </c>
      <c r="K1560" s="49" t="str">
        <f>IF(F1560="", " ", IF(ISNA(VLOOKUP(D1560,'[2]stock-take'!$M:$Q,4,FALSE)), "OUT OF STOCK", VLOOKUP(D1560,'[2]stock-take'!$M:$Q,4,FALSE)))</f>
        <v xml:space="preserve"> </v>
      </c>
      <c r="L1560" s="47">
        <f>IF(ISNA(VLOOKUP(D1560,'[2]stock-take'!$M:$Q,3,FALSE)), 0, VLOOKUP(D1560,'[2]stock-take'!$M:$Q,3,FALSE))</f>
        <v>0</v>
      </c>
      <c r="M1560" s="48" t="str">
        <f t="shared" si="73"/>
        <v xml:space="preserve"> </v>
      </c>
      <c r="N1560" s="39" t="str">
        <f t="shared" si="74"/>
        <v xml:space="preserve"> </v>
      </c>
    </row>
    <row r="1561" spans="1:14">
      <c r="A1561" s="37">
        <f t="shared" si="72"/>
        <v>1550</v>
      </c>
      <c r="G1561" s="48" t="str">
        <f>IF(F1561=""," ",IF(ISNA(VLOOKUP(D1561,'[2]stock-take'!$A:$E,4,FALSE)), "OUT OF STOCK", VLOOKUP(D1561,'[2]stock-take'!$A:$E,4,FALSE)))</f>
        <v xml:space="preserve"> </v>
      </c>
      <c r="H1561" s="48">
        <f>IF(ISNA(VLOOKUP(D1561,'[2]stock-take'!$A:$E,3,FALSE)), 0, VLOOKUP(D1561,'[2]stock-take'!$A:$E,3,FALSE))</f>
        <v>0</v>
      </c>
      <c r="I1561" s="48" t="str">
        <f>IF(F1561="", " ",IF(ISNA(VLOOKUP(D1561,'[2]stock-take'!$G:$K,4,FALSE)), "OUT OF STOCK", VLOOKUP(D1561,'[2]stock-take'!$G:$K,4,FALSE)))</f>
        <v xml:space="preserve"> </v>
      </c>
      <c r="J1561" s="39">
        <f>IF(ISNA(VLOOKUP(D1561,'[2]stock-take'!$G:$K,3,FALSE)), 0, VLOOKUP(D1561,'[2]stock-take'!$G:$K,3,FALSE))</f>
        <v>0</v>
      </c>
      <c r="K1561" s="49" t="str">
        <f>IF(F1561="", " ", IF(ISNA(VLOOKUP(D1561,'[2]stock-take'!$M:$Q,4,FALSE)), "OUT OF STOCK", VLOOKUP(D1561,'[2]stock-take'!$M:$Q,4,FALSE)))</f>
        <v xml:space="preserve"> </v>
      </c>
      <c r="L1561" s="47">
        <f>IF(ISNA(VLOOKUP(D1561,'[2]stock-take'!$M:$Q,3,FALSE)), 0, VLOOKUP(D1561,'[2]stock-take'!$M:$Q,3,FALSE))</f>
        <v>0</v>
      </c>
      <c r="M1561" s="48" t="str">
        <f t="shared" si="73"/>
        <v xml:space="preserve"> </v>
      </c>
      <c r="N1561" s="39" t="str">
        <f t="shared" si="74"/>
        <v xml:space="preserve"> </v>
      </c>
    </row>
    <row r="1562" spans="1:14">
      <c r="A1562" s="37">
        <f t="shared" si="72"/>
        <v>1551</v>
      </c>
      <c r="G1562" s="48" t="str">
        <f>IF(F1562=""," ",IF(ISNA(VLOOKUP(D1562,'[2]stock-take'!$A:$E,4,FALSE)), "OUT OF STOCK", VLOOKUP(D1562,'[2]stock-take'!$A:$E,4,FALSE)))</f>
        <v xml:space="preserve"> </v>
      </c>
      <c r="H1562" s="48">
        <f>IF(ISNA(VLOOKUP(D1562,'[2]stock-take'!$A:$E,3,FALSE)), 0, VLOOKUP(D1562,'[2]stock-take'!$A:$E,3,FALSE))</f>
        <v>0</v>
      </c>
      <c r="I1562" s="48" t="str">
        <f>IF(F1562="", " ",IF(ISNA(VLOOKUP(D1562,'[2]stock-take'!$G:$K,4,FALSE)), "OUT OF STOCK", VLOOKUP(D1562,'[2]stock-take'!$G:$K,4,FALSE)))</f>
        <v xml:space="preserve"> </v>
      </c>
      <c r="J1562" s="39">
        <f>IF(ISNA(VLOOKUP(D1562,'[2]stock-take'!$G:$K,3,FALSE)), 0, VLOOKUP(D1562,'[2]stock-take'!$G:$K,3,FALSE))</f>
        <v>0</v>
      </c>
      <c r="K1562" s="49" t="str">
        <f>IF(F1562="", " ", IF(ISNA(VLOOKUP(D1562,'[2]stock-take'!$M:$Q,4,FALSE)), "OUT OF STOCK", VLOOKUP(D1562,'[2]stock-take'!$M:$Q,4,FALSE)))</f>
        <v xml:space="preserve"> </v>
      </c>
      <c r="L1562" s="47">
        <f>IF(ISNA(VLOOKUP(D1562,'[2]stock-take'!$M:$Q,3,FALSE)), 0, VLOOKUP(D1562,'[2]stock-take'!$M:$Q,3,FALSE))</f>
        <v>0</v>
      </c>
      <c r="M1562" s="48" t="str">
        <f t="shared" si="73"/>
        <v xml:space="preserve"> </v>
      </c>
      <c r="N1562" s="39" t="str">
        <f t="shared" si="74"/>
        <v xml:space="preserve"> </v>
      </c>
    </row>
    <row r="1563" spans="1:14">
      <c r="A1563" s="37">
        <f t="shared" si="72"/>
        <v>1552</v>
      </c>
      <c r="G1563" s="48" t="str">
        <f>IF(F1563=""," ",IF(ISNA(VLOOKUP(D1563,'[2]stock-take'!$A:$E,4,FALSE)), "OUT OF STOCK", VLOOKUP(D1563,'[2]stock-take'!$A:$E,4,FALSE)))</f>
        <v xml:space="preserve"> </v>
      </c>
      <c r="H1563" s="48">
        <f>IF(ISNA(VLOOKUP(D1563,'[2]stock-take'!$A:$E,3,FALSE)), 0, VLOOKUP(D1563,'[2]stock-take'!$A:$E,3,FALSE))</f>
        <v>0</v>
      </c>
      <c r="I1563" s="48" t="str">
        <f>IF(F1563="", " ",IF(ISNA(VLOOKUP(D1563,'[2]stock-take'!$G:$K,4,FALSE)), "OUT OF STOCK", VLOOKUP(D1563,'[2]stock-take'!$G:$K,4,FALSE)))</f>
        <v xml:space="preserve"> </v>
      </c>
      <c r="J1563" s="39">
        <f>IF(ISNA(VLOOKUP(D1563,'[2]stock-take'!$G:$K,3,FALSE)), 0, VLOOKUP(D1563,'[2]stock-take'!$G:$K,3,FALSE))</f>
        <v>0</v>
      </c>
      <c r="K1563" s="49" t="str">
        <f>IF(F1563="", " ", IF(ISNA(VLOOKUP(D1563,'[2]stock-take'!$M:$Q,4,FALSE)), "OUT OF STOCK", VLOOKUP(D1563,'[2]stock-take'!$M:$Q,4,FALSE)))</f>
        <v xml:space="preserve"> </v>
      </c>
      <c r="L1563" s="47">
        <f>IF(ISNA(VLOOKUP(D1563,'[2]stock-take'!$M:$Q,3,FALSE)), 0, VLOOKUP(D1563,'[2]stock-take'!$M:$Q,3,FALSE))</f>
        <v>0</v>
      </c>
      <c r="M1563" s="48" t="str">
        <f t="shared" si="73"/>
        <v xml:space="preserve"> </v>
      </c>
      <c r="N1563" s="39" t="str">
        <f t="shared" si="74"/>
        <v xml:space="preserve"> </v>
      </c>
    </row>
    <row r="1564" spans="1:14">
      <c r="A1564" s="37">
        <f t="shared" si="72"/>
        <v>1553</v>
      </c>
      <c r="G1564" s="48" t="str">
        <f>IF(F1564=""," ",IF(ISNA(VLOOKUP(D1564,'[2]stock-take'!$A:$E,4,FALSE)), "OUT OF STOCK", VLOOKUP(D1564,'[2]stock-take'!$A:$E,4,FALSE)))</f>
        <v xml:space="preserve"> </v>
      </c>
      <c r="H1564" s="48">
        <f>IF(ISNA(VLOOKUP(D1564,'[2]stock-take'!$A:$E,3,FALSE)), 0, VLOOKUP(D1564,'[2]stock-take'!$A:$E,3,FALSE))</f>
        <v>0</v>
      </c>
      <c r="I1564" s="48" t="str">
        <f>IF(F1564="", " ",IF(ISNA(VLOOKUP(D1564,'[2]stock-take'!$G:$K,4,FALSE)), "OUT OF STOCK", VLOOKUP(D1564,'[2]stock-take'!$G:$K,4,FALSE)))</f>
        <v xml:space="preserve"> </v>
      </c>
      <c r="J1564" s="39">
        <f>IF(ISNA(VLOOKUP(D1564,'[2]stock-take'!$G:$K,3,FALSE)), 0, VLOOKUP(D1564,'[2]stock-take'!$G:$K,3,FALSE))</f>
        <v>0</v>
      </c>
      <c r="K1564" s="49" t="str">
        <f>IF(F1564="", " ", IF(ISNA(VLOOKUP(D1564,'[2]stock-take'!$M:$Q,4,FALSE)), "OUT OF STOCK", VLOOKUP(D1564,'[2]stock-take'!$M:$Q,4,FALSE)))</f>
        <v xml:space="preserve"> </v>
      </c>
      <c r="L1564" s="47">
        <f>IF(ISNA(VLOOKUP(D1564,'[2]stock-take'!$M:$Q,3,FALSE)), 0, VLOOKUP(D1564,'[2]stock-take'!$M:$Q,3,FALSE))</f>
        <v>0</v>
      </c>
      <c r="M1564" s="48" t="str">
        <f t="shared" si="73"/>
        <v xml:space="preserve"> </v>
      </c>
      <c r="N1564" s="39" t="str">
        <f t="shared" si="74"/>
        <v xml:space="preserve"> </v>
      </c>
    </row>
    <row r="1565" spans="1:14">
      <c r="A1565" s="37">
        <f t="shared" si="72"/>
        <v>1554</v>
      </c>
      <c r="G1565" s="48" t="str">
        <f>IF(F1565=""," ",IF(ISNA(VLOOKUP(D1565,'[2]stock-take'!$A:$E,4,FALSE)), "OUT OF STOCK", VLOOKUP(D1565,'[2]stock-take'!$A:$E,4,FALSE)))</f>
        <v xml:space="preserve"> </v>
      </c>
      <c r="H1565" s="48">
        <f>IF(ISNA(VLOOKUP(D1565,'[2]stock-take'!$A:$E,3,FALSE)), 0, VLOOKUP(D1565,'[2]stock-take'!$A:$E,3,FALSE))</f>
        <v>0</v>
      </c>
      <c r="I1565" s="48" t="str">
        <f>IF(F1565="", " ",IF(ISNA(VLOOKUP(D1565,'[2]stock-take'!$G:$K,4,FALSE)), "OUT OF STOCK", VLOOKUP(D1565,'[2]stock-take'!$G:$K,4,FALSE)))</f>
        <v xml:space="preserve"> </v>
      </c>
      <c r="J1565" s="39">
        <f>IF(ISNA(VLOOKUP(D1565,'[2]stock-take'!$G:$K,3,FALSE)), 0, VLOOKUP(D1565,'[2]stock-take'!$G:$K,3,FALSE))</f>
        <v>0</v>
      </c>
      <c r="K1565" s="49" t="str">
        <f>IF(F1565="", " ", IF(ISNA(VLOOKUP(D1565,'[2]stock-take'!$M:$Q,4,FALSE)), "OUT OF STOCK", VLOOKUP(D1565,'[2]stock-take'!$M:$Q,4,FALSE)))</f>
        <v xml:space="preserve"> </v>
      </c>
      <c r="L1565" s="47">
        <f>IF(ISNA(VLOOKUP(D1565,'[2]stock-take'!$M:$Q,3,FALSE)), 0, VLOOKUP(D1565,'[2]stock-take'!$M:$Q,3,FALSE))</f>
        <v>0</v>
      </c>
      <c r="M1565" s="48" t="str">
        <f t="shared" si="73"/>
        <v xml:space="preserve"> </v>
      </c>
      <c r="N1565" s="39" t="str">
        <f t="shared" si="74"/>
        <v xml:space="preserve"> </v>
      </c>
    </row>
    <row r="1566" spans="1:14">
      <c r="A1566" s="37">
        <f t="shared" si="72"/>
        <v>1555</v>
      </c>
      <c r="G1566" s="48" t="str">
        <f>IF(F1566=""," ",IF(ISNA(VLOOKUP(D1566,'[2]stock-take'!$A:$E,4,FALSE)), "OUT OF STOCK", VLOOKUP(D1566,'[2]stock-take'!$A:$E,4,FALSE)))</f>
        <v xml:space="preserve"> </v>
      </c>
      <c r="H1566" s="48">
        <f>IF(ISNA(VLOOKUP(D1566,'[2]stock-take'!$A:$E,3,FALSE)), 0, VLOOKUP(D1566,'[2]stock-take'!$A:$E,3,FALSE))</f>
        <v>0</v>
      </c>
      <c r="I1566" s="48" t="str">
        <f>IF(F1566="", " ",IF(ISNA(VLOOKUP(D1566,'[2]stock-take'!$G:$K,4,FALSE)), "OUT OF STOCK", VLOOKUP(D1566,'[2]stock-take'!$G:$K,4,FALSE)))</f>
        <v xml:space="preserve"> </v>
      </c>
      <c r="J1566" s="39">
        <f>IF(ISNA(VLOOKUP(D1566,'[2]stock-take'!$G:$K,3,FALSE)), 0, VLOOKUP(D1566,'[2]stock-take'!$G:$K,3,FALSE))</f>
        <v>0</v>
      </c>
      <c r="K1566" s="49" t="str">
        <f>IF(F1566="", " ", IF(ISNA(VLOOKUP(D1566,'[2]stock-take'!$M:$Q,4,FALSE)), "OUT OF STOCK", VLOOKUP(D1566,'[2]stock-take'!$M:$Q,4,FALSE)))</f>
        <v xml:space="preserve"> </v>
      </c>
      <c r="L1566" s="47">
        <f>IF(ISNA(VLOOKUP(D1566,'[2]stock-take'!$M:$Q,3,FALSE)), 0, VLOOKUP(D1566,'[2]stock-take'!$M:$Q,3,FALSE))</f>
        <v>0</v>
      </c>
      <c r="M1566" s="48" t="str">
        <f t="shared" si="73"/>
        <v xml:space="preserve"> </v>
      </c>
      <c r="N1566" s="39" t="str">
        <f t="shared" si="74"/>
        <v xml:space="preserve"> </v>
      </c>
    </row>
    <row r="1567" spans="1:14">
      <c r="A1567" s="37">
        <f t="shared" si="72"/>
        <v>1556</v>
      </c>
      <c r="G1567" s="48" t="str">
        <f>IF(F1567=""," ",IF(ISNA(VLOOKUP(D1567,'[2]stock-take'!$A:$E,4,FALSE)), "OUT OF STOCK", VLOOKUP(D1567,'[2]stock-take'!$A:$E,4,FALSE)))</f>
        <v xml:space="preserve"> </v>
      </c>
      <c r="H1567" s="48">
        <f>IF(ISNA(VLOOKUP(D1567,'[2]stock-take'!$A:$E,3,FALSE)), 0, VLOOKUP(D1567,'[2]stock-take'!$A:$E,3,FALSE))</f>
        <v>0</v>
      </c>
      <c r="I1567" s="48" t="str">
        <f>IF(F1567="", " ",IF(ISNA(VLOOKUP(D1567,'[2]stock-take'!$G:$K,4,FALSE)), "OUT OF STOCK", VLOOKUP(D1567,'[2]stock-take'!$G:$K,4,FALSE)))</f>
        <v xml:space="preserve"> </v>
      </c>
      <c r="J1567" s="39">
        <f>IF(ISNA(VLOOKUP(D1567,'[2]stock-take'!$G:$K,3,FALSE)), 0, VLOOKUP(D1567,'[2]stock-take'!$G:$K,3,FALSE))</f>
        <v>0</v>
      </c>
      <c r="K1567" s="49" t="str">
        <f>IF(F1567="", " ", IF(ISNA(VLOOKUP(D1567,'[2]stock-take'!$M:$Q,4,FALSE)), "OUT OF STOCK", VLOOKUP(D1567,'[2]stock-take'!$M:$Q,4,FALSE)))</f>
        <v xml:space="preserve"> </v>
      </c>
      <c r="L1567" s="47">
        <f>IF(ISNA(VLOOKUP(D1567,'[2]stock-take'!$M:$Q,3,FALSE)), 0, VLOOKUP(D1567,'[2]stock-take'!$M:$Q,3,FALSE))</f>
        <v>0</v>
      </c>
      <c r="M1567" s="48" t="str">
        <f t="shared" si="73"/>
        <v xml:space="preserve"> </v>
      </c>
      <c r="N1567" s="39" t="str">
        <f t="shared" si="74"/>
        <v xml:space="preserve"> </v>
      </c>
    </row>
    <row r="1568" spans="1:14">
      <c r="A1568" s="37">
        <f t="shared" si="72"/>
        <v>1557</v>
      </c>
      <c r="G1568" s="48" t="str">
        <f>IF(F1568=""," ",IF(ISNA(VLOOKUP(D1568,'[2]stock-take'!$A:$E,4,FALSE)), "OUT OF STOCK", VLOOKUP(D1568,'[2]stock-take'!$A:$E,4,FALSE)))</f>
        <v xml:space="preserve"> </v>
      </c>
      <c r="H1568" s="48">
        <f>IF(ISNA(VLOOKUP(D1568,'[2]stock-take'!$A:$E,3,FALSE)), 0, VLOOKUP(D1568,'[2]stock-take'!$A:$E,3,FALSE))</f>
        <v>0</v>
      </c>
      <c r="I1568" s="48" t="str">
        <f>IF(F1568="", " ",IF(ISNA(VLOOKUP(D1568,'[2]stock-take'!$G:$K,4,FALSE)), "OUT OF STOCK", VLOOKUP(D1568,'[2]stock-take'!$G:$K,4,FALSE)))</f>
        <v xml:space="preserve"> </v>
      </c>
      <c r="J1568" s="39">
        <f>IF(ISNA(VLOOKUP(D1568,'[2]stock-take'!$G:$K,3,FALSE)), 0, VLOOKUP(D1568,'[2]stock-take'!$G:$K,3,FALSE))</f>
        <v>0</v>
      </c>
      <c r="K1568" s="49" t="str">
        <f>IF(F1568="", " ", IF(ISNA(VLOOKUP(D1568,'[2]stock-take'!$M:$Q,4,FALSE)), "OUT OF STOCK", VLOOKUP(D1568,'[2]stock-take'!$M:$Q,4,FALSE)))</f>
        <v xml:space="preserve"> </v>
      </c>
      <c r="L1568" s="47">
        <f>IF(ISNA(VLOOKUP(D1568,'[2]stock-take'!$M:$Q,3,FALSE)), 0, VLOOKUP(D1568,'[2]stock-take'!$M:$Q,3,FALSE))</f>
        <v>0</v>
      </c>
      <c r="M1568" s="48" t="str">
        <f t="shared" si="73"/>
        <v xml:space="preserve"> </v>
      </c>
      <c r="N1568" s="39" t="str">
        <f t="shared" si="74"/>
        <v xml:space="preserve"> </v>
      </c>
    </row>
    <row r="1569" spans="1:14">
      <c r="A1569" s="37">
        <f t="shared" si="72"/>
        <v>1558</v>
      </c>
      <c r="G1569" s="48" t="str">
        <f>IF(F1569=""," ",IF(ISNA(VLOOKUP(D1569,'[2]stock-take'!$A:$E,4,FALSE)), "OUT OF STOCK", VLOOKUP(D1569,'[2]stock-take'!$A:$E,4,FALSE)))</f>
        <v xml:space="preserve"> </v>
      </c>
      <c r="H1569" s="48">
        <f>IF(ISNA(VLOOKUP(D1569,'[2]stock-take'!$A:$E,3,FALSE)), 0, VLOOKUP(D1569,'[2]stock-take'!$A:$E,3,FALSE))</f>
        <v>0</v>
      </c>
      <c r="I1569" s="48" t="str">
        <f>IF(F1569="", " ",IF(ISNA(VLOOKUP(D1569,'[2]stock-take'!$G:$K,4,FALSE)), "OUT OF STOCK", VLOOKUP(D1569,'[2]stock-take'!$G:$K,4,FALSE)))</f>
        <v xml:space="preserve"> </v>
      </c>
      <c r="J1569" s="39">
        <f>IF(ISNA(VLOOKUP(D1569,'[2]stock-take'!$G:$K,3,FALSE)), 0, VLOOKUP(D1569,'[2]stock-take'!$G:$K,3,FALSE))</f>
        <v>0</v>
      </c>
      <c r="K1569" s="49" t="str">
        <f>IF(F1569="", " ", IF(ISNA(VLOOKUP(D1569,'[2]stock-take'!$M:$Q,4,FALSE)), "OUT OF STOCK", VLOOKUP(D1569,'[2]stock-take'!$M:$Q,4,FALSE)))</f>
        <v xml:space="preserve"> </v>
      </c>
      <c r="L1569" s="47">
        <f>IF(ISNA(VLOOKUP(D1569,'[2]stock-take'!$M:$Q,3,FALSE)), 0, VLOOKUP(D1569,'[2]stock-take'!$M:$Q,3,FALSE))</f>
        <v>0</v>
      </c>
      <c r="M1569" s="48" t="str">
        <f t="shared" si="73"/>
        <v xml:space="preserve"> </v>
      </c>
      <c r="N1569" s="39" t="str">
        <f t="shared" si="74"/>
        <v xml:space="preserve"> </v>
      </c>
    </row>
    <row r="1570" spans="1:14">
      <c r="A1570" s="37">
        <f t="shared" si="72"/>
        <v>1559</v>
      </c>
      <c r="G1570" s="48" t="str">
        <f>IF(F1570=""," ",IF(ISNA(VLOOKUP(D1570,'[2]stock-take'!$A:$E,4,FALSE)), "OUT OF STOCK", VLOOKUP(D1570,'[2]stock-take'!$A:$E,4,FALSE)))</f>
        <v xml:space="preserve"> </v>
      </c>
      <c r="H1570" s="48">
        <f>IF(ISNA(VLOOKUP(D1570,'[2]stock-take'!$A:$E,3,FALSE)), 0, VLOOKUP(D1570,'[2]stock-take'!$A:$E,3,FALSE))</f>
        <v>0</v>
      </c>
      <c r="I1570" s="48" t="str">
        <f>IF(F1570="", " ",IF(ISNA(VLOOKUP(D1570,'[2]stock-take'!$G:$K,4,FALSE)), "OUT OF STOCK", VLOOKUP(D1570,'[2]stock-take'!$G:$K,4,FALSE)))</f>
        <v xml:space="preserve"> </v>
      </c>
      <c r="J1570" s="39">
        <f>IF(ISNA(VLOOKUP(D1570,'[2]stock-take'!$G:$K,3,FALSE)), 0, VLOOKUP(D1570,'[2]stock-take'!$G:$K,3,FALSE))</f>
        <v>0</v>
      </c>
      <c r="K1570" s="49" t="str">
        <f>IF(F1570="", " ", IF(ISNA(VLOOKUP(D1570,'[2]stock-take'!$M:$Q,4,FALSE)), "OUT OF STOCK", VLOOKUP(D1570,'[2]stock-take'!$M:$Q,4,FALSE)))</f>
        <v xml:space="preserve"> </v>
      </c>
      <c r="L1570" s="47">
        <f>IF(ISNA(VLOOKUP(D1570,'[2]stock-take'!$M:$Q,3,FALSE)), 0, VLOOKUP(D1570,'[2]stock-take'!$M:$Q,3,FALSE))</f>
        <v>0</v>
      </c>
      <c r="M1570" s="48" t="str">
        <f t="shared" si="73"/>
        <v xml:space="preserve"> </v>
      </c>
      <c r="N1570" s="39" t="str">
        <f t="shared" si="74"/>
        <v xml:space="preserve"> </v>
      </c>
    </row>
    <row r="1571" spans="1:14">
      <c r="A1571" s="37">
        <f t="shared" si="72"/>
        <v>1560</v>
      </c>
      <c r="G1571" s="48" t="str">
        <f>IF(F1571=""," ",IF(ISNA(VLOOKUP(D1571,'[2]stock-take'!$A:$E,4,FALSE)), "OUT OF STOCK", VLOOKUP(D1571,'[2]stock-take'!$A:$E,4,FALSE)))</f>
        <v xml:space="preserve"> </v>
      </c>
      <c r="H1571" s="48">
        <f>IF(ISNA(VLOOKUP(D1571,'[2]stock-take'!$A:$E,3,FALSE)), 0, VLOOKUP(D1571,'[2]stock-take'!$A:$E,3,FALSE))</f>
        <v>0</v>
      </c>
      <c r="I1571" s="48" t="str">
        <f>IF(F1571="", " ",IF(ISNA(VLOOKUP(D1571,'[2]stock-take'!$G:$K,4,FALSE)), "OUT OF STOCK", VLOOKUP(D1571,'[2]stock-take'!$G:$K,4,FALSE)))</f>
        <v xml:space="preserve"> </v>
      </c>
      <c r="J1571" s="39">
        <f>IF(ISNA(VLOOKUP(D1571,'[2]stock-take'!$G:$K,3,FALSE)), 0, VLOOKUP(D1571,'[2]stock-take'!$G:$K,3,FALSE))</f>
        <v>0</v>
      </c>
      <c r="K1571" s="49" t="str">
        <f>IF(F1571="", " ", IF(ISNA(VLOOKUP(D1571,'[2]stock-take'!$M:$Q,4,FALSE)), "OUT OF STOCK", VLOOKUP(D1571,'[2]stock-take'!$M:$Q,4,FALSE)))</f>
        <v xml:space="preserve"> </v>
      </c>
      <c r="L1571" s="47">
        <f>IF(ISNA(VLOOKUP(D1571,'[2]stock-take'!$M:$Q,3,FALSE)), 0, VLOOKUP(D1571,'[2]stock-take'!$M:$Q,3,FALSE))</f>
        <v>0</v>
      </c>
      <c r="M1571" s="48" t="str">
        <f t="shared" si="73"/>
        <v xml:space="preserve"> </v>
      </c>
      <c r="N1571" s="39" t="str">
        <f t="shared" si="74"/>
        <v xml:space="preserve"> </v>
      </c>
    </row>
    <row r="1572" spans="1:14">
      <c r="A1572" s="37">
        <f t="shared" si="72"/>
        <v>1561</v>
      </c>
      <c r="G1572" s="48" t="str">
        <f>IF(F1572=""," ",IF(ISNA(VLOOKUP(D1572,'[2]stock-take'!$A:$E,4,FALSE)), "OUT OF STOCK", VLOOKUP(D1572,'[2]stock-take'!$A:$E,4,FALSE)))</f>
        <v xml:space="preserve"> </v>
      </c>
      <c r="H1572" s="48">
        <f>IF(ISNA(VLOOKUP(D1572,'[2]stock-take'!$A:$E,3,FALSE)), 0, VLOOKUP(D1572,'[2]stock-take'!$A:$E,3,FALSE))</f>
        <v>0</v>
      </c>
      <c r="I1572" s="48" t="str">
        <f>IF(F1572="", " ",IF(ISNA(VLOOKUP(D1572,'[2]stock-take'!$G:$K,4,FALSE)), "OUT OF STOCK", VLOOKUP(D1572,'[2]stock-take'!$G:$K,4,FALSE)))</f>
        <v xml:space="preserve"> </v>
      </c>
      <c r="J1572" s="39">
        <f>IF(ISNA(VLOOKUP(D1572,'[2]stock-take'!$G:$K,3,FALSE)), 0, VLOOKUP(D1572,'[2]stock-take'!$G:$K,3,FALSE))</f>
        <v>0</v>
      </c>
      <c r="K1572" s="49" t="str">
        <f>IF(F1572="", " ", IF(ISNA(VLOOKUP(D1572,'[2]stock-take'!$M:$Q,4,FALSE)), "OUT OF STOCK", VLOOKUP(D1572,'[2]stock-take'!$M:$Q,4,FALSE)))</f>
        <v xml:space="preserve"> </v>
      </c>
      <c r="L1572" s="47">
        <f>IF(ISNA(VLOOKUP(D1572,'[2]stock-take'!$M:$Q,3,FALSE)), 0, VLOOKUP(D1572,'[2]stock-take'!$M:$Q,3,FALSE))</f>
        <v>0</v>
      </c>
      <c r="M1572" s="48" t="str">
        <f t="shared" si="73"/>
        <v xml:space="preserve"> </v>
      </c>
      <c r="N1572" s="39" t="str">
        <f t="shared" si="74"/>
        <v xml:space="preserve"> </v>
      </c>
    </row>
    <row r="1573" spans="1:14">
      <c r="A1573" s="37">
        <f t="shared" si="72"/>
        <v>1562</v>
      </c>
      <c r="G1573" s="48" t="str">
        <f>IF(F1573=""," ",IF(ISNA(VLOOKUP(D1573,'[2]stock-take'!$A:$E,4,FALSE)), "OUT OF STOCK", VLOOKUP(D1573,'[2]stock-take'!$A:$E,4,FALSE)))</f>
        <v xml:space="preserve"> </v>
      </c>
      <c r="H1573" s="48">
        <f>IF(ISNA(VLOOKUP(D1573,'[2]stock-take'!$A:$E,3,FALSE)), 0, VLOOKUP(D1573,'[2]stock-take'!$A:$E,3,FALSE))</f>
        <v>0</v>
      </c>
      <c r="I1573" s="48" t="str">
        <f>IF(F1573="", " ",IF(ISNA(VLOOKUP(D1573,'[2]stock-take'!$G:$K,4,FALSE)), "OUT OF STOCK", VLOOKUP(D1573,'[2]stock-take'!$G:$K,4,FALSE)))</f>
        <v xml:space="preserve"> </v>
      </c>
      <c r="J1573" s="39">
        <f>IF(ISNA(VLOOKUP(D1573,'[2]stock-take'!$G:$K,3,FALSE)), 0, VLOOKUP(D1573,'[2]stock-take'!$G:$K,3,FALSE))</f>
        <v>0</v>
      </c>
      <c r="K1573" s="49" t="str">
        <f>IF(F1573="", " ", IF(ISNA(VLOOKUP(D1573,'[2]stock-take'!$M:$Q,4,FALSE)), "OUT OF STOCK", VLOOKUP(D1573,'[2]stock-take'!$M:$Q,4,FALSE)))</f>
        <v xml:space="preserve"> </v>
      </c>
      <c r="L1573" s="47">
        <f>IF(ISNA(VLOOKUP(D1573,'[2]stock-take'!$M:$Q,3,FALSE)), 0, VLOOKUP(D1573,'[2]stock-take'!$M:$Q,3,FALSE))</f>
        <v>0</v>
      </c>
      <c r="M1573" s="48" t="str">
        <f t="shared" si="73"/>
        <v xml:space="preserve"> </v>
      </c>
      <c r="N1573" s="39" t="str">
        <f t="shared" si="74"/>
        <v xml:space="preserve"> </v>
      </c>
    </row>
    <row r="1574" spans="1:14">
      <c r="A1574" s="37">
        <f t="shared" si="72"/>
        <v>1563</v>
      </c>
      <c r="G1574" s="48" t="str">
        <f>IF(F1574=""," ",IF(ISNA(VLOOKUP(D1574,'[2]stock-take'!$A:$E,4,FALSE)), "OUT OF STOCK", VLOOKUP(D1574,'[2]stock-take'!$A:$E,4,FALSE)))</f>
        <v xml:space="preserve"> </v>
      </c>
      <c r="H1574" s="48">
        <f>IF(ISNA(VLOOKUP(D1574,'[2]stock-take'!$A:$E,3,FALSE)), 0, VLOOKUP(D1574,'[2]stock-take'!$A:$E,3,FALSE))</f>
        <v>0</v>
      </c>
      <c r="I1574" s="48" t="str">
        <f>IF(F1574="", " ",IF(ISNA(VLOOKUP(D1574,'[2]stock-take'!$G:$K,4,FALSE)), "OUT OF STOCK", VLOOKUP(D1574,'[2]stock-take'!$G:$K,4,FALSE)))</f>
        <v xml:space="preserve"> </v>
      </c>
      <c r="J1574" s="39">
        <f>IF(ISNA(VLOOKUP(D1574,'[2]stock-take'!$G:$K,3,FALSE)), 0, VLOOKUP(D1574,'[2]stock-take'!$G:$K,3,FALSE))</f>
        <v>0</v>
      </c>
      <c r="K1574" s="49" t="str">
        <f>IF(F1574="", " ", IF(ISNA(VLOOKUP(D1574,'[2]stock-take'!$M:$Q,4,FALSE)), "OUT OF STOCK", VLOOKUP(D1574,'[2]stock-take'!$M:$Q,4,FALSE)))</f>
        <v xml:space="preserve"> </v>
      </c>
      <c r="L1574" s="47">
        <f>IF(ISNA(VLOOKUP(D1574,'[2]stock-take'!$M:$Q,3,FALSE)), 0, VLOOKUP(D1574,'[2]stock-take'!$M:$Q,3,FALSE))</f>
        <v>0</v>
      </c>
      <c r="M1574" s="48" t="str">
        <f t="shared" si="73"/>
        <v xml:space="preserve"> </v>
      </c>
      <c r="N1574" s="39" t="str">
        <f t="shared" si="74"/>
        <v xml:space="preserve"> </v>
      </c>
    </row>
    <row r="1575" spans="1:14">
      <c r="A1575" s="37">
        <f t="shared" si="72"/>
        <v>1564</v>
      </c>
      <c r="G1575" s="48" t="str">
        <f>IF(F1575=""," ",IF(ISNA(VLOOKUP(D1575,'[2]stock-take'!$A:$E,4,FALSE)), "OUT OF STOCK", VLOOKUP(D1575,'[2]stock-take'!$A:$E,4,FALSE)))</f>
        <v xml:space="preserve"> </v>
      </c>
      <c r="H1575" s="48">
        <f>IF(ISNA(VLOOKUP(D1575,'[2]stock-take'!$A:$E,3,FALSE)), 0, VLOOKUP(D1575,'[2]stock-take'!$A:$E,3,FALSE))</f>
        <v>0</v>
      </c>
      <c r="I1575" s="48" t="str">
        <f>IF(F1575="", " ",IF(ISNA(VLOOKUP(D1575,'[2]stock-take'!$G:$K,4,FALSE)), "OUT OF STOCK", VLOOKUP(D1575,'[2]stock-take'!$G:$K,4,FALSE)))</f>
        <v xml:space="preserve"> </v>
      </c>
      <c r="J1575" s="39">
        <f>IF(ISNA(VLOOKUP(D1575,'[2]stock-take'!$G:$K,3,FALSE)), 0, VLOOKUP(D1575,'[2]stock-take'!$G:$K,3,FALSE))</f>
        <v>0</v>
      </c>
      <c r="K1575" s="49" t="str">
        <f>IF(F1575="", " ", IF(ISNA(VLOOKUP(D1575,'[2]stock-take'!$M:$Q,4,FALSE)), "OUT OF STOCK", VLOOKUP(D1575,'[2]stock-take'!$M:$Q,4,FALSE)))</f>
        <v xml:space="preserve"> </v>
      </c>
      <c r="L1575" s="47">
        <f>IF(ISNA(VLOOKUP(D1575,'[2]stock-take'!$M:$Q,3,FALSE)), 0, VLOOKUP(D1575,'[2]stock-take'!$M:$Q,3,FALSE))</f>
        <v>0</v>
      </c>
      <c r="M1575" s="48" t="str">
        <f t="shared" si="73"/>
        <v xml:space="preserve"> </v>
      </c>
      <c r="N1575" s="39" t="str">
        <f t="shared" si="74"/>
        <v xml:space="preserve"> </v>
      </c>
    </row>
    <row r="1576" spans="1:14">
      <c r="A1576" s="37">
        <f t="shared" si="72"/>
        <v>1565</v>
      </c>
      <c r="G1576" s="48" t="str">
        <f>IF(F1576=""," ",IF(ISNA(VLOOKUP(D1576,'[2]stock-take'!$A:$E,4,FALSE)), "OUT OF STOCK", VLOOKUP(D1576,'[2]stock-take'!$A:$E,4,FALSE)))</f>
        <v xml:space="preserve"> </v>
      </c>
      <c r="H1576" s="48">
        <f>IF(ISNA(VLOOKUP(D1576,'[2]stock-take'!$A:$E,3,FALSE)), 0, VLOOKUP(D1576,'[2]stock-take'!$A:$E,3,FALSE))</f>
        <v>0</v>
      </c>
      <c r="I1576" s="48" t="str">
        <f>IF(F1576="", " ",IF(ISNA(VLOOKUP(D1576,'[2]stock-take'!$G:$K,4,FALSE)), "OUT OF STOCK", VLOOKUP(D1576,'[2]stock-take'!$G:$K,4,FALSE)))</f>
        <v xml:space="preserve"> </v>
      </c>
      <c r="J1576" s="39">
        <f>IF(ISNA(VLOOKUP(D1576,'[2]stock-take'!$G:$K,3,FALSE)), 0, VLOOKUP(D1576,'[2]stock-take'!$G:$K,3,FALSE))</f>
        <v>0</v>
      </c>
      <c r="K1576" s="49" t="str">
        <f>IF(F1576="", " ", IF(ISNA(VLOOKUP(D1576,'[2]stock-take'!$M:$Q,4,FALSE)), "OUT OF STOCK", VLOOKUP(D1576,'[2]stock-take'!$M:$Q,4,FALSE)))</f>
        <v xml:space="preserve"> </v>
      </c>
      <c r="L1576" s="47">
        <f>IF(ISNA(VLOOKUP(D1576,'[2]stock-take'!$M:$Q,3,FALSE)), 0, VLOOKUP(D1576,'[2]stock-take'!$M:$Q,3,FALSE))</f>
        <v>0</v>
      </c>
      <c r="M1576" s="48" t="str">
        <f t="shared" si="73"/>
        <v xml:space="preserve"> </v>
      </c>
      <c r="N1576" s="39" t="str">
        <f t="shared" si="74"/>
        <v xml:space="preserve"> </v>
      </c>
    </row>
    <row r="1577" spans="1:14">
      <c r="A1577" s="37">
        <f t="shared" si="72"/>
        <v>1566</v>
      </c>
      <c r="G1577" s="48" t="str">
        <f>IF(F1577=""," ",IF(ISNA(VLOOKUP(D1577,'[2]stock-take'!$A:$E,4,FALSE)), "OUT OF STOCK", VLOOKUP(D1577,'[2]stock-take'!$A:$E,4,FALSE)))</f>
        <v xml:space="preserve"> </v>
      </c>
      <c r="H1577" s="48">
        <f>IF(ISNA(VLOOKUP(D1577,'[2]stock-take'!$A:$E,3,FALSE)), 0, VLOOKUP(D1577,'[2]stock-take'!$A:$E,3,FALSE))</f>
        <v>0</v>
      </c>
      <c r="I1577" s="48" t="str">
        <f>IF(F1577="", " ",IF(ISNA(VLOOKUP(D1577,'[2]stock-take'!$G:$K,4,FALSE)), "OUT OF STOCK", VLOOKUP(D1577,'[2]stock-take'!$G:$K,4,FALSE)))</f>
        <v xml:space="preserve"> </v>
      </c>
      <c r="J1577" s="39">
        <f>IF(ISNA(VLOOKUP(D1577,'[2]stock-take'!$G:$K,3,FALSE)), 0, VLOOKUP(D1577,'[2]stock-take'!$G:$K,3,FALSE))</f>
        <v>0</v>
      </c>
      <c r="K1577" s="49" t="str">
        <f>IF(F1577="", " ", IF(ISNA(VLOOKUP(D1577,'[2]stock-take'!$M:$Q,4,FALSE)), "OUT OF STOCK", VLOOKUP(D1577,'[2]stock-take'!$M:$Q,4,FALSE)))</f>
        <v xml:space="preserve"> </v>
      </c>
      <c r="L1577" s="47">
        <f>IF(ISNA(VLOOKUP(D1577,'[2]stock-take'!$M:$Q,3,FALSE)), 0, VLOOKUP(D1577,'[2]stock-take'!$M:$Q,3,FALSE))</f>
        <v>0</v>
      </c>
      <c r="M1577" s="48" t="str">
        <f t="shared" si="73"/>
        <v xml:space="preserve"> </v>
      </c>
      <c r="N1577" s="39" t="str">
        <f t="shared" si="74"/>
        <v xml:space="preserve"> </v>
      </c>
    </row>
    <row r="1578" spans="1:14">
      <c r="A1578" s="37">
        <f t="shared" si="72"/>
        <v>1567</v>
      </c>
      <c r="G1578" s="48" t="str">
        <f>IF(F1578=""," ",IF(ISNA(VLOOKUP(D1578,'[2]stock-take'!$A:$E,4,FALSE)), "OUT OF STOCK", VLOOKUP(D1578,'[2]stock-take'!$A:$E,4,FALSE)))</f>
        <v xml:space="preserve"> </v>
      </c>
      <c r="H1578" s="48">
        <f>IF(ISNA(VLOOKUP(D1578,'[2]stock-take'!$A:$E,3,FALSE)), 0, VLOOKUP(D1578,'[2]stock-take'!$A:$E,3,FALSE))</f>
        <v>0</v>
      </c>
      <c r="I1578" s="48" t="str">
        <f>IF(F1578="", " ",IF(ISNA(VLOOKUP(D1578,'[2]stock-take'!$G:$K,4,FALSE)), "OUT OF STOCK", VLOOKUP(D1578,'[2]stock-take'!$G:$K,4,FALSE)))</f>
        <v xml:space="preserve"> </v>
      </c>
      <c r="J1578" s="39">
        <f>IF(ISNA(VLOOKUP(D1578,'[2]stock-take'!$G:$K,3,FALSE)), 0, VLOOKUP(D1578,'[2]stock-take'!$G:$K,3,FALSE))</f>
        <v>0</v>
      </c>
      <c r="K1578" s="49" t="str">
        <f>IF(F1578="", " ", IF(ISNA(VLOOKUP(D1578,'[2]stock-take'!$M:$Q,4,FALSE)), "OUT OF STOCK", VLOOKUP(D1578,'[2]stock-take'!$M:$Q,4,FALSE)))</f>
        <v xml:space="preserve"> </v>
      </c>
      <c r="L1578" s="47">
        <f>IF(ISNA(VLOOKUP(D1578,'[2]stock-take'!$M:$Q,3,FALSE)), 0, VLOOKUP(D1578,'[2]stock-take'!$M:$Q,3,FALSE))</f>
        <v>0</v>
      </c>
      <c r="M1578" s="48" t="str">
        <f t="shared" si="73"/>
        <v xml:space="preserve"> </v>
      </c>
      <c r="N1578" s="39" t="str">
        <f t="shared" si="74"/>
        <v xml:space="preserve"> </v>
      </c>
    </row>
    <row r="1579" spans="1:14">
      <c r="A1579" s="37">
        <f t="shared" si="72"/>
        <v>1568</v>
      </c>
      <c r="G1579" s="48" t="str">
        <f>IF(F1579=""," ",IF(ISNA(VLOOKUP(D1579,'[2]stock-take'!$A:$E,4,FALSE)), "OUT OF STOCK", VLOOKUP(D1579,'[2]stock-take'!$A:$E,4,FALSE)))</f>
        <v xml:space="preserve"> </v>
      </c>
      <c r="H1579" s="48">
        <f>IF(ISNA(VLOOKUP(D1579,'[2]stock-take'!$A:$E,3,FALSE)), 0, VLOOKUP(D1579,'[2]stock-take'!$A:$E,3,FALSE))</f>
        <v>0</v>
      </c>
      <c r="I1579" s="48" t="str">
        <f>IF(F1579="", " ",IF(ISNA(VLOOKUP(D1579,'[2]stock-take'!$G:$K,4,FALSE)), "OUT OF STOCK", VLOOKUP(D1579,'[2]stock-take'!$G:$K,4,FALSE)))</f>
        <v xml:space="preserve"> </v>
      </c>
      <c r="J1579" s="39">
        <f>IF(ISNA(VLOOKUP(D1579,'[2]stock-take'!$G:$K,3,FALSE)), 0, VLOOKUP(D1579,'[2]stock-take'!$G:$K,3,FALSE))</f>
        <v>0</v>
      </c>
      <c r="K1579" s="49" t="str">
        <f>IF(F1579="", " ", IF(ISNA(VLOOKUP(D1579,'[2]stock-take'!$M:$Q,4,FALSE)), "OUT OF STOCK", VLOOKUP(D1579,'[2]stock-take'!$M:$Q,4,FALSE)))</f>
        <v xml:space="preserve"> </v>
      </c>
      <c r="L1579" s="47">
        <f>IF(ISNA(VLOOKUP(D1579,'[2]stock-take'!$M:$Q,3,FALSE)), 0, VLOOKUP(D1579,'[2]stock-take'!$M:$Q,3,FALSE))</f>
        <v>0</v>
      </c>
      <c r="M1579" s="48" t="str">
        <f t="shared" si="73"/>
        <v xml:space="preserve"> </v>
      </c>
      <c r="N1579" s="39" t="str">
        <f t="shared" si="74"/>
        <v xml:space="preserve"> </v>
      </c>
    </row>
    <row r="1580" spans="1:14">
      <c r="A1580" s="37">
        <f t="shared" si="72"/>
        <v>1569</v>
      </c>
      <c r="G1580" s="48" t="str">
        <f>IF(F1580=""," ",IF(ISNA(VLOOKUP(D1580,'[2]stock-take'!$A:$E,4,FALSE)), "OUT OF STOCK", VLOOKUP(D1580,'[2]stock-take'!$A:$E,4,FALSE)))</f>
        <v xml:space="preserve"> </v>
      </c>
      <c r="H1580" s="48">
        <f>IF(ISNA(VLOOKUP(D1580,'[2]stock-take'!$A:$E,3,FALSE)), 0, VLOOKUP(D1580,'[2]stock-take'!$A:$E,3,FALSE))</f>
        <v>0</v>
      </c>
      <c r="I1580" s="48" t="str">
        <f>IF(F1580="", " ",IF(ISNA(VLOOKUP(D1580,'[2]stock-take'!$G:$K,4,FALSE)), "OUT OF STOCK", VLOOKUP(D1580,'[2]stock-take'!$G:$K,4,FALSE)))</f>
        <v xml:space="preserve"> </v>
      </c>
      <c r="J1580" s="39">
        <f>IF(ISNA(VLOOKUP(D1580,'[2]stock-take'!$G:$K,3,FALSE)), 0, VLOOKUP(D1580,'[2]stock-take'!$G:$K,3,FALSE))</f>
        <v>0</v>
      </c>
      <c r="K1580" s="49" t="str">
        <f>IF(F1580="", " ", IF(ISNA(VLOOKUP(D1580,'[2]stock-take'!$M:$Q,4,FALSE)), "OUT OF STOCK", VLOOKUP(D1580,'[2]stock-take'!$M:$Q,4,FALSE)))</f>
        <v xml:space="preserve"> </v>
      </c>
      <c r="L1580" s="47">
        <f>IF(ISNA(VLOOKUP(D1580,'[2]stock-take'!$M:$Q,3,FALSE)), 0, VLOOKUP(D1580,'[2]stock-take'!$M:$Q,3,FALSE))</f>
        <v>0</v>
      </c>
      <c r="M1580" s="48" t="str">
        <f t="shared" si="73"/>
        <v xml:space="preserve"> </v>
      </c>
      <c r="N1580" s="39" t="str">
        <f t="shared" si="74"/>
        <v xml:space="preserve"> </v>
      </c>
    </row>
    <row r="1581" spans="1:14">
      <c r="A1581" s="37">
        <f t="shared" si="72"/>
        <v>1570</v>
      </c>
      <c r="G1581" s="48" t="str">
        <f>IF(F1581=""," ",IF(ISNA(VLOOKUP(D1581,'[2]stock-take'!$A:$E,4,FALSE)), "OUT OF STOCK", VLOOKUP(D1581,'[2]stock-take'!$A:$E,4,FALSE)))</f>
        <v xml:space="preserve"> </v>
      </c>
      <c r="H1581" s="48">
        <f>IF(ISNA(VLOOKUP(D1581,'[2]stock-take'!$A:$E,3,FALSE)), 0, VLOOKUP(D1581,'[2]stock-take'!$A:$E,3,FALSE))</f>
        <v>0</v>
      </c>
      <c r="I1581" s="48" t="str">
        <f>IF(F1581="", " ",IF(ISNA(VLOOKUP(D1581,'[2]stock-take'!$G:$K,4,FALSE)), "OUT OF STOCK", VLOOKUP(D1581,'[2]stock-take'!$G:$K,4,FALSE)))</f>
        <v xml:space="preserve"> </v>
      </c>
      <c r="J1581" s="39">
        <f>IF(ISNA(VLOOKUP(D1581,'[2]stock-take'!$G:$K,3,FALSE)), 0, VLOOKUP(D1581,'[2]stock-take'!$G:$K,3,FALSE))</f>
        <v>0</v>
      </c>
      <c r="K1581" s="49" t="str">
        <f>IF(F1581="", " ", IF(ISNA(VLOOKUP(D1581,'[2]stock-take'!$M:$Q,4,FALSE)), "OUT OF STOCK", VLOOKUP(D1581,'[2]stock-take'!$M:$Q,4,FALSE)))</f>
        <v xml:space="preserve"> </v>
      </c>
      <c r="L1581" s="47">
        <f>IF(ISNA(VLOOKUP(D1581,'[2]stock-take'!$M:$Q,3,FALSE)), 0, VLOOKUP(D1581,'[2]stock-take'!$M:$Q,3,FALSE))</f>
        <v>0</v>
      </c>
      <c r="M1581" s="48" t="str">
        <f t="shared" si="73"/>
        <v xml:space="preserve"> </v>
      </c>
      <c r="N1581" s="39" t="str">
        <f t="shared" si="74"/>
        <v xml:space="preserve"> </v>
      </c>
    </row>
    <row r="1582" spans="1:14">
      <c r="A1582" s="37">
        <f t="shared" si="72"/>
        <v>1571</v>
      </c>
      <c r="G1582" s="48" t="str">
        <f>IF(F1582=""," ",IF(ISNA(VLOOKUP(D1582,'[2]stock-take'!$A:$E,4,FALSE)), "OUT OF STOCK", VLOOKUP(D1582,'[2]stock-take'!$A:$E,4,FALSE)))</f>
        <v xml:space="preserve"> </v>
      </c>
      <c r="H1582" s="48">
        <f>IF(ISNA(VLOOKUP(D1582,'[2]stock-take'!$A:$E,3,FALSE)), 0, VLOOKUP(D1582,'[2]stock-take'!$A:$E,3,FALSE))</f>
        <v>0</v>
      </c>
      <c r="I1582" s="48" t="str">
        <f>IF(F1582="", " ",IF(ISNA(VLOOKUP(D1582,'[2]stock-take'!$G:$K,4,FALSE)), "OUT OF STOCK", VLOOKUP(D1582,'[2]stock-take'!$G:$K,4,FALSE)))</f>
        <v xml:space="preserve"> </v>
      </c>
      <c r="J1582" s="39">
        <f>IF(ISNA(VLOOKUP(D1582,'[2]stock-take'!$G:$K,3,FALSE)), 0, VLOOKUP(D1582,'[2]stock-take'!$G:$K,3,FALSE))</f>
        <v>0</v>
      </c>
      <c r="K1582" s="49" t="str">
        <f>IF(F1582="", " ", IF(ISNA(VLOOKUP(D1582,'[2]stock-take'!$M:$Q,4,FALSE)), "OUT OF STOCK", VLOOKUP(D1582,'[2]stock-take'!$M:$Q,4,FALSE)))</f>
        <v xml:space="preserve"> </v>
      </c>
      <c r="L1582" s="47">
        <f>IF(ISNA(VLOOKUP(D1582,'[2]stock-take'!$M:$Q,3,FALSE)), 0, VLOOKUP(D1582,'[2]stock-take'!$M:$Q,3,FALSE))</f>
        <v>0</v>
      </c>
      <c r="M1582" s="48" t="str">
        <f t="shared" si="73"/>
        <v xml:space="preserve"> </v>
      </c>
      <c r="N1582" s="39" t="str">
        <f t="shared" si="74"/>
        <v xml:space="preserve"> </v>
      </c>
    </row>
    <row r="1583" spans="1:14">
      <c r="A1583" s="37">
        <f t="shared" si="72"/>
        <v>1572</v>
      </c>
      <c r="G1583" s="48" t="str">
        <f>IF(F1583=""," ",IF(ISNA(VLOOKUP(D1583,'[2]stock-take'!$A:$E,4,FALSE)), "OUT OF STOCK", VLOOKUP(D1583,'[2]stock-take'!$A:$E,4,FALSE)))</f>
        <v xml:space="preserve"> </v>
      </c>
      <c r="H1583" s="48">
        <f>IF(ISNA(VLOOKUP(D1583,'[2]stock-take'!$A:$E,3,FALSE)), 0, VLOOKUP(D1583,'[2]stock-take'!$A:$E,3,FALSE))</f>
        <v>0</v>
      </c>
      <c r="I1583" s="48" t="str">
        <f>IF(F1583="", " ",IF(ISNA(VLOOKUP(D1583,'[2]stock-take'!$G:$K,4,FALSE)), "OUT OF STOCK", VLOOKUP(D1583,'[2]stock-take'!$G:$K,4,FALSE)))</f>
        <v xml:space="preserve"> </v>
      </c>
      <c r="J1583" s="39">
        <f>IF(ISNA(VLOOKUP(D1583,'[2]stock-take'!$G:$K,3,FALSE)), 0, VLOOKUP(D1583,'[2]stock-take'!$G:$K,3,FALSE))</f>
        <v>0</v>
      </c>
      <c r="K1583" s="49" t="str">
        <f>IF(F1583="", " ", IF(ISNA(VLOOKUP(D1583,'[2]stock-take'!$M:$Q,4,FALSE)), "OUT OF STOCK", VLOOKUP(D1583,'[2]stock-take'!$M:$Q,4,FALSE)))</f>
        <v xml:space="preserve"> </v>
      </c>
      <c r="L1583" s="47">
        <f>IF(ISNA(VLOOKUP(D1583,'[2]stock-take'!$M:$Q,3,FALSE)), 0, VLOOKUP(D1583,'[2]stock-take'!$M:$Q,3,FALSE))</f>
        <v>0</v>
      </c>
      <c r="M1583" s="48" t="str">
        <f t="shared" si="73"/>
        <v xml:space="preserve"> </v>
      </c>
      <c r="N1583" s="39" t="str">
        <f t="shared" si="74"/>
        <v xml:space="preserve"> </v>
      </c>
    </row>
    <row r="1584" spans="1:14">
      <c r="A1584" s="37">
        <f t="shared" si="72"/>
        <v>1573</v>
      </c>
      <c r="G1584" s="48" t="str">
        <f>IF(F1584=""," ",IF(ISNA(VLOOKUP(D1584,'[2]stock-take'!$A:$E,4,FALSE)), "OUT OF STOCK", VLOOKUP(D1584,'[2]stock-take'!$A:$E,4,FALSE)))</f>
        <v xml:space="preserve"> </v>
      </c>
      <c r="H1584" s="48">
        <f>IF(ISNA(VLOOKUP(D1584,'[2]stock-take'!$A:$E,3,FALSE)), 0, VLOOKUP(D1584,'[2]stock-take'!$A:$E,3,FALSE))</f>
        <v>0</v>
      </c>
      <c r="I1584" s="48" t="str">
        <f>IF(F1584="", " ",IF(ISNA(VLOOKUP(D1584,'[2]stock-take'!$G:$K,4,FALSE)), "OUT OF STOCK", VLOOKUP(D1584,'[2]stock-take'!$G:$K,4,FALSE)))</f>
        <v xml:space="preserve"> </v>
      </c>
      <c r="J1584" s="39">
        <f>IF(ISNA(VLOOKUP(D1584,'[2]stock-take'!$G:$K,3,FALSE)), 0, VLOOKUP(D1584,'[2]stock-take'!$G:$K,3,FALSE))</f>
        <v>0</v>
      </c>
      <c r="K1584" s="49" t="str">
        <f>IF(F1584="", " ", IF(ISNA(VLOOKUP(D1584,'[2]stock-take'!$M:$Q,4,FALSE)), "OUT OF STOCK", VLOOKUP(D1584,'[2]stock-take'!$M:$Q,4,FALSE)))</f>
        <v xml:space="preserve"> </v>
      </c>
      <c r="L1584" s="47">
        <f>IF(ISNA(VLOOKUP(D1584,'[2]stock-take'!$M:$Q,3,FALSE)), 0, VLOOKUP(D1584,'[2]stock-take'!$M:$Q,3,FALSE))</f>
        <v>0</v>
      </c>
      <c r="M1584" s="48" t="str">
        <f t="shared" si="73"/>
        <v xml:space="preserve"> </v>
      </c>
      <c r="N1584" s="39" t="str">
        <f t="shared" si="74"/>
        <v xml:space="preserve"> </v>
      </c>
    </row>
    <row r="1585" spans="1:14">
      <c r="A1585" s="37">
        <f t="shared" si="72"/>
        <v>1574</v>
      </c>
      <c r="G1585" s="48" t="str">
        <f>IF(F1585=""," ",IF(ISNA(VLOOKUP(D1585,'[2]stock-take'!$A:$E,4,FALSE)), "OUT OF STOCK", VLOOKUP(D1585,'[2]stock-take'!$A:$E,4,FALSE)))</f>
        <v xml:space="preserve"> </v>
      </c>
      <c r="H1585" s="48">
        <f>IF(ISNA(VLOOKUP(D1585,'[2]stock-take'!$A:$E,3,FALSE)), 0, VLOOKUP(D1585,'[2]stock-take'!$A:$E,3,FALSE))</f>
        <v>0</v>
      </c>
      <c r="I1585" s="48" t="str">
        <f>IF(F1585="", " ",IF(ISNA(VLOOKUP(D1585,'[2]stock-take'!$G:$K,4,FALSE)), "OUT OF STOCK", VLOOKUP(D1585,'[2]stock-take'!$G:$K,4,FALSE)))</f>
        <v xml:space="preserve"> </v>
      </c>
      <c r="J1585" s="39">
        <f>IF(ISNA(VLOOKUP(D1585,'[2]stock-take'!$G:$K,3,FALSE)), 0, VLOOKUP(D1585,'[2]stock-take'!$G:$K,3,FALSE))</f>
        <v>0</v>
      </c>
      <c r="K1585" s="49" t="str">
        <f>IF(F1585="", " ", IF(ISNA(VLOOKUP(D1585,'[2]stock-take'!$M:$Q,4,FALSE)), "OUT OF STOCK", VLOOKUP(D1585,'[2]stock-take'!$M:$Q,4,FALSE)))</f>
        <v xml:space="preserve"> </v>
      </c>
      <c r="L1585" s="47">
        <f>IF(ISNA(VLOOKUP(D1585,'[2]stock-take'!$M:$Q,3,FALSE)), 0, VLOOKUP(D1585,'[2]stock-take'!$M:$Q,3,FALSE))</f>
        <v>0</v>
      </c>
      <c r="M1585" s="48" t="str">
        <f t="shared" si="73"/>
        <v xml:space="preserve"> </v>
      </c>
      <c r="N1585" s="39" t="str">
        <f t="shared" si="74"/>
        <v xml:space="preserve"> </v>
      </c>
    </row>
    <row r="1586" spans="1:14">
      <c r="A1586" s="37">
        <f t="shared" si="72"/>
        <v>1575</v>
      </c>
      <c r="G1586" s="48" t="str">
        <f>IF(F1586=""," ",IF(ISNA(VLOOKUP(D1586,'[2]stock-take'!$A:$E,4,FALSE)), "OUT OF STOCK", VLOOKUP(D1586,'[2]stock-take'!$A:$E,4,FALSE)))</f>
        <v xml:space="preserve"> </v>
      </c>
      <c r="H1586" s="48">
        <f>IF(ISNA(VLOOKUP(D1586,'[2]stock-take'!$A:$E,3,FALSE)), 0, VLOOKUP(D1586,'[2]stock-take'!$A:$E,3,FALSE))</f>
        <v>0</v>
      </c>
      <c r="I1586" s="48" t="str">
        <f>IF(F1586="", " ",IF(ISNA(VLOOKUP(D1586,'[2]stock-take'!$G:$K,4,FALSE)), "OUT OF STOCK", VLOOKUP(D1586,'[2]stock-take'!$G:$K,4,FALSE)))</f>
        <v xml:space="preserve"> </v>
      </c>
      <c r="J1586" s="39">
        <f>IF(ISNA(VLOOKUP(D1586,'[2]stock-take'!$G:$K,3,FALSE)), 0, VLOOKUP(D1586,'[2]stock-take'!$G:$K,3,FALSE))</f>
        <v>0</v>
      </c>
      <c r="K1586" s="49" t="str">
        <f>IF(F1586="", " ", IF(ISNA(VLOOKUP(D1586,'[2]stock-take'!$M:$Q,4,FALSE)), "OUT OF STOCK", VLOOKUP(D1586,'[2]stock-take'!$M:$Q,4,FALSE)))</f>
        <v xml:space="preserve"> </v>
      </c>
      <c r="L1586" s="47">
        <f>IF(ISNA(VLOOKUP(D1586,'[2]stock-take'!$M:$Q,3,FALSE)), 0, VLOOKUP(D1586,'[2]stock-take'!$M:$Q,3,FALSE))</f>
        <v>0</v>
      </c>
      <c r="M1586" s="48" t="str">
        <f t="shared" si="73"/>
        <v xml:space="preserve"> </v>
      </c>
      <c r="N1586" s="39" t="str">
        <f t="shared" si="74"/>
        <v xml:space="preserve"> </v>
      </c>
    </row>
    <row r="1587" spans="1:14">
      <c r="A1587" s="37">
        <f t="shared" si="72"/>
        <v>1576</v>
      </c>
      <c r="G1587" s="48" t="str">
        <f>IF(F1587=""," ",IF(ISNA(VLOOKUP(D1587,'[2]stock-take'!$A:$E,4,FALSE)), "OUT OF STOCK", VLOOKUP(D1587,'[2]stock-take'!$A:$E,4,FALSE)))</f>
        <v xml:space="preserve"> </v>
      </c>
      <c r="H1587" s="48">
        <f>IF(ISNA(VLOOKUP(D1587,'[2]stock-take'!$A:$E,3,FALSE)), 0, VLOOKUP(D1587,'[2]stock-take'!$A:$E,3,FALSE))</f>
        <v>0</v>
      </c>
      <c r="I1587" s="48" t="str">
        <f>IF(F1587="", " ",IF(ISNA(VLOOKUP(D1587,'[2]stock-take'!$G:$K,4,FALSE)), "OUT OF STOCK", VLOOKUP(D1587,'[2]stock-take'!$G:$K,4,FALSE)))</f>
        <v xml:space="preserve"> </v>
      </c>
      <c r="J1587" s="39">
        <f>IF(ISNA(VLOOKUP(D1587,'[2]stock-take'!$G:$K,3,FALSE)), 0, VLOOKUP(D1587,'[2]stock-take'!$G:$K,3,FALSE))</f>
        <v>0</v>
      </c>
      <c r="K1587" s="49" t="str">
        <f>IF(F1587="", " ", IF(ISNA(VLOOKUP(D1587,'[2]stock-take'!$M:$Q,4,FALSE)), "OUT OF STOCK", VLOOKUP(D1587,'[2]stock-take'!$M:$Q,4,FALSE)))</f>
        <v xml:space="preserve"> </v>
      </c>
      <c r="L1587" s="47">
        <f>IF(ISNA(VLOOKUP(D1587,'[2]stock-take'!$M:$Q,3,FALSE)), 0, VLOOKUP(D1587,'[2]stock-take'!$M:$Q,3,FALSE))</f>
        <v>0</v>
      </c>
      <c r="M1587" s="48" t="str">
        <f t="shared" si="73"/>
        <v xml:space="preserve"> </v>
      </c>
      <c r="N1587" s="39" t="str">
        <f t="shared" si="74"/>
        <v xml:space="preserve"> </v>
      </c>
    </row>
    <row r="1588" spans="1:14">
      <c r="A1588" s="37">
        <f t="shared" si="72"/>
        <v>1577</v>
      </c>
      <c r="G1588" s="48" t="str">
        <f>IF(F1588=""," ",IF(ISNA(VLOOKUP(D1588,'[2]stock-take'!$A:$E,4,FALSE)), "OUT OF STOCK", VLOOKUP(D1588,'[2]stock-take'!$A:$E,4,FALSE)))</f>
        <v xml:space="preserve"> </v>
      </c>
      <c r="H1588" s="48">
        <f>IF(ISNA(VLOOKUP(D1588,'[2]stock-take'!$A:$E,3,FALSE)), 0, VLOOKUP(D1588,'[2]stock-take'!$A:$E,3,FALSE))</f>
        <v>0</v>
      </c>
      <c r="I1588" s="48" t="str">
        <f>IF(F1588="", " ",IF(ISNA(VLOOKUP(D1588,'[2]stock-take'!$G:$K,4,FALSE)), "OUT OF STOCK", VLOOKUP(D1588,'[2]stock-take'!$G:$K,4,FALSE)))</f>
        <v xml:space="preserve"> </v>
      </c>
      <c r="J1588" s="39">
        <f>IF(ISNA(VLOOKUP(D1588,'[2]stock-take'!$G:$K,3,FALSE)), 0, VLOOKUP(D1588,'[2]stock-take'!$G:$K,3,FALSE))</f>
        <v>0</v>
      </c>
      <c r="K1588" s="49" t="str">
        <f>IF(F1588="", " ", IF(ISNA(VLOOKUP(D1588,'[2]stock-take'!$M:$Q,4,FALSE)), "OUT OF STOCK", VLOOKUP(D1588,'[2]stock-take'!$M:$Q,4,FALSE)))</f>
        <v xml:space="preserve"> </v>
      </c>
      <c r="L1588" s="47">
        <f>IF(ISNA(VLOOKUP(D1588,'[2]stock-take'!$M:$Q,3,FALSE)), 0, VLOOKUP(D1588,'[2]stock-take'!$M:$Q,3,FALSE))</f>
        <v>0</v>
      </c>
      <c r="M1588" s="48" t="str">
        <f t="shared" si="73"/>
        <v xml:space="preserve"> </v>
      </c>
      <c r="N1588" s="39" t="str">
        <f t="shared" si="74"/>
        <v xml:space="preserve"> </v>
      </c>
    </row>
    <row r="1589" spans="1:14">
      <c r="A1589" s="37">
        <f t="shared" si="72"/>
        <v>1578</v>
      </c>
      <c r="G1589" s="48" t="str">
        <f>IF(F1589=""," ",IF(ISNA(VLOOKUP(D1589,'[2]stock-take'!$A:$E,4,FALSE)), "OUT OF STOCK", VLOOKUP(D1589,'[2]stock-take'!$A:$E,4,FALSE)))</f>
        <v xml:space="preserve"> </v>
      </c>
      <c r="H1589" s="48">
        <f>IF(ISNA(VLOOKUP(D1589,'[2]stock-take'!$A:$E,3,FALSE)), 0, VLOOKUP(D1589,'[2]stock-take'!$A:$E,3,FALSE))</f>
        <v>0</v>
      </c>
      <c r="I1589" s="48" t="str">
        <f>IF(F1589="", " ",IF(ISNA(VLOOKUP(D1589,'[2]stock-take'!$G:$K,4,FALSE)), "OUT OF STOCK", VLOOKUP(D1589,'[2]stock-take'!$G:$K,4,FALSE)))</f>
        <v xml:space="preserve"> </v>
      </c>
      <c r="J1589" s="39">
        <f>IF(ISNA(VLOOKUP(D1589,'[2]stock-take'!$G:$K,3,FALSE)), 0, VLOOKUP(D1589,'[2]stock-take'!$G:$K,3,FALSE))</f>
        <v>0</v>
      </c>
      <c r="K1589" s="49" t="str">
        <f>IF(F1589="", " ", IF(ISNA(VLOOKUP(D1589,'[2]stock-take'!$M:$Q,4,FALSE)), "OUT OF STOCK", VLOOKUP(D1589,'[2]stock-take'!$M:$Q,4,FALSE)))</f>
        <v xml:space="preserve"> </v>
      </c>
      <c r="L1589" s="47">
        <f>IF(ISNA(VLOOKUP(D1589,'[2]stock-take'!$M:$Q,3,FALSE)), 0, VLOOKUP(D1589,'[2]stock-take'!$M:$Q,3,FALSE))</f>
        <v>0</v>
      </c>
      <c r="M1589" s="48" t="str">
        <f t="shared" si="73"/>
        <v xml:space="preserve"> </v>
      </c>
      <c r="N1589" s="39" t="str">
        <f t="shared" si="74"/>
        <v xml:space="preserve"> </v>
      </c>
    </row>
    <row r="1590" spans="1:14">
      <c r="A1590" s="37">
        <f t="shared" si="72"/>
        <v>1579</v>
      </c>
      <c r="G1590" s="48" t="str">
        <f>IF(F1590=""," ",IF(ISNA(VLOOKUP(D1590,'[2]stock-take'!$A:$E,4,FALSE)), "OUT OF STOCK", VLOOKUP(D1590,'[2]stock-take'!$A:$E,4,FALSE)))</f>
        <v xml:space="preserve"> </v>
      </c>
      <c r="H1590" s="48">
        <f>IF(ISNA(VLOOKUP(D1590,'[2]stock-take'!$A:$E,3,FALSE)), 0, VLOOKUP(D1590,'[2]stock-take'!$A:$E,3,FALSE))</f>
        <v>0</v>
      </c>
      <c r="I1590" s="48" t="str">
        <f>IF(F1590="", " ",IF(ISNA(VLOOKUP(D1590,'[2]stock-take'!$G:$K,4,FALSE)), "OUT OF STOCK", VLOOKUP(D1590,'[2]stock-take'!$G:$K,4,FALSE)))</f>
        <v xml:space="preserve"> </v>
      </c>
      <c r="J1590" s="39">
        <f>IF(ISNA(VLOOKUP(D1590,'[2]stock-take'!$G:$K,3,FALSE)), 0, VLOOKUP(D1590,'[2]stock-take'!$G:$K,3,FALSE))</f>
        <v>0</v>
      </c>
      <c r="K1590" s="49" t="str">
        <f>IF(F1590="", " ", IF(ISNA(VLOOKUP(D1590,'[2]stock-take'!$M:$Q,4,FALSE)), "OUT OF STOCK", VLOOKUP(D1590,'[2]stock-take'!$M:$Q,4,FALSE)))</f>
        <v xml:space="preserve"> </v>
      </c>
      <c r="L1590" s="47">
        <f>IF(ISNA(VLOOKUP(D1590,'[2]stock-take'!$M:$Q,3,FALSE)), 0, VLOOKUP(D1590,'[2]stock-take'!$M:$Q,3,FALSE))</f>
        <v>0</v>
      </c>
      <c r="M1590" s="48" t="str">
        <f t="shared" si="73"/>
        <v xml:space="preserve"> </v>
      </c>
      <c r="N1590" s="39" t="str">
        <f t="shared" si="74"/>
        <v xml:space="preserve"> </v>
      </c>
    </row>
    <row r="1591" spans="1:14">
      <c r="A1591" s="37">
        <f t="shared" si="72"/>
        <v>1580</v>
      </c>
      <c r="G1591" s="48" t="str">
        <f>IF(F1591=""," ",IF(ISNA(VLOOKUP(D1591,'[2]stock-take'!$A:$E,4,FALSE)), "OUT OF STOCK", VLOOKUP(D1591,'[2]stock-take'!$A:$E,4,FALSE)))</f>
        <v xml:space="preserve"> </v>
      </c>
      <c r="H1591" s="48">
        <f>IF(ISNA(VLOOKUP(D1591,'[2]stock-take'!$A:$E,3,FALSE)), 0, VLOOKUP(D1591,'[2]stock-take'!$A:$E,3,FALSE))</f>
        <v>0</v>
      </c>
      <c r="I1591" s="48" t="str">
        <f>IF(F1591="", " ",IF(ISNA(VLOOKUP(D1591,'[2]stock-take'!$G:$K,4,FALSE)), "OUT OF STOCK", VLOOKUP(D1591,'[2]stock-take'!$G:$K,4,FALSE)))</f>
        <v xml:space="preserve"> </v>
      </c>
      <c r="J1591" s="39">
        <f>IF(ISNA(VLOOKUP(D1591,'[2]stock-take'!$G:$K,3,FALSE)), 0, VLOOKUP(D1591,'[2]stock-take'!$G:$K,3,FALSE))</f>
        <v>0</v>
      </c>
      <c r="K1591" s="49" t="str">
        <f>IF(F1591="", " ", IF(ISNA(VLOOKUP(D1591,'[2]stock-take'!$M:$Q,4,FALSE)), "OUT OF STOCK", VLOOKUP(D1591,'[2]stock-take'!$M:$Q,4,FALSE)))</f>
        <v xml:space="preserve"> </v>
      </c>
      <c r="L1591" s="47">
        <f>IF(ISNA(VLOOKUP(D1591,'[2]stock-take'!$M:$Q,3,FALSE)), 0, VLOOKUP(D1591,'[2]stock-take'!$M:$Q,3,FALSE))</f>
        <v>0</v>
      </c>
      <c r="M1591" s="48" t="str">
        <f t="shared" si="73"/>
        <v xml:space="preserve"> </v>
      </c>
      <c r="N1591" s="39" t="str">
        <f t="shared" si="74"/>
        <v xml:space="preserve"> </v>
      </c>
    </row>
    <row r="1592" spans="1:14">
      <c r="A1592" s="37">
        <f t="shared" si="72"/>
        <v>1581</v>
      </c>
      <c r="G1592" s="48" t="str">
        <f>IF(F1592=""," ",IF(ISNA(VLOOKUP(D1592,'[2]stock-take'!$A:$E,4,FALSE)), "OUT OF STOCK", VLOOKUP(D1592,'[2]stock-take'!$A:$E,4,FALSE)))</f>
        <v xml:space="preserve"> </v>
      </c>
      <c r="H1592" s="48">
        <f>IF(ISNA(VLOOKUP(D1592,'[2]stock-take'!$A:$E,3,FALSE)), 0, VLOOKUP(D1592,'[2]stock-take'!$A:$E,3,FALSE))</f>
        <v>0</v>
      </c>
      <c r="I1592" s="48" t="str">
        <f>IF(F1592="", " ",IF(ISNA(VLOOKUP(D1592,'[2]stock-take'!$G:$K,4,FALSE)), "OUT OF STOCK", VLOOKUP(D1592,'[2]stock-take'!$G:$K,4,FALSE)))</f>
        <v xml:space="preserve"> </v>
      </c>
      <c r="J1592" s="39">
        <f>IF(ISNA(VLOOKUP(D1592,'[2]stock-take'!$G:$K,3,FALSE)), 0, VLOOKUP(D1592,'[2]stock-take'!$G:$K,3,FALSE))</f>
        <v>0</v>
      </c>
      <c r="K1592" s="49" t="str">
        <f>IF(F1592="", " ", IF(ISNA(VLOOKUP(D1592,'[2]stock-take'!$M:$Q,4,FALSE)), "OUT OF STOCK", VLOOKUP(D1592,'[2]stock-take'!$M:$Q,4,FALSE)))</f>
        <v xml:space="preserve"> </v>
      </c>
      <c r="L1592" s="47">
        <f>IF(ISNA(VLOOKUP(D1592,'[2]stock-take'!$M:$Q,3,FALSE)), 0, VLOOKUP(D1592,'[2]stock-take'!$M:$Q,3,FALSE))</f>
        <v>0</v>
      </c>
      <c r="M1592" s="48" t="str">
        <f t="shared" si="73"/>
        <v xml:space="preserve"> </v>
      </c>
      <c r="N1592" s="39" t="str">
        <f t="shared" si="74"/>
        <v xml:space="preserve"> </v>
      </c>
    </row>
    <row r="1593" spans="1:14">
      <c r="A1593" s="37">
        <f t="shared" si="72"/>
        <v>1582</v>
      </c>
      <c r="G1593" s="48" t="str">
        <f>IF(F1593=""," ",IF(ISNA(VLOOKUP(D1593,'[2]stock-take'!$A:$E,4,FALSE)), "OUT OF STOCK", VLOOKUP(D1593,'[2]stock-take'!$A:$E,4,FALSE)))</f>
        <v xml:space="preserve"> </v>
      </c>
      <c r="H1593" s="48">
        <f>IF(ISNA(VLOOKUP(D1593,'[2]stock-take'!$A:$E,3,FALSE)), 0, VLOOKUP(D1593,'[2]stock-take'!$A:$E,3,FALSE))</f>
        <v>0</v>
      </c>
      <c r="I1593" s="48" t="str">
        <f>IF(F1593="", " ",IF(ISNA(VLOOKUP(D1593,'[2]stock-take'!$G:$K,4,FALSE)), "OUT OF STOCK", VLOOKUP(D1593,'[2]stock-take'!$G:$K,4,FALSE)))</f>
        <v xml:space="preserve"> </v>
      </c>
      <c r="J1593" s="39">
        <f>IF(ISNA(VLOOKUP(D1593,'[2]stock-take'!$G:$K,3,FALSE)), 0, VLOOKUP(D1593,'[2]stock-take'!$G:$K,3,FALSE))</f>
        <v>0</v>
      </c>
      <c r="K1593" s="49" t="str">
        <f>IF(F1593="", " ", IF(ISNA(VLOOKUP(D1593,'[2]stock-take'!$M:$Q,4,FALSE)), "OUT OF STOCK", VLOOKUP(D1593,'[2]stock-take'!$M:$Q,4,FALSE)))</f>
        <v xml:space="preserve"> </v>
      </c>
      <c r="L1593" s="47">
        <f>IF(ISNA(VLOOKUP(D1593,'[2]stock-take'!$M:$Q,3,FALSE)), 0, VLOOKUP(D1593,'[2]stock-take'!$M:$Q,3,FALSE))</f>
        <v>0</v>
      </c>
      <c r="M1593" s="48" t="str">
        <f t="shared" si="73"/>
        <v xml:space="preserve"> </v>
      </c>
      <c r="N1593" s="39" t="str">
        <f t="shared" si="74"/>
        <v xml:space="preserve"> </v>
      </c>
    </row>
    <row r="1594" spans="1:14">
      <c r="A1594" s="37">
        <f t="shared" si="72"/>
        <v>1583</v>
      </c>
      <c r="G1594" s="48" t="str">
        <f>IF(F1594=""," ",IF(ISNA(VLOOKUP(D1594,'[2]stock-take'!$A:$E,4,FALSE)), "OUT OF STOCK", VLOOKUP(D1594,'[2]stock-take'!$A:$E,4,FALSE)))</f>
        <v xml:space="preserve"> </v>
      </c>
      <c r="H1594" s="48">
        <f>IF(ISNA(VLOOKUP(D1594,'[2]stock-take'!$A:$E,3,FALSE)), 0, VLOOKUP(D1594,'[2]stock-take'!$A:$E,3,FALSE))</f>
        <v>0</v>
      </c>
      <c r="I1594" s="48" t="str">
        <f>IF(F1594="", " ",IF(ISNA(VLOOKUP(D1594,'[2]stock-take'!$G:$K,4,FALSE)), "OUT OF STOCK", VLOOKUP(D1594,'[2]stock-take'!$G:$K,4,FALSE)))</f>
        <v xml:space="preserve"> </v>
      </c>
      <c r="J1594" s="39">
        <f>IF(ISNA(VLOOKUP(D1594,'[2]stock-take'!$G:$K,3,FALSE)), 0, VLOOKUP(D1594,'[2]stock-take'!$G:$K,3,FALSE))</f>
        <v>0</v>
      </c>
      <c r="K1594" s="49" t="str">
        <f>IF(F1594="", " ", IF(ISNA(VLOOKUP(D1594,'[2]stock-take'!$M:$Q,4,FALSE)), "OUT OF STOCK", VLOOKUP(D1594,'[2]stock-take'!$M:$Q,4,FALSE)))</f>
        <v xml:space="preserve"> </v>
      </c>
      <c r="L1594" s="47">
        <f>IF(ISNA(VLOOKUP(D1594,'[2]stock-take'!$M:$Q,3,FALSE)), 0, VLOOKUP(D1594,'[2]stock-take'!$M:$Q,3,FALSE))</f>
        <v>0</v>
      </c>
      <c r="M1594" s="48" t="str">
        <f t="shared" si="73"/>
        <v xml:space="preserve"> </v>
      </c>
      <c r="N1594" s="39" t="str">
        <f t="shared" si="74"/>
        <v xml:space="preserve"> </v>
      </c>
    </row>
    <row r="1595" spans="1:14">
      <c r="A1595" s="37">
        <f t="shared" si="72"/>
        <v>1584</v>
      </c>
      <c r="G1595" s="48" t="str">
        <f>IF(F1595=""," ",IF(ISNA(VLOOKUP(D1595,'[2]stock-take'!$A:$E,4,FALSE)), "OUT OF STOCK", VLOOKUP(D1595,'[2]stock-take'!$A:$E,4,FALSE)))</f>
        <v xml:space="preserve"> </v>
      </c>
      <c r="H1595" s="48">
        <f>IF(ISNA(VLOOKUP(D1595,'[2]stock-take'!$A:$E,3,FALSE)), 0, VLOOKUP(D1595,'[2]stock-take'!$A:$E,3,FALSE))</f>
        <v>0</v>
      </c>
      <c r="I1595" s="48" t="str">
        <f>IF(F1595="", " ",IF(ISNA(VLOOKUP(D1595,'[2]stock-take'!$G:$K,4,FALSE)), "OUT OF STOCK", VLOOKUP(D1595,'[2]stock-take'!$G:$K,4,FALSE)))</f>
        <v xml:space="preserve"> </v>
      </c>
      <c r="J1595" s="39">
        <f>IF(ISNA(VLOOKUP(D1595,'[2]stock-take'!$G:$K,3,FALSE)), 0, VLOOKUP(D1595,'[2]stock-take'!$G:$K,3,FALSE))</f>
        <v>0</v>
      </c>
      <c r="K1595" s="49" t="str">
        <f>IF(F1595="", " ", IF(ISNA(VLOOKUP(D1595,'[2]stock-take'!$M:$Q,4,FALSE)), "OUT OF STOCK", VLOOKUP(D1595,'[2]stock-take'!$M:$Q,4,FALSE)))</f>
        <v xml:space="preserve"> </v>
      </c>
      <c r="L1595" s="47">
        <f>IF(ISNA(VLOOKUP(D1595,'[2]stock-take'!$M:$Q,3,FALSE)), 0, VLOOKUP(D1595,'[2]stock-take'!$M:$Q,3,FALSE))</f>
        <v>0</v>
      </c>
      <c r="M1595" s="48" t="str">
        <f t="shared" si="73"/>
        <v xml:space="preserve"> </v>
      </c>
      <c r="N1595" s="39" t="str">
        <f t="shared" si="74"/>
        <v xml:space="preserve"> </v>
      </c>
    </row>
    <row r="1596" spans="1:14">
      <c r="A1596" s="37">
        <f t="shared" si="72"/>
        <v>1585</v>
      </c>
      <c r="G1596" s="48" t="str">
        <f>IF(F1596=""," ",IF(ISNA(VLOOKUP(D1596,'[2]stock-take'!$A:$E,4,FALSE)), "OUT OF STOCK", VLOOKUP(D1596,'[2]stock-take'!$A:$E,4,FALSE)))</f>
        <v xml:space="preserve"> </v>
      </c>
      <c r="H1596" s="48">
        <f>IF(ISNA(VLOOKUP(D1596,'[2]stock-take'!$A:$E,3,FALSE)), 0, VLOOKUP(D1596,'[2]stock-take'!$A:$E,3,FALSE))</f>
        <v>0</v>
      </c>
      <c r="I1596" s="48" t="str">
        <f>IF(F1596="", " ",IF(ISNA(VLOOKUP(D1596,'[2]stock-take'!$G:$K,4,FALSE)), "OUT OF STOCK", VLOOKUP(D1596,'[2]stock-take'!$G:$K,4,FALSE)))</f>
        <v xml:space="preserve"> </v>
      </c>
      <c r="J1596" s="39">
        <f>IF(ISNA(VLOOKUP(D1596,'[2]stock-take'!$G:$K,3,FALSE)), 0, VLOOKUP(D1596,'[2]stock-take'!$G:$K,3,FALSE))</f>
        <v>0</v>
      </c>
      <c r="K1596" s="49" t="str">
        <f>IF(F1596="", " ", IF(ISNA(VLOOKUP(D1596,'[2]stock-take'!$M:$Q,4,FALSE)), "OUT OF STOCK", VLOOKUP(D1596,'[2]stock-take'!$M:$Q,4,FALSE)))</f>
        <v xml:space="preserve"> </v>
      </c>
      <c r="L1596" s="47">
        <f>IF(ISNA(VLOOKUP(D1596,'[2]stock-take'!$M:$Q,3,FALSE)), 0, VLOOKUP(D1596,'[2]stock-take'!$M:$Q,3,FALSE))</f>
        <v>0</v>
      </c>
      <c r="M1596" s="48" t="str">
        <f t="shared" si="73"/>
        <v xml:space="preserve"> </v>
      </c>
      <c r="N1596" s="39" t="str">
        <f t="shared" si="74"/>
        <v xml:space="preserve"> </v>
      </c>
    </row>
    <row r="1597" spans="1:14">
      <c r="A1597" s="37">
        <f t="shared" si="72"/>
        <v>1586</v>
      </c>
      <c r="G1597" s="48" t="str">
        <f>IF(F1597=""," ",IF(ISNA(VLOOKUP(D1597,'[2]stock-take'!$A:$E,4,FALSE)), "OUT OF STOCK", VLOOKUP(D1597,'[2]stock-take'!$A:$E,4,FALSE)))</f>
        <v xml:space="preserve"> </v>
      </c>
      <c r="H1597" s="48">
        <f>IF(ISNA(VLOOKUP(D1597,'[2]stock-take'!$A:$E,3,FALSE)), 0, VLOOKUP(D1597,'[2]stock-take'!$A:$E,3,FALSE))</f>
        <v>0</v>
      </c>
      <c r="I1597" s="48" t="str">
        <f>IF(F1597="", " ",IF(ISNA(VLOOKUP(D1597,'[2]stock-take'!$G:$K,4,FALSE)), "OUT OF STOCK", VLOOKUP(D1597,'[2]stock-take'!$G:$K,4,FALSE)))</f>
        <v xml:space="preserve"> </v>
      </c>
      <c r="J1597" s="39">
        <f>IF(ISNA(VLOOKUP(D1597,'[2]stock-take'!$G:$K,3,FALSE)), 0, VLOOKUP(D1597,'[2]stock-take'!$G:$K,3,FALSE))</f>
        <v>0</v>
      </c>
      <c r="K1597" s="49" t="str">
        <f>IF(F1597="", " ", IF(ISNA(VLOOKUP(D1597,'[2]stock-take'!$M:$Q,4,FALSE)), "OUT OF STOCK", VLOOKUP(D1597,'[2]stock-take'!$M:$Q,4,FALSE)))</f>
        <v xml:space="preserve"> </v>
      </c>
      <c r="L1597" s="47">
        <f>IF(ISNA(VLOOKUP(D1597,'[2]stock-take'!$M:$Q,3,FALSE)), 0, VLOOKUP(D1597,'[2]stock-take'!$M:$Q,3,FALSE))</f>
        <v>0</v>
      </c>
      <c r="M1597" s="48" t="str">
        <f t="shared" si="73"/>
        <v xml:space="preserve"> </v>
      </c>
      <c r="N1597" s="39" t="str">
        <f t="shared" si="74"/>
        <v xml:space="preserve"> </v>
      </c>
    </row>
    <row r="1598" spans="1:14">
      <c r="A1598" s="37">
        <f t="shared" si="72"/>
        <v>1587</v>
      </c>
      <c r="G1598" s="48" t="str">
        <f>IF(F1598=""," ",IF(ISNA(VLOOKUP(D1598,'[2]stock-take'!$A:$E,4,FALSE)), "OUT OF STOCK", VLOOKUP(D1598,'[2]stock-take'!$A:$E,4,FALSE)))</f>
        <v xml:space="preserve"> </v>
      </c>
      <c r="H1598" s="48">
        <f>IF(ISNA(VLOOKUP(D1598,'[2]stock-take'!$A:$E,3,FALSE)), 0, VLOOKUP(D1598,'[2]stock-take'!$A:$E,3,FALSE))</f>
        <v>0</v>
      </c>
      <c r="I1598" s="48" t="str">
        <f>IF(F1598="", " ",IF(ISNA(VLOOKUP(D1598,'[2]stock-take'!$G:$K,4,FALSE)), "OUT OF STOCK", VLOOKUP(D1598,'[2]stock-take'!$G:$K,4,FALSE)))</f>
        <v xml:space="preserve"> </v>
      </c>
      <c r="J1598" s="39">
        <f>IF(ISNA(VLOOKUP(D1598,'[2]stock-take'!$G:$K,3,FALSE)), 0, VLOOKUP(D1598,'[2]stock-take'!$G:$K,3,FALSE))</f>
        <v>0</v>
      </c>
      <c r="K1598" s="49" t="str">
        <f>IF(F1598="", " ", IF(ISNA(VLOOKUP(D1598,'[2]stock-take'!$M:$Q,4,FALSE)), "OUT OF STOCK", VLOOKUP(D1598,'[2]stock-take'!$M:$Q,4,FALSE)))</f>
        <v xml:space="preserve"> </v>
      </c>
      <c r="L1598" s="47">
        <f>IF(ISNA(VLOOKUP(D1598,'[2]stock-take'!$M:$Q,3,FALSE)), 0, VLOOKUP(D1598,'[2]stock-take'!$M:$Q,3,FALSE))</f>
        <v>0</v>
      </c>
      <c r="M1598" s="48" t="str">
        <f t="shared" si="73"/>
        <v xml:space="preserve"> </v>
      </c>
      <c r="N1598" s="39" t="str">
        <f t="shared" si="74"/>
        <v xml:space="preserve"> </v>
      </c>
    </row>
    <row r="1599" spans="1:14">
      <c r="A1599" s="37">
        <f t="shared" si="72"/>
        <v>1588</v>
      </c>
      <c r="G1599" s="48" t="str">
        <f>IF(F1599=""," ",IF(ISNA(VLOOKUP(D1599,'[2]stock-take'!$A:$E,4,FALSE)), "OUT OF STOCK", VLOOKUP(D1599,'[2]stock-take'!$A:$E,4,FALSE)))</f>
        <v xml:space="preserve"> </v>
      </c>
      <c r="H1599" s="48">
        <f>IF(ISNA(VLOOKUP(D1599,'[2]stock-take'!$A:$E,3,FALSE)), 0, VLOOKUP(D1599,'[2]stock-take'!$A:$E,3,FALSE))</f>
        <v>0</v>
      </c>
      <c r="I1599" s="48" t="str">
        <f>IF(F1599="", " ",IF(ISNA(VLOOKUP(D1599,'[2]stock-take'!$G:$K,4,FALSE)), "OUT OF STOCK", VLOOKUP(D1599,'[2]stock-take'!$G:$K,4,FALSE)))</f>
        <v xml:space="preserve"> </v>
      </c>
      <c r="J1599" s="39">
        <f>IF(ISNA(VLOOKUP(D1599,'[2]stock-take'!$G:$K,3,FALSE)), 0, VLOOKUP(D1599,'[2]stock-take'!$G:$K,3,FALSE))</f>
        <v>0</v>
      </c>
      <c r="K1599" s="49" t="str">
        <f>IF(F1599="", " ", IF(ISNA(VLOOKUP(D1599,'[2]stock-take'!$M:$Q,4,FALSE)), "OUT OF STOCK", VLOOKUP(D1599,'[2]stock-take'!$M:$Q,4,FALSE)))</f>
        <v xml:space="preserve"> </v>
      </c>
      <c r="L1599" s="47">
        <f>IF(ISNA(VLOOKUP(D1599,'[2]stock-take'!$M:$Q,3,FALSE)), 0, VLOOKUP(D1599,'[2]stock-take'!$M:$Q,3,FALSE))</f>
        <v>0</v>
      </c>
      <c r="M1599" s="48" t="str">
        <f t="shared" si="73"/>
        <v xml:space="preserve"> </v>
      </c>
      <c r="N1599" s="39" t="str">
        <f t="shared" si="74"/>
        <v xml:space="preserve"> </v>
      </c>
    </row>
    <row r="1600" spans="1:14">
      <c r="A1600" s="37">
        <f t="shared" si="72"/>
        <v>1589</v>
      </c>
      <c r="G1600" s="48" t="str">
        <f>IF(F1600=""," ",IF(ISNA(VLOOKUP(D1600,'[2]stock-take'!$A:$E,4,FALSE)), "OUT OF STOCK", VLOOKUP(D1600,'[2]stock-take'!$A:$E,4,FALSE)))</f>
        <v xml:space="preserve"> </v>
      </c>
      <c r="H1600" s="48">
        <f>IF(ISNA(VLOOKUP(D1600,'[2]stock-take'!$A:$E,3,FALSE)), 0, VLOOKUP(D1600,'[2]stock-take'!$A:$E,3,FALSE))</f>
        <v>0</v>
      </c>
      <c r="I1600" s="48" t="str">
        <f>IF(F1600="", " ",IF(ISNA(VLOOKUP(D1600,'[2]stock-take'!$G:$K,4,FALSE)), "OUT OF STOCK", VLOOKUP(D1600,'[2]stock-take'!$G:$K,4,FALSE)))</f>
        <v xml:space="preserve"> </v>
      </c>
      <c r="J1600" s="39">
        <f>IF(ISNA(VLOOKUP(D1600,'[2]stock-take'!$G:$K,3,FALSE)), 0, VLOOKUP(D1600,'[2]stock-take'!$G:$K,3,FALSE))</f>
        <v>0</v>
      </c>
      <c r="K1600" s="49" t="str">
        <f>IF(F1600="", " ", IF(ISNA(VLOOKUP(D1600,'[2]stock-take'!$M:$Q,4,FALSE)), "OUT OF STOCK", VLOOKUP(D1600,'[2]stock-take'!$M:$Q,4,FALSE)))</f>
        <v xml:space="preserve"> </v>
      </c>
      <c r="L1600" s="47">
        <f>IF(ISNA(VLOOKUP(D1600,'[2]stock-take'!$M:$Q,3,FALSE)), 0, VLOOKUP(D1600,'[2]stock-take'!$M:$Q,3,FALSE))</f>
        <v>0</v>
      </c>
      <c r="M1600" s="48" t="str">
        <f t="shared" si="73"/>
        <v xml:space="preserve"> </v>
      </c>
      <c r="N1600" s="39" t="str">
        <f t="shared" si="74"/>
        <v xml:space="preserve"> </v>
      </c>
    </row>
    <row r="1601" spans="1:14">
      <c r="A1601" s="37">
        <f t="shared" si="72"/>
        <v>1590</v>
      </c>
      <c r="G1601" s="48" t="str">
        <f>IF(F1601=""," ",IF(ISNA(VLOOKUP(D1601,'[2]stock-take'!$A:$E,4,FALSE)), "OUT OF STOCK", VLOOKUP(D1601,'[2]stock-take'!$A:$E,4,FALSE)))</f>
        <v xml:space="preserve"> </v>
      </c>
      <c r="H1601" s="48">
        <f>IF(ISNA(VLOOKUP(D1601,'[2]stock-take'!$A:$E,3,FALSE)), 0, VLOOKUP(D1601,'[2]stock-take'!$A:$E,3,FALSE))</f>
        <v>0</v>
      </c>
      <c r="I1601" s="48" t="str">
        <f>IF(F1601="", " ",IF(ISNA(VLOOKUP(D1601,'[2]stock-take'!$G:$K,4,FALSE)), "OUT OF STOCK", VLOOKUP(D1601,'[2]stock-take'!$G:$K,4,FALSE)))</f>
        <v xml:space="preserve"> </v>
      </c>
      <c r="J1601" s="39">
        <f>IF(ISNA(VLOOKUP(D1601,'[2]stock-take'!$G:$K,3,FALSE)), 0, VLOOKUP(D1601,'[2]stock-take'!$G:$K,3,FALSE))</f>
        <v>0</v>
      </c>
      <c r="K1601" s="49" t="str">
        <f>IF(F1601="", " ", IF(ISNA(VLOOKUP(D1601,'[2]stock-take'!$M:$Q,4,FALSE)), "OUT OF STOCK", VLOOKUP(D1601,'[2]stock-take'!$M:$Q,4,FALSE)))</f>
        <v xml:space="preserve"> </v>
      </c>
      <c r="L1601" s="47">
        <f>IF(ISNA(VLOOKUP(D1601,'[2]stock-take'!$M:$Q,3,FALSE)), 0, VLOOKUP(D1601,'[2]stock-take'!$M:$Q,3,FALSE))</f>
        <v>0</v>
      </c>
      <c r="M1601" s="48" t="str">
        <f t="shared" si="73"/>
        <v xml:space="preserve"> </v>
      </c>
      <c r="N1601" s="39" t="str">
        <f t="shared" si="74"/>
        <v xml:space="preserve"> </v>
      </c>
    </row>
    <row r="1602" spans="1:14">
      <c r="A1602" s="37">
        <f t="shared" si="72"/>
        <v>1591</v>
      </c>
      <c r="G1602" s="48" t="str">
        <f>IF(F1602=""," ",IF(ISNA(VLOOKUP(D1602,'[2]stock-take'!$A:$E,4,FALSE)), "OUT OF STOCK", VLOOKUP(D1602,'[2]stock-take'!$A:$E,4,FALSE)))</f>
        <v xml:space="preserve"> </v>
      </c>
      <c r="H1602" s="48">
        <f>IF(ISNA(VLOOKUP(D1602,'[2]stock-take'!$A:$E,3,FALSE)), 0, VLOOKUP(D1602,'[2]stock-take'!$A:$E,3,FALSE))</f>
        <v>0</v>
      </c>
      <c r="I1602" s="48" t="str">
        <f>IF(F1602="", " ",IF(ISNA(VLOOKUP(D1602,'[2]stock-take'!$G:$K,4,FALSE)), "OUT OF STOCK", VLOOKUP(D1602,'[2]stock-take'!$G:$K,4,FALSE)))</f>
        <v xml:space="preserve"> </v>
      </c>
      <c r="J1602" s="39">
        <f>IF(ISNA(VLOOKUP(D1602,'[2]stock-take'!$G:$K,3,FALSE)), 0, VLOOKUP(D1602,'[2]stock-take'!$G:$K,3,FALSE))</f>
        <v>0</v>
      </c>
      <c r="K1602" s="49" t="str">
        <f>IF(F1602="", " ", IF(ISNA(VLOOKUP(D1602,'[2]stock-take'!$M:$Q,4,FALSE)), "OUT OF STOCK", VLOOKUP(D1602,'[2]stock-take'!$M:$Q,4,FALSE)))</f>
        <v xml:space="preserve"> </v>
      </c>
      <c r="L1602" s="47">
        <f>IF(ISNA(VLOOKUP(D1602,'[2]stock-take'!$M:$Q,3,FALSE)), 0, VLOOKUP(D1602,'[2]stock-take'!$M:$Q,3,FALSE))</f>
        <v>0</v>
      </c>
      <c r="M1602" s="48" t="str">
        <f t="shared" si="73"/>
        <v xml:space="preserve"> </v>
      </c>
      <c r="N1602" s="39" t="str">
        <f t="shared" si="74"/>
        <v xml:space="preserve"> </v>
      </c>
    </row>
    <row r="1603" spans="1:14">
      <c r="A1603" s="37">
        <f t="shared" si="72"/>
        <v>1592</v>
      </c>
      <c r="G1603" s="48" t="str">
        <f>IF(F1603=""," ",IF(ISNA(VLOOKUP(D1603,'[2]stock-take'!$A:$E,4,FALSE)), "OUT OF STOCK", VLOOKUP(D1603,'[2]stock-take'!$A:$E,4,FALSE)))</f>
        <v xml:space="preserve"> </v>
      </c>
      <c r="H1603" s="48">
        <f>IF(ISNA(VLOOKUP(D1603,'[2]stock-take'!$A:$E,3,FALSE)), 0, VLOOKUP(D1603,'[2]stock-take'!$A:$E,3,FALSE))</f>
        <v>0</v>
      </c>
      <c r="I1603" s="48" t="str">
        <f>IF(F1603="", " ",IF(ISNA(VLOOKUP(D1603,'[2]stock-take'!$G:$K,4,FALSE)), "OUT OF STOCK", VLOOKUP(D1603,'[2]stock-take'!$G:$K,4,FALSE)))</f>
        <v xml:space="preserve"> </v>
      </c>
      <c r="J1603" s="39">
        <f>IF(ISNA(VLOOKUP(D1603,'[2]stock-take'!$G:$K,3,FALSE)), 0, VLOOKUP(D1603,'[2]stock-take'!$G:$K,3,FALSE))</f>
        <v>0</v>
      </c>
      <c r="K1603" s="49" t="str">
        <f>IF(F1603="", " ", IF(ISNA(VLOOKUP(D1603,'[2]stock-take'!$M:$Q,4,FALSE)), "OUT OF STOCK", VLOOKUP(D1603,'[2]stock-take'!$M:$Q,4,FALSE)))</f>
        <v xml:space="preserve"> </v>
      </c>
      <c r="L1603" s="47">
        <f>IF(ISNA(VLOOKUP(D1603,'[2]stock-take'!$M:$Q,3,FALSE)), 0, VLOOKUP(D1603,'[2]stock-take'!$M:$Q,3,FALSE))</f>
        <v>0</v>
      </c>
      <c r="M1603" s="48" t="str">
        <f t="shared" si="73"/>
        <v xml:space="preserve"> </v>
      </c>
      <c r="N1603" s="39" t="str">
        <f t="shared" si="74"/>
        <v xml:space="preserve"> </v>
      </c>
    </row>
    <row r="1604" spans="1:14">
      <c r="A1604" s="37">
        <f t="shared" si="72"/>
        <v>1593</v>
      </c>
      <c r="G1604" s="48" t="str">
        <f>IF(F1604=""," ",IF(ISNA(VLOOKUP(D1604,'[2]stock-take'!$A:$E,4,FALSE)), "OUT OF STOCK", VLOOKUP(D1604,'[2]stock-take'!$A:$E,4,FALSE)))</f>
        <v xml:space="preserve"> </v>
      </c>
      <c r="H1604" s="48">
        <f>IF(ISNA(VLOOKUP(D1604,'[2]stock-take'!$A:$E,3,FALSE)), 0, VLOOKUP(D1604,'[2]stock-take'!$A:$E,3,FALSE))</f>
        <v>0</v>
      </c>
      <c r="I1604" s="48" t="str">
        <f>IF(F1604="", " ",IF(ISNA(VLOOKUP(D1604,'[2]stock-take'!$G:$K,4,FALSE)), "OUT OF STOCK", VLOOKUP(D1604,'[2]stock-take'!$G:$K,4,FALSE)))</f>
        <v xml:space="preserve"> </v>
      </c>
      <c r="J1604" s="39">
        <f>IF(ISNA(VLOOKUP(D1604,'[2]stock-take'!$G:$K,3,FALSE)), 0, VLOOKUP(D1604,'[2]stock-take'!$G:$K,3,FALSE))</f>
        <v>0</v>
      </c>
      <c r="K1604" s="49" t="str">
        <f>IF(F1604="", " ", IF(ISNA(VLOOKUP(D1604,'[2]stock-take'!$M:$Q,4,FALSE)), "OUT OF STOCK", VLOOKUP(D1604,'[2]stock-take'!$M:$Q,4,FALSE)))</f>
        <v xml:space="preserve"> </v>
      </c>
      <c r="L1604" s="47">
        <f>IF(ISNA(VLOOKUP(D1604,'[2]stock-take'!$M:$Q,3,FALSE)), 0, VLOOKUP(D1604,'[2]stock-take'!$M:$Q,3,FALSE))</f>
        <v>0</v>
      </c>
      <c r="M1604" s="48" t="str">
        <f t="shared" si="73"/>
        <v xml:space="preserve"> </v>
      </c>
      <c r="N1604" s="39" t="str">
        <f t="shared" si="74"/>
        <v xml:space="preserve"> </v>
      </c>
    </row>
    <row r="1605" spans="1:14">
      <c r="A1605" s="37">
        <f t="shared" si="72"/>
        <v>1594</v>
      </c>
      <c r="G1605" s="48" t="str">
        <f>IF(F1605=""," ",IF(ISNA(VLOOKUP(D1605,'[2]stock-take'!$A:$E,4,FALSE)), "OUT OF STOCK", VLOOKUP(D1605,'[2]stock-take'!$A:$E,4,FALSE)))</f>
        <v xml:space="preserve"> </v>
      </c>
      <c r="H1605" s="48">
        <f>IF(ISNA(VLOOKUP(D1605,'[2]stock-take'!$A:$E,3,FALSE)), 0, VLOOKUP(D1605,'[2]stock-take'!$A:$E,3,FALSE))</f>
        <v>0</v>
      </c>
      <c r="I1605" s="48" t="str">
        <f>IF(F1605="", " ",IF(ISNA(VLOOKUP(D1605,'[2]stock-take'!$G:$K,4,FALSE)), "OUT OF STOCK", VLOOKUP(D1605,'[2]stock-take'!$G:$K,4,FALSE)))</f>
        <v xml:space="preserve"> </v>
      </c>
      <c r="J1605" s="39">
        <f>IF(ISNA(VLOOKUP(D1605,'[2]stock-take'!$G:$K,3,FALSE)), 0, VLOOKUP(D1605,'[2]stock-take'!$G:$K,3,FALSE))</f>
        <v>0</v>
      </c>
      <c r="K1605" s="49" t="str">
        <f>IF(F1605="", " ", IF(ISNA(VLOOKUP(D1605,'[2]stock-take'!$M:$Q,4,FALSE)), "OUT OF STOCK", VLOOKUP(D1605,'[2]stock-take'!$M:$Q,4,FALSE)))</f>
        <v xml:space="preserve"> </v>
      </c>
      <c r="L1605" s="47">
        <f>IF(ISNA(VLOOKUP(D1605,'[2]stock-take'!$M:$Q,3,FALSE)), 0, VLOOKUP(D1605,'[2]stock-take'!$M:$Q,3,FALSE))</f>
        <v>0</v>
      </c>
      <c r="M1605" s="48" t="str">
        <f t="shared" si="73"/>
        <v xml:space="preserve"> </v>
      </c>
      <c r="N1605" s="39" t="str">
        <f t="shared" si="74"/>
        <v xml:space="preserve"> </v>
      </c>
    </row>
    <row r="1606" spans="1:14">
      <c r="A1606" s="37">
        <f t="shared" si="72"/>
        <v>1595</v>
      </c>
      <c r="G1606" s="48" t="str">
        <f>IF(F1606=""," ",IF(ISNA(VLOOKUP(D1606,'[2]stock-take'!$A:$E,4,FALSE)), "OUT OF STOCK", VLOOKUP(D1606,'[2]stock-take'!$A:$E,4,FALSE)))</f>
        <v xml:space="preserve"> </v>
      </c>
      <c r="H1606" s="48">
        <f>IF(ISNA(VLOOKUP(D1606,'[2]stock-take'!$A:$E,3,FALSE)), 0, VLOOKUP(D1606,'[2]stock-take'!$A:$E,3,FALSE))</f>
        <v>0</v>
      </c>
      <c r="I1606" s="48" t="str">
        <f>IF(F1606="", " ",IF(ISNA(VLOOKUP(D1606,'[2]stock-take'!$G:$K,4,FALSE)), "OUT OF STOCK", VLOOKUP(D1606,'[2]stock-take'!$G:$K,4,FALSE)))</f>
        <v xml:space="preserve"> </v>
      </c>
      <c r="J1606" s="39">
        <f>IF(ISNA(VLOOKUP(D1606,'[2]stock-take'!$G:$K,3,FALSE)), 0, VLOOKUP(D1606,'[2]stock-take'!$G:$K,3,FALSE))</f>
        <v>0</v>
      </c>
      <c r="K1606" s="49" t="str">
        <f>IF(F1606="", " ", IF(ISNA(VLOOKUP(D1606,'[2]stock-take'!$M:$Q,4,FALSE)), "OUT OF STOCK", VLOOKUP(D1606,'[2]stock-take'!$M:$Q,4,FALSE)))</f>
        <v xml:space="preserve"> </v>
      </c>
      <c r="L1606" s="47">
        <f>IF(ISNA(VLOOKUP(D1606,'[2]stock-take'!$M:$Q,3,FALSE)), 0, VLOOKUP(D1606,'[2]stock-take'!$M:$Q,3,FALSE))</f>
        <v>0</v>
      </c>
      <c r="M1606" s="48" t="str">
        <f t="shared" si="73"/>
        <v xml:space="preserve"> </v>
      </c>
      <c r="N1606" s="39" t="str">
        <f t="shared" si="74"/>
        <v xml:space="preserve"> </v>
      </c>
    </row>
    <row r="1607" spans="1:14">
      <c r="A1607" s="37">
        <f t="shared" si="72"/>
        <v>1596</v>
      </c>
      <c r="G1607" s="48" t="str">
        <f>IF(F1607=""," ",IF(ISNA(VLOOKUP(D1607,'[2]stock-take'!$A:$E,4,FALSE)), "OUT OF STOCK", VLOOKUP(D1607,'[2]stock-take'!$A:$E,4,FALSE)))</f>
        <v xml:space="preserve"> </v>
      </c>
      <c r="H1607" s="48">
        <f>IF(ISNA(VLOOKUP(D1607,'[2]stock-take'!$A:$E,3,FALSE)), 0, VLOOKUP(D1607,'[2]stock-take'!$A:$E,3,FALSE))</f>
        <v>0</v>
      </c>
      <c r="I1607" s="48" t="str">
        <f>IF(F1607="", " ",IF(ISNA(VLOOKUP(D1607,'[2]stock-take'!$G:$K,4,FALSE)), "OUT OF STOCK", VLOOKUP(D1607,'[2]stock-take'!$G:$K,4,FALSE)))</f>
        <v xml:space="preserve"> </v>
      </c>
      <c r="J1607" s="39">
        <f>IF(ISNA(VLOOKUP(D1607,'[2]stock-take'!$G:$K,3,FALSE)), 0, VLOOKUP(D1607,'[2]stock-take'!$G:$K,3,FALSE))</f>
        <v>0</v>
      </c>
      <c r="K1607" s="49" t="str">
        <f>IF(F1607="", " ", IF(ISNA(VLOOKUP(D1607,'[2]stock-take'!$M:$Q,4,FALSE)), "OUT OF STOCK", VLOOKUP(D1607,'[2]stock-take'!$M:$Q,4,FALSE)))</f>
        <v xml:space="preserve"> </v>
      </c>
      <c r="L1607" s="47">
        <f>IF(ISNA(VLOOKUP(D1607,'[2]stock-take'!$M:$Q,3,FALSE)), 0, VLOOKUP(D1607,'[2]stock-take'!$M:$Q,3,FALSE))</f>
        <v>0</v>
      </c>
      <c r="M1607" s="48" t="str">
        <f t="shared" si="73"/>
        <v xml:space="preserve"> </v>
      </c>
      <c r="N1607" s="39" t="str">
        <f t="shared" si="74"/>
        <v xml:space="preserve"> </v>
      </c>
    </row>
    <row r="1608" spans="1:14">
      <c r="A1608" s="37">
        <f t="shared" si="72"/>
        <v>1597</v>
      </c>
      <c r="G1608" s="48" t="str">
        <f>IF(F1608=""," ",IF(ISNA(VLOOKUP(D1608,'[2]stock-take'!$A:$E,4,FALSE)), "OUT OF STOCK", VLOOKUP(D1608,'[2]stock-take'!$A:$E,4,FALSE)))</f>
        <v xml:space="preserve"> </v>
      </c>
      <c r="H1608" s="48">
        <f>IF(ISNA(VLOOKUP(D1608,'[2]stock-take'!$A:$E,3,FALSE)), 0, VLOOKUP(D1608,'[2]stock-take'!$A:$E,3,FALSE))</f>
        <v>0</v>
      </c>
      <c r="I1608" s="48" t="str">
        <f>IF(F1608="", " ",IF(ISNA(VLOOKUP(D1608,'[2]stock-take'!$G:$K,4,FALSE)), "OUT OF STOCK", VLOOKUP(D1608,'[2]stock-take'!$G:$K,4,FALSE)))</f>
        <v xml:space="preserve"> </v>
      </c>
      <c r="J1608" s="39">
        <f>IF(ISNA(VLOOKUP(D1608,'[2]stock-take'!$G:$K,3,FALSE)), 0, VLOOKUP(D1608,'[2]stock-take'!$G:$K,3,FALSE))</f>
        <v>0</v>
      </c>
      <c r="K1608" s="49" t="str">
        <f>IF(F1608="", " ", IF(ISNA(VLOOKUP(D1608,'[2]stock-take'!$M:$Q,4,FALSE)), "OUT OF STOCK", VLOOKUP(D1608,'[2]stock-take'!$M:$Q,4,FALSE)))</f>
        <v xml:space="preserve"> </v>
      </c>
      <c r="L1608" s="47">
        <f>IF(ISNA(VLOOKUP(D1608,'[2]stock-take'!$M:$Q,3,FALSE)), 0, VLOOKUP(D1608,'[2]stock-take'!$M:$Q,3,FALSE))</f>
        <v>0</v>
      </c>
      <c r="M1608" s="48" t="str">
        <f t="shared" si="73"/>
        <v xml:space="preserve"> </v>
      </c>
      <c r="N1608" s="39" t="str">
        <f t="shared" si="74"/>
        <v xml:space="preserve"> </v>
      </c>
    </row>
    <row r="1609" spans="1:14">
      <c r="A1609" s="37">
        <f t="shared" si="72"/>
        <v>1598</v>
      </c>
      <c r="G1609" s="48" t="str">
        <f>IF(F1609=""," ",IF(ISNA(VLOOKUP(D1609,'[2]stock-take'!$A:$E,4,FALSE)), "OUT OF STOCK", VLOOKUP(D1609,'[2]stock-take'!$A:$E,4,FALSE)))</f>
        <v xml:space="preserve"> </v>
      </c>
      <c r="H1609" s="48">
        <f>IF(ISNA(VLOOKUP(D1609,'[2]stock-take'!$A:$E,3,FALSE)), 0, VLOOKUP(D1609,'[2]stock-take'!$A:$E,3,FALSE))</f>
        <v>0</v>
      </c>
      <c r="I1609" s="48" t="str">
        <f>IF(F1609="", " ",IF(ISNA(VLOOKUP(D1609,'[2]stock-take'!$G:$K,4,FALSE)), "OUT OF STOCK", VLOOKUP(D1609,'[2]stock-take'!$G:$K,4,FALSE)))</f>
        <v xml:space="preserve"> </v>
      </c>
      <c r="J1609" s="39">
        <f>IF(ISNA(VLOOKUP(D1609,'[2]stock-take'!$G:$K,3,FALSE)), 0, VLOOKUP(D1609,'[2]stock-take'!$G:$K,3,FALSE))</f>
        <v>0</v>
      </c>
      <c r="K1609" s="49" t="str">
        <f>IF(F1609="", " ", IF(ISNA(VLOOKUP(D1609,'[2]stock-take'!$M:$Q,4,FALSE)), "OUT OF STOCK", VLOOKUP(D1609,'[2]stock-take'!$M:$Q,4,FALSE)))</f>
        <v xml:space="preserve"> </v>
      </c>
      <c r="L1609" s="47">
        <f>IF(ISNA(VLOOKUP(D1609,'[2]stock-take'!$M:$Q,3,FALSE)), 0, VLOOKUP(D1609,'[2]stock-take'!$M:$Q,3,FALSE))</f>
        <v>0</v>
      </c>
      <c r="M1609" s="48" t="str">
        <f t="shared" si="73"/>
        <v xml:space="preserve"> </v>
      </c>
      <c r="N1609" s="39" t="str">
        <f t="shared" si="74"/>
        <v xml:space="preserve"> </v>
      </c>
    </row>
    <row r="1610" spans="1:14">
      <c r="A1610" s="37">
        <f t="shared" si="72"/>
        <v>1599</v>
      </c>
      <c r="G1610" s="48" t="str">
        <f>IF(F1610=""," ",IF(ISNA(VLOOKUP(D1610,'[2]stock-take'!$A:$E,4,FALSE)), "OUT OF STOCK", VLOOKUP(D1610,'[2]stock-take'!$A:$E,4,FALSE)))</f>
        <v xml:space="preserve"> </v>
      </c>
      <c r="H1610" s="48">
        <f>IF(ISNA(VLOOKUP(D1610,'[2]stock-take'!$A:$E,3,FALSE)), 0, VLOOKUP(D1610,'[2]stock-take'!$A:$E,3,FALSE))</f>
        <v>0</v>
      </c>
      <c r="I1610" s="48" t="str">
        <f>IF(F1610="", " ",IF(ISNA(VLOOKUP(D1610,'[2]stock-take'!$G:$K,4,FALSE)), "OUT OF STOCK", VLOOKUP(D1610,'[2]stock-take'!$G:$K,4,FALSE)))</f>
        <v xml:space="preserve"> </v>
      </c>
      <c r="J1610" s="39">
        <f>IF(ISNA(VLOOKUP(D1610,'[2]stock-take'!$G:$K,3,FALSE)), 0, VLOOKUP(D1610,'[2]stock-take'!$G:$K,3,FALSE))</f>
        <v>0</v>
      </c>
      <c r="K1610" s="49" t="str">
        <f>IF(F1610="", " ", IF(ISNA(VLOOKUP(D1610,'[2]stock-take'!$M:$Q,4,FALSE)), "OUT OF STOCK", VLOOKUP(D1610,'[2]stock-take'!$M:$Q,4,FALSE)))</f>
        <v xml:space="preserve"> </v>
      </c>
      <c r="L1610" s="47">
        <f>IF(ISNA(VLOOKUP(D1610,'[2]stock-take'!$M:$Q,3,FALSE)), 0, VLOOKUP(D1610,'[2]stock-take'!$M:$Q,3,FALSE))</f>
        <v>0</v>
      </c>
      <c r="M1610" s="48" t="str">
        <f t="shared" si="73"/>
        <v xml:space="preserve"> </v>
      </c>
      <c r="N1610" s="39" t="str">
        <f t="shared" si="74"/>
        <v xml:space="preserve"> </v>
      </c>
    </row>
    <row r="1611" spans="1:14">
      <c r="A1611" s="37">
        <f t="shared" si="72"/>
        <v>1600</v>
      </c>
      <c r="G1611" s="48" t="str">
        <f>IF(F1611=""," ",IF(ISNA(VLOOKUP(D1611,'[2]stock-take'!$A:$E,4,FALSE)), "OUT OF STOCK", VLOOKUP(D1611,'[2]stock-take'!$A:$E,4,FALSE)))</f>
        <v xml:space="preserve"> </v>
      </c>
      <c r="H1611" s="48">
        <f>IF(ISNA(VLOOKUP(D1611,'[2]stock-take'!$A:$E,3,FALSE)), 0, VLOOKUP(D1611,'[2]stock-take'!$A:$E,3,FALSE))</f>
        <v>0</v>
      </c>
      <c r="I1611" s="48" t="str">
        <f>IF(F1611="", " ",IF(ISNA(VLOOKUP(D1611,'[2]stock-take'!$G:$K,4,FALSE)), "OUT OF STOCK", VLOOKUP(D1611,'[2]stock-take'!$G:$K,4,FALSE)))</f>
        <v xml:space="preserve"> </v>
      </c>
      <c r="J1611" s="39">
        <f>IF(ISNA(VLOOKUP(D1611,'[2]stock-take'!$G:$K,3,FALSE)), 0, VLOOKUP(D1611,'[2]stock-take'!$G:$K,3,FALSE))</f>
        <v>0</v>
      </c>
      <c r="K1611" s="49" t="str">
        <f>IF(F1611="", " ", IF(ISNA(VLOOKUP(D1611,'[2]stock-take'!$M:$Q,4,FALSE)), "OUT OF STOCK", VLOOKUP(D1611,'[2]stock-take'!$M:$Q,4,FALSE)))</f>
        <v xml:space="preserve"> </v>
      </c>
      <c r="L1611" s="47">
        <f>IF(ISNA(VLOOKUP(D1611,'[2]stock-take'!$M:$Q,3,FALSE)), 0, VLOOKUP(D1611,'[2]stock-take'!$M:$Q,3,FALSE))</f>
        <v>0</v>
      </c>
      <c r="M1611" s="48" t="str">
        <f t="shared" si="73"/>
        <v xml:space="preserve"> </v>
      </c>
      <c r="N1611" s="39" t="str">
        <f t="shared" si="74"/>
        <v xml:space="preserve"> </v>
      </c>
    </row>
    <row r="1612" spans="1:14">
      <c r="A1612" s="37">
        <f t="shared" ref="A1612:A1675" si="75">ROW(A1612)-11</f>
        <v>1601</v>
      </c>
      <c r="G1612" s="48" t="str">
        <f>IF(F1612=""," ",IF(ISNA(VLOOKUP(D1612,'[2]stock-take'!$A:$E,4,FALSE)), "OUT OF STOCK", VLOOKUP(D1612,'[2]stock-take'!$A:$E,4,FALSE)))</f>
        <v xml:space="preserve"> </v>
      </c>
      <c r="H1612" s="48">
        <f>IF(ISNA(VLOOKUP(D1612,'[2]stock-take'!$A:$E,3,FALSE)), 0, VLOOKUP(D1612,'[2]stock-take'!$A:$E,3,FALSE))</f>
        <v>0</v>
      </c>
      <c r="I1612" s="48" t="str">
        <f>IF(F1612="", " ",IF(ISNA(VLOOKUP(D1612,'[2]stock-take'!$G:$K,4,FALSE)), "OUT OF STOCK", VLOOKUP(D1612,'[2]stock-take'!$G:$K,4,FALSE)))</f>
        <v xml:space="preserve"> </v>
      </c>
      <c r="J1612" s="39">
        <f>IF(ISNA(VLOOKUP(D1612,'[2]stock-take'!$G:$K,3,FALSE)), 0, VLOOKUP(D1612,'[2]stock-take'!$G:$K,3,FALSE))</f>
        <v>0</v>
      </c>
      <c r="K1612" s="49" t="str">
        <f>IF(F1612="", " ", IF(ISNA(VLOOKUP(D1612,'[2]stock-take'!$M:$Q,4,FALSE)), "OUT OF STOCK", VLOOKUP(D1612,'[2]stock-take'!$M:$Q,4,FALSE)))</f>
        <v xml:space="preserve"> </v>
      </c>
      <c r="L1612" s="47">
        <f>IF(ISNA(VLOOKUP(D1612,'[2]stock-take'!$M:$Q,3,FALSE)), 0, VLOOKUP(D1612,'[2]stock-take'!$M:$Q,3,FALSE))</f>
        <v>0</v>
      </c>
      <c r="M1612" s="48" t="str">
        <f t="shared" si="73"/>
        <v xml:space="preserve"> </v>
      </c>
      <c r="N1612" s="39" t="str">
        <f t="shared" si="74"/>
        <v xml:space="preserve"> </v>
      </c>
    </row>
    <row r="1613" spans="1:14">
      <c r="A1613" s="37">
        <f t="shared" si="75"/>
        <v>1602</v>
      </c>
      <c r="G1613" s="48" t="str">
        <f>IF(F1613=""," ",IF(ISNA(VLOOKUP(D1613,'[2]stock-take'!$A:$E,4,FALSE)), "OUT OF STOCK", VLOOKUP(D1613,'[2]stock-take'!$A:$E,4,FALSE)))</f>
        <v xml:space="preserve"> </v>
      </c>
      <c r="H1613" s="48">
        <f>IF(ISNA(VLOOKUP(D1613,'[2]stock-take'!$A:$E,3,FALSE)), 0, VLOOKUP(D1613,'[2]stock-take'!$A:$E,3,FALSE))</f>
        <v>0</v>
      </c>
      <c r="I1613" s="48" t="str">
        <f>IF(F1613="", " ",IF(ISNA(VLOOKUP(D1613,'[2]stock-take'!$G:$K,4,FALSE)), "OUT OF STOCK", VLOOKUP(D1613,'[2]stock-take'!$G:$K,4,FALSE)))</f>
        <v xml:space="preserve"> </v>
      </c>
      <c r="J1613" s="39">
        <f>IF(ISNA(VLOOKUP(D1613,'[2]stock-take'!$G:$K,3,FALSE)), 0, VLOOKUP(D1613,'[2]stock-take'!$G:$K,3,FALSE))</f>
        <v>0</v>
      </c>
      <c r="K1613" s="49" t="str">
        <f>IF(F1613="", " ", IF(ISNA(VLOOKUP(D1613,'[2]stock-take'!$M:$Q,4,FALSE)), "OUT OF STOCK", VLOOKUP(D1613,'[2]stock-take'!$M:$Q,4,FALSE)))</f>
        <v xml:space="preserve"> </v>
      </c>
      <c r="L1613" s="47">
        <f>IF(ISNA(VLOOKUP(D1613,'[2]stock-take'!$M:$Q,3,FALSE)), 0, VLOOKUP(D1613,'[2]stock-take'!$M:$Q,3,FALSE))</f>
        <v>0</v>
      </c>
      <c r="M1613" s="48" t="str">
        <f t="shared" ref="M1613:M1676" si="76">IF(F1613=""," ",IF(H1613&gt;=F1613,"Y",IF(J1613&gt;=F1613,"Y",IF(L1613&gt;=F1613,"Y",IF(SUM(H1613,J1613,L1613)&gt;=F1613,"Y","N")))))</f>
        <v xml:space="preserve"> </v>
      </c>
      <c r="N1613" s="39" t="str">
        <f t="shared" ref="N1613:N1676" si="77">IF(F1613=""," ",IF(H1613&gt;=F1613,"ILOOM",IF(J1613&gt;=F1613,"NO.6",IF(L1613&gt;=F1613,"RMD",IF(SUM(H1613,J1613,L1613)&gt;=F1613,"MULTI","LACK")))))</f>
        <v xml:space="preserve"> </v>
      </c>
    </row>
    <row r="1614" spans="1:14">
      <c r="A1614" s="37">
        <f t="shared" si="75"/>
        <v>1603</v>
      </c>
      <c r="G1614" s="48" t="str">
        <f>IF(F1614=""," ",IF(ISNA(VLOOKUP(D1614,'[2]stock-take'!$A:$E,4,FALSE)), "OUT OF STOCK", VLOOKUP(D1614,'[2]stock-take'!$A:$E,4,FALSE)))</f>
        <v xml:space="preserve"> </v>
      </c>
      <c r="H1614" s="48">
        <f>IF(ISNA(VLOOKUP(D1614,'[2]stock-take'!$A:$E,3,FALSE)), 0, VLOOKUP(D1614,'[2]stock-take'!$A:$E,3,FALSE))</f>
        <v>0</v>
      </c>
      <c r="I1614" s="48" t="str">
        <f>IF(F1614="", " ",IF(ISNA(VLOOKUP(D1614,'[2]stock-take'!$G:$K,4,FALSE)), "OUT OF STOCK", VLOOKUP(D1614,'[2]stock-take'!$G:$K,4,FALSE)))</f>
        <v xml:space="preserve"> </v>
      </c>
      <c r="J1614" s="39">
        <f>IF(ISNA(VLOOKUP(D1614,'[2]stock-take'!$G:$K,3,FALSE)), 0, VLOOKUP(D1614,'[2]stock-take'!$G:$K,3,FALSE))</f>
        <v>0</v>
      </c>
      <c r="K1614" s="49" t="str">
        <f>IF(F1614="", " ", IF(ISNA(VLOOKUP(D1614,'[2]stock-take'!$M:$Q,4,FALSE)), "OUT OF STOCK", VLOOKUP(D1614,'[2]stock-take'!$M:$Q,4,FALSE)))</f>
        <v xml:space="preserve"> </v>
      </c>
      <c r="L1614" s="47">
        <f>IF(ISNA(VLOOKUP(D1614,'[2]stock-take'!$M:$Q,3,FALSE)), 0, VLOOKUP(D1614,'[2]stock-take'!$M:$Q,3,FALSE))</f>
        <v>0</v>
      </c>
      <c r="M1614" s="48" t="str">
        <f t="shared" si="76"/>
        <v xml:space="preserve"> </v>
      </c>
      <c r="N1614" s="39" t="str">
        <f t="shared" si="77"/>
        <v xml:space="preserve"> </v>
      </c>
    </row>
    <row r="1615" spans="1:14">
      <c r="A1615" s="37">
        <f t="shared" si="75"/>
        <v>1604</v>
      </c>
      <c r="G1615" s="48" t="str">
        <f>IF(F1615=""," ",IF(ISNA(VLOOKUP(D1615,'[2]stock-take'!$A:$E,4,FALSE)), "OUT OF STOCK", VLOOKUP(D1615,'[2]stock-take'!$A:$E,4,FALSE)))</f>
        <v xml:space="preserve"> </v>
      </c>
      <c r="H1615" s="48">
        <f>IF(ISNA(VLOOKUP(D1615,'[2]stock-take'!$A:$E,3,FALSE)), 0, VLOOKUP(D1615,'[2]stock-take'!$A:$E,3,FALSE))</f>
        <v>0</v>
      </c>
      <c r="I1615" s="48" t="str">
        <f>IF(F1615="", " ",IF(ISNA(VLOOKUP(D1615,'[2]stock-take'!$G:$K,4,FALSE)), "OUT OF STOCK", VLOOKUP(D1615,'[2]stock-take'!$G:$K,4,FALSE)))</f>
        <v xml:space="preserve"> </v>
      </c>
      <c r="J1615" s="39">
        <f>IF(ISNA(VLOOKUP(D1615,'[2]stock-take'!$G:$K,3,FALSE)), 0, VLOOKUP(D1615,'[2]stock-take'!$G:$K,3,FALSE))</f>
        <v>0</v>
      </c>
      <c r="K1615" s="49" t="str">
        <f>IF(F1615="", " ", IF(ISNA(VLOOKUP(D1615,'[2]stock-take'!$M:$Q,4,FALSE)), "OUT OF STOCK", VLOOKUP(D1615,'[2]stock-take'!$M:$Q,4,FALSE)))</f>
        <v xml:space="preserve"> </v>
      </c>
      <c r="L1615" s="47">
        <f>IF(ISNA(VLOOKUP(D1615,'[2]stock-take'!$M:$Q,3,FALSE)), 0, VLOOKUP(D1615,'[2]stock-take'!$M:$Q,3,FALSE))</f>
        <v>0</v>
      </c>
      <c r="M1615" s="48" t="str">
        <f t="shared" si="76"/>
        <v xml:space="preserve"> </v>
      </c>
      <c r="N1615" s="39" t="str">
        <f t="shared" si="77"/>
        <v xml:space="preserve"> </v>
      </c>
    </row>
    <row r="1616" spans="1:14">
      <c r="A1616" s="37">
        <f t="shared" si="75"/>
        <v>1605</v>
      </c>
      <c r="G1616" s="48" t="str">
        <f>IF(F1616=""," ",IF(ISNA(VLOOKUP(D1616,'[2]stock-take'!$A:$E,4,FALSE)), "OUT OF STOCK", VLOOKUP(D1616,'[2]stock-take'!$A:$E,4,FALSE)))</f>
        <v xml:space="preserve"> </v>
      </c>
      <c r="H1616" s="48">
        <f>IF(ISNA(VLOOKUP(D1616,'[2]stock-take'!$A:$E,3,FALSE)), 0, VLOOKUP(D1616,'[2]stock-take'!$A:$E,3,FALSE))</f>
        <v>0</v>
      </c>
      <c r="I1616" s="48" t="str">
        <f>IF(F1616="", " ",IF(ISNA(VLOOKUP(D1616,'[2]stock-take'!$G:$K,4,FALSE)), "OUT OF STOCK", VLOOKUP(D1616,'[2]stock-take'!$G:$K,4,FALSE)))</f>
        <v xml:space="preserve"> </v>
      </c>
      <c r="J1616" s="39">
        <f>IF(ISNA(VLOOKUP(D1616,'[2]stock-take'!$G:$K,3,FALSE)), 0, VLOOKUP(D1616,'[2]stock-take'!$G:$K,3,FALSE))</f>
        <v>0</v>
      </c>
      <c r="K1616" s="49" t="str">
        <f>IF(F1616="", " ", IF(ISNA(VLOOKUP(D1616,'[2]stock-take'!$M:$Q,4,FALSE)), "OUT OF STOCK", VLOOKUP(D1616,'[2]stock-take'!$M:$Q,4,FALSE)))</f>
        <v xml:space="preserve"> </v>
      </c>
      <c r="L1616" s="47">
        <f>IF(ISNA(VLOOKUP(D1616,'[2]stock-take'!$M:$Q,3,FALSE)), 0, VLOOKUP(D1616,'[2]stock-take'!$M:$Q,3,FALSE))</f>
        <v>0</v>
      </c>
      <c r="M1616" s="48" t="str">
        <f t="shared" si="76"/>
        <v xml:space="preserve"> </v>
      </c>
      <c r="N1616" s="39" t="str">
        <f t="shared" si="77"/>
        <v xml:space="preserve"> </v>
      </c>
    </row>
    <row r="1617" spans="1:14">
      <c r="A1617" s="37">
        <f t="shared" si="75"/>
        <v>1606</v>
      </c>
      <c r="G1617" s="48" t="str">
        <f>IF(F1617=""," ",IF(ISNA(VLOOKUP(D1617,'[2]stock-take'!$A:$E,4,FALSE)), "OUT OF STOCK", VLOOKUP(D1617,'[2]stock-take'!$A:$E,4,FALSE)))</f>
        <v xml:space="preserve"> </v>
      </c>
      <c r="H1617" s="48">
        <f>IF(ISNA(VLOOKUP(D1617,'[2]stock-take'!$A:$E,3,FALSE)), 0, VLOOKUP(D1617,'[2]stock-take'!$A:$E,3,FALSE))</f>
        <v>0</v>
      </c>
      <c r="I1617" s="48" t="str">
        <f>IF(F1617="", " ",IF(ISNA(VLOOKUP(D1617,'[2]stock-take'!$G:$K,4,FALSE)), "OUT OF STOCK", VLOOKUP(D1617,'[2]stock-take'!$G:$K,4,FALSE)))</f>
        <v xml:space="preserve"> </v>
      </c>
      <c r="J1617" s="39">
        <f>IF(ISNA(VLOOKUP(D1617,'[2]stock-take'!$G:$K,3,FALSE)), 0, VLOOKUP(D1617,'[2]stock-take'!$G:$K,3,FALSE))</f>
        <v>0</v>
      </c>
      <c r="K1617" s="49" t="str">
        <f>IF(F1617="", " ", IF(ISNA(VLOOKUP(D1617,'[2]stock-take'!$M:$Q,4,FALSE)), "OUT OF STOCK", VLOOKUP(D1617,'[2]stock-take'!$M:$Q,4,FALSE)))</f>
        <v xml:space="preserve"> </v>
      </c>
      <c r="L1617" s="47">
        <f>IF(ISNA(VLOOKUP(D1617,'[2]stock-take'!$M:$Q,3,FALSE)), 0, VLOOKUP(D1617,'[2]stock-take'!$M:$Q,3,FALSE))</f>
        <v>0</v>
      </c>
      <c r="M1617" s="48" t="str">
        <f t="shared" si="76"/>
        <v xml:space="preserve"> </v>
      </c>
      <c r="N1617" s="39" t="str">
        <f t="shared" si="77"/>
        <v xml:space="preserve"> </v>
      </c>
    </row>
    <row r="1618" spans="1:14">
      <c r="A1618" s="37">
        <f t="shared" si="75"/>
        <v>1607</v>
      </c>
      <c r="G1618" s="48" t="str">
        <f>IF(F1618=""," ",IF(ISNA(VLOOKUP(D1618,'[2]stock-take'!$A:$E,4,FALSE)), "OUT OF STOCK", VLOOKUP(D1618,'[2]stock-take'!$A:$E,4,FALSE)))</f>
        <v xml:space="preserve"> </v>
      </c>
      <c r="H1618" s="48">
        <f>IF(ISNA(VLOOKUP(D1618,'[2]stock-take'!$A:$E,3,FALSE)), 0, VLOOKUP(D1618,'[2]stock-take'!$A:$E,3,FALSE))</f>
        <v>0</v>
      </c>
      <c r="I1618" s="48" t="str">
        <f>IF(F1618="", " ",IF(ISNA(VLOOKUP(D1618,'[2]stock-take'!$G:$K,4,FALSE)), "OUT OF STOCK", VLOOKUP(D1618,'[2]stock-take'!$G:$K,4,FALSE)))</f>
        <v xml:space="preserve"> </v>
      </c>
      <c r="J1618" s="39">
        <f>IF(ISNA(VLOOKUP(D1618,'[2]stock-take'!$G:$K,3,FALSE)), 0, VLOOKUP(D1618,'[2]stock-take'!$G:$K,3,FALSE))</f>
        <v>0</v>
      </c>
      <c r="K1618" s="49" t="str">
        <f>IF(F1618="", " ", IF(ISNA(VLOOKUP(D1618,'[2]stock-take'!$M:$Q,4,FALSE)), "OUT OF STOCK", VLOOKUP(D1618,'[2]stock-take'!$M:$Q,4,FALSE)))</f>
        <v xml:space="preserve"> </v>
      </c>
      <c r="L1618" s="47">
        <f>IF(ISNA(VLOOKUP(D1618,'[2]stock-take'!$M:$Q,3,FALSE)), 0, VLOOKUP(D1618,'[2]stock-take'!$M:$Q,3,FALSE))</f>
        <v>0</v>
      </c>
      <c r="M1618" s="48" t="str">
        <f t="shared" si="76"/>
        <v xml:space="preserve"> </v>
      </c>
      <c r="N1618" s="39" t="str">
        <f t="shared" si="77"/>
        <v xml:space="preserve"> </v>
      </c>
    </row>
    <row r="1619" spans="1:14">
      <c r="A1619" s="37">
        <f t="shared" si="75"/>
        <v>1608</v>
      </c>
      <c r="G1619" s="48" t="str">
        <f>IF(F1619=""," ",IF(ISNA(VLOOKUP(D1619,'[2]stock-take'!$A:$E,4,FALSE)), "OUT OF STOCK", VLOOKUP(D1619,'[2]stock-take'!$A:$E,4,FALSE)))</f>
        <v xml:space="preserve"> </v>
      </c>
      <c r="H1619" s="48">
        <f>IF(ISNA(VLOOKUP(D1619,'[2]stock-take'!$A:$E,3,FALSE)), 0, VLOOKUP(D1619,'[2]stock-take'!$A:$E,3,FALSE))</f>
        <v>0</v>
      </c>
      <c r="I1619" s="48" t="str">
        <f>IF(F1619="", " ",IF(ISNA(VLOOKUP(D1619,'[2]stock-take'!$G:$K,4,FALSE)), "OUT OF STOCK", VLOOKUP(D1619,'[2]stock-take'!$G:$K,4,FALSE)))</f>
        <v xml:space="preserve"> </v>
      </c>
      <c r="J1619" s="39">
        <f>IF(ISNA(VLOOKUP(D1619,'[2]stock-take'!$G:$K,3,FALSE)), 0, VLOOKUP(D1619,'[2]stock-take'!$G:$K,3,FALSE))</f>
        <v>0</v>
      </c>
      <c r="K1619" s="49" t="str">
        <f>IF(F1619="", " ", IF(ISNA(VLOOKUP(D1619,'[2]stock-take'!$M:$Q,4,FALSE)), "OUT OF STOCK", VLOOKUP(D1619,'[2]stock-take'!$M:$Q,4,FALSE)))</f>
        <v xml:space="preserve"> </v>
      </c>
      <c r="L1619" s="47">
        <f>IF(ISNA(VLOOKUP(D1619,'[2]stock-take'!$M:$Q,3,FALSE)), 0, VLOOKUP(D1619,'[2]stock-take'!$M:$Q,3,FALSE))</f>
        <v>0</v>
      </c>
      <c r="M1619" s="48" t="str">
        <f t="shared" si="76"/>
        <v xml:space="preserve"> </v>
      </c>
      <c r="N1619" s="39" t="str">
        <f t="shared" si="77"/>
        <v xml:space="preserve"> </v>
      </c>
    </row>
    <row r="1620" spans="1:14">
      <c r="A1620" s="37">
        <f t="shared" si="75"/>
        <v>1609</v>
      </c>
      <c r="G1620" s="48" t="str">
        <f>IF(F1620=""," ",IF(ISNA(VLOOKUP(D1620,'[2]stock-take'!$A:$E,4,FALSE)), "OUT OF STOCK", VLOOKUP(D1620,'[2]stock-take'!$A:$E,4,FALSE)))</f>
        <v xml:space="preserve"> </v>
      </c>
      <c r="H1620" s="48">
        <f>IF(ISNA(VLOOKUP(D1620,'[2]stock-take'!$A:$E,3,FALSE)), 0, VLOOKUP(D1620,'[2]stock-take'!$A:$E,3,FALSE))</f>
        <v>0</v>
      </c>
      <c r="I1620" s="48" t="str">
        <f>IF(F1620="", " ",IF(ISNA(VLOOKUP(D1620,'[2]stock-take'!$G:$K,4,FALSE)), "OUT OF STOCK", VLOOKUP(D1620,'[2]stock-take'!$G:$K,4,FALSE)))</f>
        <v xml:space="preserve"> </v>
      </c>
      <c r="J1620" s="39">
        <f>IF(ISNA(VLOOKUP(D1620,'[2]stock-take'!$G:$K,3,FALSE)), 0, VLOOKUP(D1620,'[2]stock-take'!$G:$K,3,FALSE))</f>
        <v>0</v>
      </c>
      <c r="K1620" s="49" t="str">
        <f>IF(F1620="", " ", IF(ISNA(VLOOKUP(D1620,'[2]stock-take'!$M:$Q,4,FALSE)), "OUT OF STOCK", VLOOKUP(D1620,'[2]stock-take'!$M:$Q,4,FALSE)))</f>
        <v xml:space="preserve"> </v>
      </c>
      <c r="L1620" s="47">
        <f>IF(ISNA(VLOOKUP(D1620,'[2]stock-take'!$M:$Q,3,FALSE)), 0, VLOOKUP(D1620,'[2]stock-take'!$M:$Q,3,FALSE))</f>
        <v>0</v>
      </c>
      <c r="M1620" s="48" t="str">
        <f t="shared" si="76"/>
        <v xml:space="preserve"> </v>
      </c>
      <c r="N1620" s="39" t="str">
        <f t="shared" si="77"/>
        <v xml:space="preserve"> </v>
      </c>
    </row>
    <row r="1621" spans="1:14">
      <c r="A1621" s="37">
        <f t="shared" si="75"/>
        <v>1610</v>
      </c>
      <c r="G1621" s="48" t="str">
        <f>IF(F1621=""," ",IF(ISNA(VLOOKUP(D1621,'[2]stock-take'!$A:$E,4,FALSE)), "OUT OF STOCK", VLOOKUP(D1621,'[2]stock-take'!$A:$E,4,FALSE)))</f>
        <v xml:space="preserve"> </v>
      </c>
      <c r="H1621" s="48">
        <f>IF(ISNA(VLOOKUP(D1621,'[2]stock-take'!$A:$E,3,FALSE)), 0, VLOOKUP(D1621,'[2]stock-take'!$A:$E,3,FALSE))</f>
        <v>0</v>
      </c>
      <c r="I1621" s="48" t="str">
        <f>IF(F1621="", " ",IF(ISNA(VLOOKUP(D1621,'[2]stock-take'!$G:$K,4,FALSE)), "OUT OF STOCK", VLOOKUP(D1621,'[2]stock-take'!$G:$K,4,FALSE)))</f>
        <v xml:space="preserve"> </v>
      </c>
      <c r="J1621" s="39">
        <f>IF(ISNA(VLOOKUP(D1621,'[2]stock-take'!$G:$K,3,FALSE)), 0, VLOOKUP(D1621,'[2]stock-take'!$G:$K,3,FALSE))</f>
        <v>0</v>
      </c>
      <c r="K1621" s="49" t="str">
        <f>IF(F1621="", " ", IF(ISNA(VLOOKUP(D1621,'[2]stock-take'!$M:$Q,4,FALSE)), "OUT OF STOCK", VLOOKUP(D1621,'[2]stock-take'!$M:$Q,4,FALSE)))</f>
        <v xml:space="preserve"> </v>
      </c>
      <c r="L1621" s="47">
        <f>IF(ISNA(VLOOKUP(D1621,'[2]stock-take'!$M:$Q,3,FALSE)), 0, VLOOKUP(D1621,'[2]stock-take'!$M:$Q,3,FALSE))</f>
        <v>0</v>
      </c>
      <c r="M1621" s="48" t="str">
        <f t="shared" si="76"/>
        <v xml:space="preserve"> </v>
      </c>
      <c r="N1621" s="39" t="str">
        <f t="shared" si="77"/>
        <v xml:space="preserve"> </v>
      </c>
    </row>
    <row r="1622" spans="1:14">
      <c r="A1622" s="37">
        <f t="shared" si="75"/>
        <v>1611</v>
      </c>
      <c r="G1622" s="48" t="str">
        <f>IF(F1622=""," ",IF(ISNA(VLOOKUP(D1622,'[2]stock-take'!$A:$E,4,FALSE)), "OUT OF STOCK", VLOOKUP(D1622,'[2]stock-take'!$A:$E,4,FALSE)))</f>
        <v xml:space="preserve"> </v>
      </c>
      <c r="H1622" s="48">
        <f>IF(ISNA(VLOOKUP(D1622,'[2]stock-take'!$A:$E,3,FALSE)), 0, VLOOKUP(D1622,'[2]stock-take'!$A:$E,3,FALSE))</f>
        <v>0</v>
      </c>
      <c r="I1622" s="48" t="str">
        <f>IF(F1622="", " ",IF(ISNA(VLOOKUP(D1622,'[2]stock-take'!$G:$K,4,FALSE)), "OUT OF STOCK", VLOOKUP(D1622,'[2]stock-take'!$G:$K,4,FALSE)))</f>
        <v xml:space="preserve"> </v>
      </c>
      <c r="J1622" s="39">
        <f>IF(ISNA(VLOOKUP(D1622,'[2]stock-take'!$G:$K,3,FALSE)), 0, VLOOKUP(D1622,'[2]stock-take'!$G:$K,3,FALSE))</f>
        <v>0</v>
      </c>
      <c r="K1622" s="49" t="str">
        <f>IF(F1622="", " ", IF(ISNA(VLOOKUP(D1622,'[2]stock-take'!$M:$Q,4,FALSE)), "OUT OF STOCK", VLOOKUP(D1622,'[2]stock-take'!$M:$Q,4,FALSE)))</f>
        <v xml:space="preserve"> </v>
      </c>
      <c r="L1622" s="47">
        <f>IF(ISNA(VLOOKUP(D1622,'[2]stock-take'!$M:$Q,3,FALSE)), 0, VLOOKUP(D1622,'[2]stock-take'!$M:$Q,3,FALSE))</f>
        <v>0</v>
      </c>
      <c r="M1622" s="48" t="str">
        <f t="shared" si="76"/>
        <v xml:space="preserve"> </v>
      </c>
      <c r="N1622" s="39" t="str">
        <f t="shared" si="77"/>
        <v xml:space="preserve"> </v>
      </c>
    </row>
    <row r="1623" spans="1:14">
      <c r="A1623" s="37">
        <f t="shared" si="75"/>
        <v>1612</v>
      </c>
      <c r="G1623" s="48" t="str">
        <f>IF(F1623=""," ",IF(ISNA(VLOOKUP(D1623,'[2]stock-take'!$A:$E,4,FALSE)), "OUT OF STOCK", VLOOKUP(D1623,'[2]stock-take'!$A:$E,4,FALSE)))</f>
        <v xml:space="preserve"> </v>
      </c>
      <c r="H1623" s="48">
        <f>IF(ISNA(VLOOKUP(D1623,'[2]stock-take'!$A:$E,3,FALSE)), 0, VLOOKUP(D1623,'[2]stock-take'!$A:$E,3,FALSE))</f>
        <v>0</v>
      </c>
      <c r="I1623" s="48" t="str">
        <f>IF(F1623="", " ",IF(ISNA(VLOOKUP(D1623,'[2]stock-take'!$G:$K,4,FALSE)), "OUT OF STOCK", VLOOKUP(D1623,'[2]stock-take'!$G:$K,4,FALSE)))</f>
        <v xml:space="preserve"> </v>
      </c>
      <c r="J1623" s="39">
        <f>IF(ISNA(VLOOKUP(D1623,'[2]stock-take'!$G:$K,3,FALSE)), 0, VLOOKUP(D1623,'[2]stock-take'!$G:$K,3,FALSE))</f>
        <v>0</v>
      </c>
      <c r="K1623" s="49" t="str">
        <f>IF(F1623="", " ", IF(ISNA(VLOOKUP(D1623,'[2]stock-take'!$M:$Q,4,FALSE)), "OUT OF STOCK", VLOOKUP(D1623,'[2]stock-take'!$M:$Q,4,FALSE)))</f>
        <v xml:space="preserve"> </v>
      </c>
      <c r="L1623" s="47">
        <f>IF(ISNA(VLOOKUP(D1623,'[2]stock-take'!$M:$Q,3,FALSE)), 0, VLOOKUP(D1623,'[2]stock-take'!$M:$Q,3,FALSE))</f>
        <v>0</v>
      </c>
      <c r="M1623" s="48" t="str">
        <f t="shared" si="76"/>
        <v xml:space="preserve"> </v>
      </c>
      <c r="N1623" s="39" t="str">
        <f t="shared" si="77"/>
        <v xml:space="preserve"> </v>
      </c>
    </row>
    <row r="1624" spans="1:14">
      <c r="A1624" s="37">
        <f t="shared" si="75"/>
        <v>1613</v>
      </c>
      <c r="G1624" s="48" t="str">
        <f>IF(F1624=""," ",IF(ISNA(VLOOKUP(D1624,'[2]stock-take'!$A:$E,4,FALSE)), "OUT OF STOCK", VLOOKUP(D1624,'[2]stock-take'!$A:$E,4,FALSE)))</f>
        <v xml:space="preserve"> </v>
      </c>
      <c r="H1624" s="48">
        <f>IF(ISNA(VLOOKUP(D1624,'[2]stock-take'!$A:$E,3,FALSE)), 0, VLOOKUP(D1624,'[2]stock-take'!$A:$E,3,FALSE))</f>
        <v>0</v>
      </c>
      <c r="I1624" s="48" t="str">
        <f>IF(F1624="", " ",IF(ISNA(VLOOKUP(D1624,'[2]stock-take'!$G:$K,4,FALSE)), "OUT OF STOCK", VLOOKUP(D1624,'[2]stock-take'!$G:$K,4,FALSE)))</f>
        <v xml:space="preserve"> </v>
      </c>
      <c r="J1624" s="39">
        <f>IF(ISNA(VLOOKUP(D1624,'[2]stock-take'!$G:$K,3,FALSE)), 0, VLOOKUP(D1624,'[2]stock-take'!$G:$K,3,FALSE))</f>
        <v>0</v>
      </c>
      <c r="K1624" s="49" t="str">
        <f>IF(F1624="", " ", IF(ISNA(VLOOKUP(D1624,'[2]stock-take'!$M:$Q,4,FALSE)), "OUT OF STOCK", VLOOKUP(D1624,'[2]stock-take'!$M:$Q,4,FALSE)))</f>
        <v xml:space="preserve"> </v>
      </c>
      <c r="L1624" s="47">
        <f>IF(ISNA(VLOOKUP(D1624,'[2]stock-take'!$M:$Q,3,FALSE)), 0, VLOOKUP(D1624,'[2]stock-take'!$M:$Q,3,FALSE))</f>
        <v>0</v>
      </c>
      <c r="M1624" s="48" t="str">
        <f t="shared" si="76"/>
        <v xml:space="preserve"> </v>
      </c>
      <c r="N1624" s="39" t="str">
        <f t="shared" si="77"/>
        <v xml:space="preserve"> </v>
      </c>
    </row>
    <row r="1625" spans="1:14">
      <c r="A1625" s="37">
        <f t="shared" si="75"/>
        <v>1614</v>
      </c>
      <c r="G1625" s="48" t="str">
        <f>IF(F1625=""," ",IF(ISNA(VLOOKUP(D1625,'[2]stock-take'!$A:$E,4,FALSE)), "OUT OF STOCK", VLOOKUP(D1625,'[2]stock-take'!$A:$E,4,FALSE)))</f>
        <v xml:space="preserve"> </v>
      </c>
      <c r="H1625" s="48">
        <f>IF(ISNA(VLOOKUP(D1625,'[2]stock-take'!$A:$E,3,FALSE)), 0, VLOOKUP(D1625,'[2]stock-take'!$A:$E,3,FALSE))</f>
        <v>0</v>
      </c>
      <c r="I1625" s="48" t="str">
        <f>IF(F1625="", " ",IF(ISNA(VLOOKUP(D1625,'[2]stock-take'!$G:$K,4,FALSE)), "OUT OF STOCK", VLOOKUP(D1625,'[2]stock-take'!$G:$K,4,FALSE)))</f>
        <v xml:space="preserve"> </v>
      </c>
      <c r="J1625" s="39">
        <f>IF(ISNA(VLOOKUP(D1625,'[2]stock-take'!$G:$K,3,FALSE)), 0, VLOOKUP(D1625,'[2]stock-take'!$G:$K,3,FALSE))</f>
        <v>0</v>
      </c>
      <c r="K1625" s="49" t="str">
        <f>IF(F1625="", " ", IF(ISNA(VLOOKUP(D1625,'[2]stock-take'!$M:$Q,4,FALSE)), "OUT OF STOCK", VLOOKUP(D1625,'[2]stock-take'!$M:$Q,4,FALSE)))</f>
        <v xml:space="preserve"> </v>
      </c>
      <c r="L1625" s="47">
        <f>IF(ISNA(VLOOKUP(D1625,'[2]stock-take'!$M:$Q,3,FALSE)), 0, VLOOKUP(D1625,'[2]stock-take'!$M:$Q,3,FALSE))</f>
        <v>0</v>
      </c>
      <c r="M1625" s="48" t="str">
        <f t="shared" si="76"/>
        <v xml:space="preserve"> </v>
      </c>
      <c r="N1625" s="39" t="str">
        <f t="shared" si="77"/>
        <v xml:space="preserve"> </v>
      </c>
    </row>
    <row r="1626" spans="1:14">
      <c r="A1626" s="37">
        <f t="shared" si="75"/>
        <v>1615</v>
      </c>
      <c r="G1626" s="48" t="str">
        <f>IF(F1626=""," ",IF(ISNA(VLOOKUP(D1626,'[2]stock-take'!$A:$E,4,FALSE)), "OUT OF STOCK", VLOOKUP(D1626,'[2]stock-take'!$A:$E,4,FALSE)))</f>
        <v xml:space="preserve"> </v>
      </c>
      <c r="H1626" s="48">
        <f>IF(ISNA(VLOOKUP(D1626,'[2]stock-take'!$A:$E,3,FALSE)), 0, VLOOKUP(D1626,'[2]stock-take'!$A:$E,3,FALSE))</f>
        <v>0</v>
      </c>
      <c r="I1626" s="48" t="str">
        <f>IF(F1626="", " ",IF(ISNA(VLOOKUP(D1626,'[2]stock-take'!$G:$K,4,FALSE)), "OUT OF STOCK", VLOOKUP(D1626,'[2]stock-take'!$G:$K,4,FALSE)))</f>
        <v xml:space="preserve"> </v>
      </c>
      <c r="J1626" s="39">
        <f>IF(ISNA(VLOOKUP(D1626,'[2]stock-take'!$G:$K,3,FALSE)), 0, VLOOKUP(D1626,'[2]stock-take'!$G:$K,3,FALSE))</f>
        <v>0</v>
      </c>
      <c r="K1626" s="49" t="str">
        <f>IF(F1626="", " ", IF(ISNA(VLOOKUP(D1626,'[2]stock-take'!$M:$Q,4,FALSE)), "OUT OF STOCK", VLOOKUP(D1626,'[2]stock-take'!$M:$Q,4,FALSE)))</f>
        <v xml:space="preserve"> </v>
      </c>
      <c r="L1626" s="47">
        <f>IF(ISNA(VLOOKUP(D1626,'[2]stock-take'!$M:$Q,3,FALSE)), 0, VLOOKUP(D1626,'[2]stock-take'!$M:$Q,3,FALSE))</f>
        <v>0</v>
      </c>
      <c r="M1626" s="48" t="str">
        <f t="shared" si="76"/>
        <v xml:space="preserve"> </v>
      </c>
      <c r="N1626" s="39" t="str">
        <f t="shared" si="77"/>
        <v xml:space="preserve"> </v>
      </c>
    </row>
    <row r="1627" spans="1:14">
      <c r="A1627" s="37">
        <f t="shared" si="75"/>
        <v>1616</v>
      </c>
      <c r="G1627" s="48" t="str">
        <f>IF(F1627=""," ",IF(ISNA(VLOOKUP(D1627,'[2]stock-take'!$A:$E,4,FALSE)), "OUT OF STOCK", VLOOKUP(D1627,'[2]stock-take'!$A:$E,4,FALSE)))</f>
        <v xml:space="preserve"> </v>
      </c>
      <c r="H1627" s="48">
        <f>IF(ISNA(VLOOKUP(D1627,'[2]stock-take'!$A:$E,3,FALSE)), 0, VLOOKUP(D1627,'[2]stock-take'!$A:$E,3,FALSE))</f>
        <v>0</v>
      </c>
      <c r="I1627" s="48" t="str">
        <f>IF(F1627="", " ",IF(ISNA(VLOOKUP(D1627,'[2]stock-take'!$G:$K,4,FALSE)), "OUT OF STOCK", VLOOKUP(D1627,'[2]stock-take'!$G:$K,4,FALSE)))</f>
        <v xml:space="preserve"> </v>
      </c>
      <c r="J1627" s="39">
        <f>IF(ISNA(VLOOKUP(D1627,'[2]stock-take'!$G:$K,3,FALSE)), 0, VLOOKUP(D1627,'[2]stock-take'!$G:$K,3,FALSE))</f>
        <v>0</v>
      </c>
      <c r="K1627" s="49" t="str">
        <f>IF(F1627="", " ", IF(ISNA(VLOOKUP(D1627,'[2]stock-take'!$M:$Q,4,FALSE)), "OUT OF STOCK", VLOOKUP(D1627,'[2]stock-take'!$M:$Q,4,FALSE)))</f>
        <v xml:space="preserve"> </v>
      </c>
      <c r="L1627" s="47">
        <f>IF(ISNA(VLOOKUP(D1627,'[2]stock-take'!$M:$Q,3,FALSE)), 0, VLOOKUP(D1627,'[2]stock-take'!$M:$Q,3,FALSE))</f>
        <v>0</v>
      </c>
      <c r="M1627" s="48" t="str">
        <f t="shared" si="76"/>
        <v xml:space="preserve"> </v>
      </c>
      <c r="N1627" s="39" t="str">
        <f t="shared" si="77"/>
        <v xml:space="preserve"> </v>
      </c>
    </row>
    <row r="1628" spans="1:14">
      <c r="A1628" s="37">
        <f t="shared" si="75"/>
        <v>1617</v>
      </c>
      <c r="G1628" s="48" t="str">
        <f>IF(F1628=""," ",IF(ISNA(VLOOKUP(D1628,'[2]stock-take'!$A:$E,4,FALSE)), "OUT OF STOCK", VLOOKUP(D1628,'[2]stock-take'!$A:$E,4,FALSE)))</f>
        <v xml:space="preserve"> </v>
      </c>
      <c r="H1628" s="48">
        <f>IF(ISNA(VLOOKUP(D1628,'[2]stock-take'!$A:$E,3,FALSE)), 0, VLOOKUP(D1628,'[2]stock-take'!$A:$E,3,FALSE))</f>
        <v>0</v>
      </c>
      <c r="I1628" s="48" t="str">
        <f>IF(F1628="", " ",IF(ISNA(VLOOKUP(D1628,'[2]stock-take'!$G:$K,4,FALSE)), "OUT OF STOCK", VLOOKUP(D1628,'[2]stock-take'!$G:$K,4,FALSE)))</f>
        <v xml:space="preserve"> </v>
      </c>
      <c r="J1628" s="39">
        <f>IF(ISNA(VLOOKUP(D1628,'[2]stock-take'!$G:$K,3,FALSE)), 0, VLOOKUP(D1628,'[2]stock-take'!$G:$K,3,FALSE))</f>
        <v>0</v>
      </c>
      <c r="K1628" s="49" t="str">
        <f>IF(F1628="", " ", IF(ISNA(VLOOKUP(D1628,'[2]stock-take'!$M:$Q,4,FALSE)), "OUT OF STOCK", VLOOKUP(D1628,'[2]stock-take'!$M:$Q,4,FALSE)))</f>
        <v xml:space="preserve"> </v>
      </c>
      <c r="L1628" s="47">
        <f>IF(ISNA(VLOOKUP(D1628,'[2]stock-take'!$M:$Q,3,FALSE)), 0, VLOOKUP(D1628,'[2]stock-take'!$M:$Q,3,FALSE))</f>
        <v>0</v>
      </c>
      <c r="M1628" s="48" t="str">
        <f t="shared" si="76"/>
        <v xml:space="preserve"> </v>
      </c>
      <c r="N1628" s="39" t="str">
        <f t="shared" si="77"/>
        <v xml:space="preserve"> </v>
      </c>
    </row>
    <row r="1629" spans="1:14">
      <c r="A1629" s="37">
        <f t="shared" si="75"/>
        <v>1618</v>
      </c>
      <c r="G1629" s="48" t="str">
        <f>IF(F1629=""," ",IF(ISNA(VLOOKUP(D1629,'[2]stock-take'!$A:$E,4,FALSE)), "OUT OF STOCK", VLOOKUP(D1629,'[2]stock-take'!$A:$E,4,FALSE)))</f>
        <v xml:space="preserve"> </v>
      </c>
      <c r="H1629" s="48">
        <f>IF(ISNA(VLOOKUP(D1629,'[2]stock-take'!$A:$E,3,FALSE)), 0, VLOOKUP(D1629,'[2]stock-take'!$A:$E,3,FALSE))</f>
        <v>0</v>
      </c>
      <c r="I1629" s="48" t="str">
        <f>IF(F1629="", " ",IF(ISNA(VLOOKUP(D1629,'[2]stock-take'!$G:$K,4,FALSE)), "OUT OF STOCK", VLOOKUP(D1629,'[2]stock-take'!$G:$K,4,FALSE)))</f>
        <v xml:space="preserve"> </v>
      </c>
      <c r="J1629" s="39">
        <f>IF(ISNA(VLOOKUP(D1629,'[2]stock-take'!$G:$K,3,FALSE)), 0, VLOOKUP(D1629,'[2]stock-take'!$G:$K,3,FALSE))</f>
        <v>0</v>
      </c>
      <c r="K1629" s="49" t="str">
        <f>IF(F1629="", " ", IF(ISNA(VLOOKUP(D1629,'[2]stock-take'!$M:$Q,4,FALSE)), "OUT OF STOCK", VLOOKUP(D1629,'[2]stock-take'!$M:$Q,4,FALSE)))</f>
        <v xml:space="preserve"> </v>
      </c>
      <c r="L1629" s="47">
        <f>IF(ISNA(VLOOKUP(D1629,'[2]stock-take'!$M:$Q,3,FALSE)), 0, VLOOKUP(D1629,'[2]stock-take'!$M:$Q,3,FALSE))</f>
        <v>0</v>
      </c>
      <c r="M1629" s="48" t="str">
        <f t="shared" si="76"/>
        <v xml:space="preserve"> </v>
      </c>
      <c r="N1629" s="39" t="str">
        <f t="shared" si="77"/>
        <v xml:space="preserve"> </v>
      </c>
    </row>
    <row r="1630" spans="1:14">
      <c r="A1630" s="37">
        <f t="shared" si="75"/>
        <v>1619</v>
      </c>
      <c r="G1630" s="48" t="str">
        <f>IF(F1630=""," ",IF(ISNA(VLOOKUP(D1630,'[2]stock-take'!$A:$E,4,FALSE)), "OUT OF STOCK", VLOOKUP(D1630,'[2]stock-take'!$A:$E,4,FALSE)))</f>
        <v xml:space="preserve"> </v>
      </c>
      <c r="H1630" s="48">
        <f>IF(ISNA(VLOOKUP(D1630,'[2]stock-take'!$A:$E,3,FALSE)), 0, VLOOKUP(D1630,'[2]stock-take'!$A:$E,3,FALSE))</f>
        <v>0</v>
      </c>
      <c r="I1630" s="48" t="str">
        <f>IF(F1630="", " ",IF(ISNA(VLOOKUP(D1630,'[2]stock-take'!$G:$K,4,FALSE)), "OUT OF STOCK", VLOOKUP(D1630,'[2]stock-take'!$G:$K,4,FALSE)))</f>
        <v xml:space="preserve"> </v>
      </c>
      <c r="J1630" s="39">
        <f>IF(ISNA(VLOOKUP(D1630,'[2]stock-take'!$G:$K,3,FALSE)), 0, VLOOKUP(D1630,'[2]stock-take'!$G:$K,3,FALSE))</f>
        <v>0</v>
      </c>
      <c r="K1630" s="49" t="str">
        <f>IF(F1630="", " ", IF(ISNA(VLOOKUP(D1630,'[2]stock-take'!$M:$Q,4,FALSE)), "OUT OF STOCK", VLOOKUP(D1630,'[2]stock-take'!$M:$Q,4,FALSE)))</f>
        <v xml:space="preserve"> </v>
      </c>
      <c r="L1630" s="47">
        <f>IF(ISNA(VLOOKUP(D1630,'[2]stock-take'!$M:$Q,3,FALSE)), 0, VLOOKUP(D1630,'[2]stock-take'!$M:$Q,3,FALSE))</f>
        <v>0</v>
      </c>
      <c r="M1630" s="48" t="str">
        <f t="shared" si="76"/>
        <v xml:space="preserve"> </v>
      </c>
      <c r="N1630" s="39" t="str">
        <f t="shared" si="77"/>
        <v xml:space="preserve"> </v>
      </c>
    </row>
    <row r="1631" spans="1:14">
      <c r="A1631" s="37">
        <f t="shared" si="75"/>
        <v>1620</v>
      </c>
      <c r="G1631" s="48" t="str">
        <f>IF(F1631=""," ",IF(ISNA(VLOOKUP(D1631,'[2]stock-take'!$A:$E,4,FALSE)), "OUT OF STOCK", VLOOKUP(D1631,'[2]stock-take'!$A:$E,4,FALSE)))</f>
        <v xml:space="preserve"> </v>
      </c>
      <c r="H1631" s="48">
        <f>IF(ISNA(VLOOKUP(D1631,'[2]stock-take'!$A:$E,3,FALSE)), 0, VLOOKUP(D1631,'[2]stock-take'!$A:$E,3,FALSE))</f>
        <v>0</v>
      </c>
      <c r="I1631" s="48" t="str">
        <f>IF(F1631="", " ",IF(ISNA(VLOOKUP(D1631,'[2]stock-take'!$G:$K,4,FALSE)), "OUT OF STOCK", VLOOKUP(D1631,'[2]stock-take'!$G:$K,4,FALSE)))</f>
        <v xml:space="preserve"> </v>
      </c>
      <c r="J1631" s="39">
        <f>IF(ISNA(VLOOKUP(D1631,'[2]stock-take'!$G:$K,3,FALSE)), 0, VLOOKUP(D1631,'[2]stock-take'!$G:$K,3,FALSE))</f>
        <v>0</v>
      </c>
      <c r="K1631" s="49" t="str">
        <f>IF(F1631="", " ", IF(ISNA(VLOOKUP(D1631,'[2]stock-take'!$M:$Q,4,FALSE)), "OUT OF STOCK", VLOOKUP(D1631,'[2]stock-take'!$M:$Q,4,FALSE)))</f>
        <v xml:space="preserve"> </v>
      </c>
      <c r="L1631" s="47">
        <f>IF(ISNA(VLOOKUP(D1631,'[2]stock-take'!$M:$Q,3,FALSE)), 0, VLOOKUP(D1631,'[2]stock-take'!$M:$Q,3,FALSE))</f>
        <v>0</v>
      </c>
      <c r="M1631" s="48" t="str">
        <f t="shared" si="76"/>
        <v xml:space="preserve"> </v>
      </c>
      <c r="N1631" s="39" t="str">
        <f t="shared" si="77"/>
        <v xml:space="preserve"> </v>
      </c>
    </row>
    <row r="1632" spans="1:14">
      <c r="A1632" s="37">
        <f t="shared" si="75"/>
        <v>1621</v>
      </c>
      <c r="G1632" s="48" t="str">
        <f>IF(F1632=""," ",IF(ISNA(VLOOKUP(D1632,'[2]stock-take'!$A:$E,4,FALSE)), "OUT OF STOCK", VLOOKUP(D1632,'[2]stock-take'!$A:$E,4,FALSE)))</f>
        <v xml:space="preserve"> </v>
      </c>
      <c r="H1632" s="48">
        <f>IF(ISNA(VLOOKUP(D1632,'[2]stock-take'!$A:$E,3,FALSE)), 0, VLOOKUP(D1632,'[2]stock-take'!$A:$E,3,FALSE))</f>
        <v>0</v>
      </c>
      <c r="I1632" s="48" t="str">
        <f>IF(F1632="", " ",IF(ISNA(VLOOKUP(D1632,'[2]stock-take'!$G:$K,4,FALSE)), "OUT OF STOCK", VLOOKUP(D1632,'[2]stock-take'!$G:$K,4,FALSE)))</f>
        <v xml:space="preserve"> </v>
      </c>
      <c r="J1632" s="39">
        <f>IF(ISNA(VLOOKUP(D1632,'[2]stock-take'!$G:$K,3,FALSE)), 0, VLOOKUP(D1632,'[2]stock-take'!$G:$K,3,FALSE))</f>
        <v>0</v>
      </c>
      <c r="K1632" s="49" t="str">
        <f>IF(F1632="", " ", IF(ISNA(VLOOKUP(D1632,'[2]stock-take'!$M:$Q,4,FALSE)), "OUT OF STOCK", VLOOKUP(D1632,'[2]stock-take'!$M:$Q,4,FALSE)))</f>
        <v xml:space="preserve"> </v>
      </c>
      <c r="L1632" s="47">
        <f>IF(ISNA(VLOOKUP(D1632,'[2]stock-take'!$M:$Q,3,FALSE)), 0, VLOOKUP(D1632,'[2]stock-take'!$M:$Q,3,FALSE))</f>
        <v>0</v>
      </c>
      <c r="M1632" s="48" t="str">
        <f t="shared" si="76"/>
        <v xml:space="preserve"> </v>
      </c>
      <c r="N1632" s="39" t="str">
        <f t="shared" si="77"/>
        <v xml:space="preserve"> </v>
      </c>
    </row>
    <row r="1633" spans="1:14">
      <c r="A1633" s="37">
        <f t="shared" si="75"/>
        <v>1622</v>
      </c>
      <c r="G1633" s="48" t="str">
        <f>IF(F1633=""," ",IF(ISNA(VLOOKUP(D1633,'[2]stock-take'!$A:$E,4,FALSE)), "OUT OF STOCK", VLOOKUP(D1633,'[2]stock-take'!$A:$E,4,FALSE)))</f>
        <v xml:space="preserve"> </v>
      </c>
      <c r="H1633" s="48">
        <f>IF(ISNA(VLOOKUP(D1633,'[2]stock-take'!$A:$E,3,FALSE)), 0, VLOOKUP(D1633,'[2]stock-take'!$A:$E,3,FALSE))</f>
        <v>0</v>
      </c>
      <c r="I1633" s="48" t="str">
        <f>IF(F1633="", " ",IF(ISNA(VLOOKUP(D1633,'[2]stock-take'!$G:$K,4,FALSE)), "OUT OF STOCK", VLOOKUP(D1633,'[2]stock-take'!$G:$K,4,FALSE)))</f>
        <v xml:space="preserve"> </v>
      </c>
      <c r="J1633" s="39">
        <f>IF(ISNA(VLOOKUP(D1633,'[2]stock-take'!$G:$K,3,FALSE)), 0, VLOOKUP(D1633,'[2]stock-take'!$G:$K,3,FALSE))</f>
        <v>0</v>
      </c>
      <c r="K1633" s="49" t="str">
        <f>IF(F1633="", " ", IF(ISNA(VLOOKUP(D1633,'[2]stock-take'!$M:$Q,4,FALSE)), "OUT OF STOCK", VLOOKUP(D1633,'[2]stock-take'!$M:$Q,4,FALSE)))</f>
        <v xml:space="preserve"> </v>
      </c>
      <c r="L1633" s="47">
        <f>IF(ISNA(VLOOKUP(D1633,'[2]stock-take'!$M:$Q,3,FALSE)), 0, VLOOKUP(D1633,'[2]stock-take'!$M:$Q,3,FALSE))</f>
        <v>0</v>
      </c>
      <c r="M1633" s="48" t="str">
        <f t="shared" si="76"/>
        <v xml:space="preserve"> </v>
      </c>
      <c r="N1633" s="39" t="str">
        <f t="shared" si="77"/>
        <v xml:space="preserve"> </v>
      </c>
    </row>
    <row r="1634" spans="1:14">
      <c r="A1634" s="37">
        <f t="shared" si="75"/>
        <v>1623</v>
      </c>
      <c r="G1634" s="48" t="str">
        <f>IF(F1634=""," ",IF(ISNA(VLOOKUP(D1634,'[2]stock-take'!$A:$E,4,FALSE)), "OUT OF STOCK", VLOOKUP(D1634,'[2]stock-take'!$A:$E,4,FALSE)))</f>
        <v xml:space="preserve"> </v>
      </c>
      <c r="H1634" s="48">
        <f>IF(ISNA(VLOOKUP(D1634,'[2]stock-take'!$A:$E,3,FALSE)), 0, VLOOKUP(D1634,'[2]stock-take'!$A:$E,3,FALSE))</f>
        <v>0</v>
      </c>
      <c r="I1634" s="48" t="str">
        <f>IF(F1634="", " ",IF(ISNA(VLOOKUP(D1634,'[2]stock-take'!$G:$K,4,FALSE)), "OUT OF STOCK", VLOOKUP(D1634,'[2]stock-take'!$G:$K,4,FALSE)))</f>
        <v xml:space="preserve"> </v>
      </c>
      <c r="J1634" s="39">
        <f>IF(ISNA(VLOOKUP(D1634,'[2]stock-take'!$G:$K,3,FALSE)), 0, VLOOKUP(D1634,'[2]stock-take'!$G:$K,3,FALSE))</f>
        <v>0</v>
      </c>
      <c r="K1634" s="49" t="str">
        <f>IF(F1634="", " ", IF(ISNA(VLOOKUP(D1634,'[2]stock-take'!$M:$Q,4,FALSE)), "OUT OF STOCK", VLOOKUP(D1634,'[2]stock-take'!$M:$Q,4,FALSE)))</f>
        <v xml:space="preserve"> </v>
      </c>
      <c r="L1634" s="47">
        <f>IF(ISNA(VLOOKUP(D1634,'[2]stock-take'!$M:$Q,3,FALSE)), 0, VLOOKUP(D1634,'[2]stock-take'!$M:$Q,3,FALSE))</f>
        <v>0</v>
      </c>
      <c r="M1634" s="48" t="str">
        <f t="shared" si="76"/>
        <v xml:space="preserve"> </v>
      </c>
      <c r="N1634" s="39" t="str">
        <f t="shared" si="77"/>
        <v xml:space="preserve"> </v>
      </c>
    </row>
    <row r="1635" spans="1:14">
      <c r="A1635" s="37">
        <f t="shared" si="75"/>
        <v>1624</v>
      </c>
      <c r="G1635" s="48" t="str">
        <f>IF(F1635=""," ",IF(ISNA(VLOOKUP(D1635,'[2]stock-take'!$A:$E,4,FALSE)), "OUT OF STOCK", VLOOKUP(D1635,'[2]stock-take'!$A:$E,4,FALSE)))</f>
        <v xml:space="preserve"> </v>
      </c>
      <c r="H1635" s="48">
        <f>IF(ISNA(VLOOKUP(D1635,'[2]stock-take'!$A:$E,3,FALSE)), 0, VLOOKUP(D1635,'[2]stock-take'!$A:$E,3,FALSE))</f>
        <v>0</v>
      </c>
      <c r="I1635" s="48" t="str">
        <f>IF(F1635="", " ",IF(ISNA(VLOOKUP(D1635,'[2]stock-take'!$G:$K,4,FALSE)), "OUT OF STOCK", VLOOKUP(D1635,'[2]stock-take'!$G:$K,4,FALSE)))</f>
        <v xml:space="preserve"> </v>
      </c>
      <c r="J1635" s="39">
        <f>IF(ISNA(VLOOKUP(D1635,'[2]stock-take'!$G:$K,3,FALSE)), 0, VLOOKUP(D1635,'[2]stock-take'!$G:$K,3,FALSE))</f>
        <v>0</v>
      </c>
      <c r="K1635" s="49" t="str">
        <f>IF(F1635="", " ", IF(ISNA(VLOOKUP(D1635,'[2]stock-take'!$M:$Q,4,FALSE)), "OUT OF STOCK", VLOOKUP(D1635,'[2]stock-take'!$M:$Q,4,FALSE)))</f>
        <v xml:space="preserve"> </v>
      </c>
      <c r="L1635" s="47">
        <f>IF(ISNA(VLOOKUP(D1635,'[2]stock-take'!$M:$Q,3,FALSE)), 0, VLOOKUP(D1635,'[2]stock-take'!$M:$Q,3,FALSE))</f>
        <v>0</v>
      </c>
      <c r="M1635" s="48" t="str">
        <f t="shared" si="76"/>
        <v xml:space="preserve"> </v>
      </c>
      <c r="N1635" s="39" t="str">
        <f t="shared" si="77"/>
        <v xml:space="preserve"> </v>
      </c>
    </row>
    <row r="1636" spans="1:14">
      <c r="A1636" s="37">
        <f t="shared" si="75"/>
        <v>1625</v>
      </c>
      <c r="G1636" s="48" t="str">
        <f>IF(F1636=""," ",IF(ISNA(VLOOKUP(D1636,'[2]stock-take'!$A:$E,4,FALSE)), "OUT OF STOCK", VLOOKUP(D1636,'[2]stock-take'!$A:$E,4,FALSE)))</f>
        <v xml:space="preserve"> </v>
      </c>
      <c r="H1636" s="48">
        <f>IF(ISNA(VLOOKUP(D1636,'[2]stock-take'!$A:$E,3,FALSE)), 0, VLOOKUP(D1636,'[2]stock-take'!$A:$E,3,FALSE))</f>
        <v>0</v>
      </c>
      <c r="I1636" s="48" t="str">
        <f>IF(F1636="", " ",IF(ISNA(VLOOKUP(D1636,'[2]stock-take'!$G:$K,4,FALSE)), "OUT OF STOCK", VLOOKUP(D1636,'[2]stock-take'!$G:$K,4,FALSE)))</f>
        <v xml:space="preserve"> </v>
      </c>
      <c r="J1636" s="39">
        <f>IF(ISNA(VLOOKUP(D1636,'[2]stock-take'!$G:$K,3,FALSE)), 0, VLOOKUP(D1636,'[2]stock-take'!$G:$K,3,FALSE))</f>
        <v>0</v>
      </c>
      <c r="K1636" s="49" t="str">
        <f>IF(F1636="", " ", IF(ISNA(VLOOKUP(D1636,'[2]stock-take'!$M:$Q,4,FALSE)), "OUT OF STOCK", VLOOKUP(D1636,'[2]stock-take'!$M:$Q,4,FALSE)))</f>
        <v xml:space="preserve"> </v>
      </c>
      <c r="L1636" s="47">
        <f>IF(ISNA(VLOOKUP(D1636,'[2]stock-take'!$M:$Q,3,FALSE)), 0, VLOOKUP(D1636,'[2]stock-take'!$M:$Q,3,FALSE))</f>
        <v>0</v>
      </c>
      <c r="M1636" s="48" t="str">
        <f t="shared" si="76"/>
        <v xml:space="preserve"> </v>
      </c>
      <c r="N1636" s="39" t="str">
        <f t="shared" si="77"/>
        <v xml:space="preserve"> </v>
      </c>
    </row>
    <row r="1637" spans="1:14">
      <c r="A1637" s="37">
        <f t="shared" si="75"/>
        <v>1626</v>
      </c>
      <c r="G1637" s="48" t="str">
        <f>IF(F1637=""," ",IF(ISNA(VLOOKUP(D1637,'[2]stock-take'!$A:$E,4,FALSE)), "OUT OF STOCK", VLOOKUP(D1637,'[2]stock-take'!$A:$E,4,FALSE)))</f>
        <v xml:space="preserve"> </v>
      </c>
      <c r="H1637" s="48">
        <f>IF(ISNA(VLOOKUP(D1637,'[2]stock-take'!$A:$E,3,FALSE)), 0, VLOOKUP(D1637,'[2]stock-take'!$A:$E,3,FALSE))</f>
        <v>0</v>
      </c>
      <c r="I1637" s="48" t="str">
        <f>IF(F1637="", " ",IF(ISNA(VLOOKUP(D1637,'[2]stock-take'!$G:$K,4,FALSE)), "OUT OF STOCK", VLOOKUP(D1637,'[2]stock-take'!$G:$K,4,FALSE)))</f>
        <v xml:space="preserve"> </v>
      </c>
      <c r="J1637" s="39">
        <f>IF(ISNA(VLOOKUP(D1637,'[2]stock-take'!$G:$K,3,FALSE)), 0, VLOOKUP(D1637,'[2]stock-take'!$G:$K,3,FALSE))</f>
        <v>0</v>
      </c>
      <c r="K1637" s="49" t="str">
        <f>IF(F1637="", " ", IF(ISNA(VLOOKUP(D1637,'[2]stock-take'!$M:$Q,4,FALSE)), "OUT OF STOCK", VLOOKUP(D1637,'[2]stock-take'!$M:$Q,4,FALSE)))</f>
        <v xml:space="preserve"> </v>
      </c>
      <c r="L1637" s="47">
        <f>IF(ISNA(VLOOKUP(D1637,'[2]stock-take'!$M:$Q,3,FALSE)), 0, VLOOKUP(D1637,'[2]stock-take'!$M:$Q,3,FALSE))</f>
        <v>0</v>
      </c>
      <c r="M1637" s="48" t="str">
        <f t="shared" si="76"/>
        <v xml:space="preserve"> </v>
      </c>
      <c r="N1637" s="39" t="str">
        <f t="shared" si="77"/>
        <v xml:space="preserve"> </v>
      </c>
    </row>
    <row r="1638" spans="1:14">
      <c r="A1638" s="37">
        <f t="shared" si="75"/>
        <v>1627</v>
      </c>
      <c r="G1638" s="48" t="str">
        <f>IF(F1638=""," ",IF(ISNA(VLOOKUP(D1638,'[2]stock-take'!$A:$E,4,FALSE)), "OUT OF STOCK", VLOOKUP(D1638,'[2]stock-take'!$A:$E,4,FALSE)))</f>
        <v xml:space="preserve"> </v>
      </c>
      <c r="H1638" s="48">
        <f>IF(ISNA(VLOOKUP(D1638,'[2]stock-take'!$A:$E,3,FALSE)), 0, VLOOKUP(D1638,'[2]stock-take'!$A:$E,3,FALSE))</f>
        <v>0</v>
      </c>
      <c r="I1638" s="48" t="str">
        <f>IF(F1638="", " ",IF(ISNA(VLOOKUP(D1638,'[2]stock-take'!$G:$K,4,FALSE)), "OUT OF STOCK", VLOOKUP(D1638,'[2]stock-take'!$G:$K,4,FALSE)))</f>
        <v xml:space="preserve"> </v>
      </c>
      <c r="J1638" s="39">
        <f>IF(ISNA(VLOOKUP(D1638,'[2]stock-take'!$G:$K,3,FALSE)), 0, VLOOKUP(D1638,'[2]stock-take'!$G:$K,3,FALSE))</f>
        <v>0</v>
      </c>
      <c r="K1638" s="49" t="str">
        <f>IF(F1638="", " ", IF(ISNA(VLOOKUP(D1638,'[2]stock-take'!$M:$Q,4,FALSE)), "OUT OF STOCK", VLOOKUP(D1638,'[2]stock-take'!$M:$Q,4,FALSE)))</f>
        <v xml:space="preserve"> </v>
      </c>
      <c r="L1638" s="47">
        <f>IF(ISNA(VLOOKUP(D1638,'[2]stock-take'!$M:$Q,3,FALSE)), 0, VLOOKUP(D1638,'[2]stock-take'!$M:$Q,3,FALSE))</f>
        <v>0</v>
      </c>
      <c r="M1638" s="48" t="str">
        <f t="shared" si="76"/>
        <v xml:space="preserve"> </v>
      </c>
      <c r="N1638" s="39" t="str">
        <f t="shared" si="77"/>
        <v xml:space="preserve"> </v>
      </c>
    </row>
    <row r="1639" spans="1:14">
      <c r="A1639" s="37">
        <f t="shared" si="75"/>
        <v>1628</v>
      </c>
      <c r="G1639" s="48" t="str">
        <f>IF(F1639=""," ",IF(ISNA(VLOOKUP(D1639,'[2]stock-take'!$A:$E,4,FALSE)), "OUT OF STOCK", VLOOKUP(D1639,'[2]stock-take'!$A:$E,4,FALSE)))</f>
        <v xml:space="preserve"> </v>
      </c>
      <c r="H1639" s="48">
        <f>IF(ISNA(VLOOKUP(D1639,'[2]stock-take'!$A:$E,3,FALSE)), 0, VLOOKUP(D1639,'[2]stock-take'!$A:$E,3,FALSE))</f>
        <v>0</v>
      </c>
      <c r="I1639" s="48" t="str">
        <f>IF(F1639="", " ",IF(ISNA(VLOOKUP(D1639,'[2]stock-take'!$G:$K,4,FALSE)), "OUT OF STOCK", VLOOKUP(D1639,'[2]stock-take'!$G:$K,4,FALSE)))</f>
        <v xml:space="preserve"> </v>
      </c>
      <c r="J1639" s="39">
        <f>IF(ISNA(VLOOKUP(D1639,'[2]stock-take'!$G:$K,3,FALSE)), 0, VLOOKUP(D1639,'[2]stock-take'!$G:$K,3,FALSE))</f>
        <v>0</v>
      </c>
      <c r="K1639" s="49" t="str">
        <f>IF(F1639="", " ", IF(ISNA(VLOOKUP(D1639,'[2]stock-take'!$M:$Q,4,FALSE)), "OUT OF STOCK", VLOOKUP(D1639,'[2]stock-take'!$M:$Q,4,FALSE)))</f>
        <v xml:space="preserve"> </v>
      </c>
      <c r="L1639" s="47">
        <f>IF(ISNA(VLOOKUP(D1639,'[2]stock-take'!$M:$Q,3,FALSE)), 0, VLOOKUP(D1639,'[2]stock-take'!$M:$Q,3,FALSE))</f>
        <v>0</v>
      </c>
      <c r="M1639" s="48" t="str">
        <f t="shared" si="76"/>
        <v xml:space="preserve"> </v>
      </c>
      <c r="N1639" s="39" t="str">
        <f t="shared" si="77"/>
        <v xml:space="preserve"> </v>
      </c>
    </row>
    <row r="1640" spans="1:14">
      <c r="A1640" s="37">
        <f t="shared" si="75"/>
        <v>1629</v>
      </c>
      <c r="G1640" s="48" t="str">
        <f>IF(F1640=""," ",IF(ISNA(VLOOKUP(D1640,'[2]stock-take'!$A:$E,4,FALSE)), "OUT OF STOCK", VLOOKUP(D1640,'[2]stock-take'!$A:$E,4,FALSE)))</f>
        <v xml:space="preserve"> </v>
      </c>
      <c r="H1640" s="48">
        <f>IF(ISNA(VLOOKUP(D1640,'[2]stock-take'!$A:$E,3,FALSE)), 0, VLOOKUP(D1640,'[2]stock-take'!$A:$E,3,FALSE))</f>
        <v>0</v>
      </c>
      <c r="I1640" s="48" t="str">
        <f>IF(F1640="", " ",IF(ISNA(VLOOKUP(D1640,'[2]stock-take'!$G:$K,4,FALSE)), "OUT OF STOCK", VLOOKUP(D1640,'[2]stock-take'!$G:$K,4,FALSE)))</f>
        <v xml:space="preserve"> </v>
      </c>
      <c r="J1640" s="39">
        <f>IF(ISNA(VLOOKUP(D1640,'[2]stock-take'!$G:$K,3,FALSE)), 0, VLOOKUP(D1640,'[2]stock-take'!$G:$K,3,FALSE))</f>
        <v>0</v>
      </c>
      <c r="K1640" s="49" t="str">
        <f>IF(F1640="", " ", IF(ISNA(VLOOKUP(D1640,'[2]stock-take'!$M:$Q,4,FALSE)), "OUT OF STOCK", VLOOKUP(D1640,'[2]stock-take'!$M:$Q,4,FALSE)))</f>
        <v xml:space="preserve"> </v>
      </c>
      <c r="L1640" s="47">
        <f>IF(ISNA(VLOOKUP(D1640,'[2]stock-take'!$M:$Q,3,FALSE)), 0, VLOOKUP(D1640,'[2]stock-take'!$M:$Q,3,FALSE))</f>
        <v>0</v>
      </c>
      <c r="M1640" s="48" t="str">
        <f t="shared" si="76"/>
        <v xml:space="preserve"> </v>
      </c>
      <c r="N1640" s="39" t="str">
        <f t="shared" si="77"/>
        <v xml:space="preserve"> </v>
      </c>
    </row>
    <row r="1641" spans="1:14">
      <c r="A1641" s="37">
        <f t="shared" si="75"/>
        <v>1630</v>
      </c>
      <c r="G1641" s="48" t="str">
        <f>IF(F1641=""," ",IF(ISNA(VLOOKUP(D1641,'[2]stock-take'!$A:$E,4,FALSE)), "OUT OF STOCK", VLOOKUP(D1641,'[2]stock-take'!$A:$E,4,FALSE)))</f>
        <v xml:space="preserve"> </v>
      </c>
      <c r="H1641" s="48">
        <f>IF(ISNA(VLOOKUP(D1641,'[2]stock-take'!$A:$E,3,FALSE)), 0, VLOOKUP(D1641,'[2]stock-take'!$A:$E,3,FALSE))</f>
        <v>0</v>
      </c>
      <c r="I1641" s="48" t="str">
        <f>IF(F1641="", " ",IF(ISNA(VLOOKUP(D1641,'[2]stock-take'!$G:$K,4,FALSE)), "OUT OF STOCK", VLOOKUP(D1641,'[2]stock-take'!$G:$K,4,FALSE)))</f>
        <v xml:space="preserve"> </v>
      </c>
      <c r="J1641" s="39">
        <f>IF(ISNA(VLOOKUP(D1641,'[2]stock-take'!$G:$K,3,FALSE)), 0, VLOOKUP(D1641,'[2]stock-take'!$G:$K,3,FALSE))</f>
        <v>0</v>
      </c>
      <c r="K1641" s="49" t="str">
        <f>IF(F1641="", " ", IF(ISNA(VLOOKUP(D1641,'[2]stock-take'!$M:$Q,4,FALSE)), "OUT OF STOCK", VLOOKUP(D1641,'[2]stock-take'!$M:$Q,4,FALSE)))</f>
        <v xml:space="preserve"> </v>
      </c>
      <c r="L1641" s="47">
        <f>IF(ISNA(VLOOKUP(D1641,'[2]stock-take'!$M:$Q,3,FALSE)), 0, VLOOKUP(D1641,'[2]stock-take'!$M:$Q,3,FALSE))</f>
        <v>0</v>
      </c>
      <c r="M1641" s="48" t="str">
        <f t="shared" si="76"/>
        <v xml:space="preserve"> </v>
      </c>
      <c r="N1641" s="39" t="str">
        <f t="shared" si="77"/>
        <v xml:space="preserve"> </v>
      </c>
    </row>
    <row r="1642" spans="1:14">
      <c r="A1642" s="37">
        <f t="shared" si="75"/>
        <v>1631</v>
      </c>
      <c r="G1642" s="48" t="str">
        <f>IF(F1642=""," ",IF(ISNA(VLOOKUP(D1642,'[2]stock-take'!$A:$E,4,FALSE)), "OUT OF STOCK", VLOOKUP(D1642,'[2]stock-take'!$A:$E,4,FALSE)))</f>
        <v xml:space="preserve"> </v>
      </c>
      <c r="H1642" s="48">
        <f>IF(ISNA(VLOOKUP(D1642,'[2]stock-take'!$A:$E,3,FALSE)), 0, VLOOKUP(D1642,'[2]stock-take'!$A:$E,3,FALSE))</f>
        <v>0</v>
      </c>
      <c r="I1642" s="48" t="str">
        <f>IF(F1642="", " ",IF(ISNA(VLOOKUP(D1642,'[2]stock-take'!$G:$K,4,FALSE)), "OUT OF STOCK", VLOOKUP(D1642,'[2]stock-take'!$G:$K,4,FALSE)))</f>
        <v xml:space="preserve"> </v>
      </c>
      <c r="J1642" s="39">
        <f>IF(ISNA(VLOOKUP(D1642,'[2]stock-take'!$G:$K,3,FALSE)), 0, VLOOKUP(D1642,'[2]stock-take'!$G:$K,3,FALSE))</f>
        <v>0</v>
      </c>
      <c r="K1642" s="49" t="str">
        <f>IF(F1642="", " ", IF(ISNA(VLOOKUP(D1642,'[2]stock-take'!$M:$Q,4,FALSE)), "OUT OF STOCK", VLOOKUP(D1642,'[2]stock-take'!$M:$Q,4,FALSE)))</f>
        <v xml:space="preserve"> </v>
      </c>
      <c r="L1642" s="47">
        <f>IF(ISNA(VLOOKUP(D1642,'[2]stock-take'!$M:$Q,3,FALSE)), 0, VLOOKUP(D1642,'[2]stock-take'!$M:$Q,3,FALSE))</f>
        <v>0</v>
      </c>
      <c r="M1642" s="48" t="str">
        <f t="shared" si="76"/>
        <v xml:space="preserve"> </v>
      </c>
      <c r="N1642" s="39" t="str">
        <f t="shared" si="77"/>
        <v xml:space="preserve"> </v>
      </c>
    </row>
    <row r="1643" spans="1:14">
      <c r="A1643" s="37">
        <f t="shared" si="75"/>
        <v>1632</v>
      </c>
      <c r="G1643" s="48" t="str">
        <f>IF(F1643=""," ",IF(ISNA(VLOOKUP(D1643,'[2]stock-take'!$A:$E,4,FALSE)), "OUT OF STOCK", VLOOKUP(D1643,'[2]stock-take'!$A:$E,4,FALSE)))</f>
        <v xml:space="preserve"> </v>
      </c>
      <c r="H1643" s="48">
        <f>IF(ISNA(VLOOKUP(D1643,'[2]stock-take'!$A:$E,3,FALSE)), 0, VLOOKUP(D1643,'[2]stock-take'!$A:$E,3,FALSE))</f>
        <v>0</v>
      </c>
      <c r="I1643" s="48" t="str">
        <f>IF(F1643="", " ",IF(ISNA(VLOOKUP(D1643,'[2]stock-take'!$G:$K,4,FALSE)), "OUT OF STOCK", VLOOKUP(D1643,'[2]stock-take'!$G:$K,4,FALSE)))</f>
        <v xml:space="preserve"> </v>
      </c>
      <c r="J1643" s="39">
        <f>IF(ISNA(VLOOKUP(D1643,'[2]stock-take'!$G:$K,3,FALSE)), 0, VLOOKUP(D1643,'[2]stock-take'!$G:$K,3,FALSE))</f>
        <v>0</v>
      </c>
      <c r="K1643" s="49" t="str">
        <f>IF(F1643="", " ", IF(ISNA(VLOOKUP(D1643,'[2]stock-take'!$M:$Q,4,FALSE)), "OUT OF STOCK", VLOOKUP(D1643,'[2]stock-take'!$M:$Q,4,FALSE)))</f>
        <v xml:space="preserve"> </v>
      </c>
      <c r="L1643" s="47">
        <f>IF(ISNA(VLOOKUP(D1643,'[2]stock-take'!$M:$Q,3,FALSE)), 0, VLOOKUP(D1643,'[2]stock-take'!$M:$Q,3,FALSE))</f>
        <v>0</v>
      </c>
      <c r="M1643" s="48" t="str">
        <f t="shared" si="76"/>
        <v xml:space="preserve"> </v>
      </c>
      <c r="N1643" s="39" t="str">
        <f t="shared" si="77"/>
        <v xml:space="preserve"> </v>
      </c>
    </row>
    <row r="1644" spans="1:14">
      <c r="A1644" s="37">
        <f t="shared" si="75"/>
        <v>1633</v>
      </c>
      <c r="G1644" s="48" t="str">
        <f>IF(F1644=""," ",IF(ISNA(VLOOKUP(D1644,'[2]stock-take'!$A:$E,4,FALSE)), "OUT OF STOCK", VLOOKUP(D1644,'[2]stock-take'!$A:$E,4,FALSE)))</f>
        <v xml:space="preserve"> </v>
      </c>
      <c r="H1644" s="48">
        <f>IF(ISNA(VLOOKUP(D1644,'[2]stock-take'!$A:$E,3,FALSE)), 0, VLOOKUP(D1644,'[2]stock-take'!$A:$E,3,FALSE))</f>
        <v>0</v>
      </c>
      <c r="I1644" s="48" t="str">
        <f>IF(F1644="", " ",IF(ISNA(VLOOKUP(D1644,'[2]stock-take'!$G:$K,4,FALSE)), "OUT OF STOCK", VLOOKUP(D1644,'[2]stock-take'!$G:$K,4,FALSE)))</f>
        <v xml:space="preserve"> </v>
      </c>
      <c r="J1644" s="39">
        <f>IF(ISNA(VLOOKUP(D1644,'[2]stock-take'!$G:$K,3,FALSE)), 0, VLOOKUP(D1644,'[2]stock-take'!$G:$K,3,FALSE))</f>
        <v>0</v>
      </c>
      <c r="K1644" s="49" t="str">
        <f>IF(F1644="", " ", IF(ISNA(VLOOKUP(D1644,'[2]stock-take'!$M:$Q,4,FALSE)), "OUT OF STOCK", VLOOKUP(D1644,'[2]stock-take'!$M:$Q,4,FALSE)))</f>
        <v xml:space="preserve"> </v>
      </c>
      <c r="L1644" s="47">
        <f>IF(ISNA(VLOOKUP(D1644,'[2]stock-take'!$M:$Q,3,FALSE)), 0, VLOOKUP(D1644,'[2]stock-take'!$M:$Q,3,FALSE))</f>
        <v>0</v>
      </c>
      <c r="M1644" s="48" t="str">
        <f t="shared" si="76"/>
        <v xml:space="preserve"> </v>
      </c>
      <c r="N1644" s="39" t="str">
        <f t="shared" si="77"/>
        <v xml:space="preserve"> </v>
      </c>
    </row>
    <row r="1645" spans="1:14">
      <c r="A1645" s="37">
        <f t="shared" si="75"/>
        <v>1634</v>
      </c>
      <c r="G1645" s="48" t="str">
        <f>IF(F1645=""," ",IF(ISNA(VLOOKUP(D1645,'[2]stock-take'!$A:$E,4,FALSE)), "OUT OF STOCK", VLOOKUP(D1645,'[2]stock-take'!$A:$E,4,FALSE)))</f>
        <v xml:space="preserve"> </v>
      </c>
      <c r="H1645" s="48">
        <f>IF(ISNA(VLOOKUP(D1645,'[2]stock-take'!$A:$E,3,FALSE)), 0, VLOOKUP(D1645,'[2]stock-take'!$A:$E,3,FALSE))</f>
        <v>0</v>
      </c>
      <c r="I1645" s="48" t="str">
        <f>IF(F1645="", " ",IF(ISNA(VLOOKUP(D1645,'[2]stock-take'!$G:$K,4,FALSE)), "OUT OF STOCK", VLOOKUP(D1645,'[2]stock-take'!$G:$K,4,FALSE)))</f>
        <v xml:space="preserve"> </v>
      </c>
      <c r="J1645" s="39">
        <f>IF(ISNA(VLOOKUP(D1645,'[2]stock-take'!$G:$K,3,FALSE)), 0, VLOOKUP(D1645,'[2]stock-take'!$G:$K,3,FALSE))</f>
        <v>0</v>
      </c>
      <c r="K1645" s="49" t="str">
        <f>IF(F1645="", " ", IF(ISNA(VLOOKUP(D1645,'[2]stock-take'!$M:$Q,4,FALSE)), "OUT OF STOCK", VLOOKUP(D1645,'[2]stock-take'!$M:$Q,4,FALSE)))</f>
        <v xml:space="preserve"> </v>
      </c>
      <c r="L1645" s="47">
        <f>IF(ISNA(VLOOKUP(D1645,'[2]stock-take'!$M:$Q,3,FALSE)), 0, VLOOKUP(D1645,'[2]stock-take'!$M:$Q,3,FALSE))</f>
        <v>0</v>
      </c>
      <c r="M1645" s="48" t="str">
        <f t="shared" si="76"/>
        <v xml:space="preserve"> </v>
      </c>
      <c r="N1645" s="39" t="str">
        <f t="shared" si="77"/>
        <v xml:space="preserve"> </v>
      </c>
    </row>
    <row r="1646" spans="1:14">
      <c r="A1646" s="37">
        <f t="shared" si="75"/>
        <v>1635</v>
      </c>
      <c r="G1646" s="48" t="str">
        <f>IF(F1646=""," ",IF(ISNA(VLOOKUP(D1646,'[2]stock-take'!$A:$E,4,FALSE)), "OUT OF STOCK", VLOOKUP(D1646,'[2]stock-take'!$A:$E,4,FALSE)))</f>
        <v xml:space="preserve"> </v>
      </c>
      <c r="H1646" s="48">
        <f>IF(ISNA(VLOOKUP(D1646,'[2]stock-take'!$A:$E,3,FALSE)), 0, VLOOKUP(D1646,'[2]stock-take'!$A:$E,3,FALSE))</f>
        <v>0</v>
      </c>
      <c r="I1646" s="48" t="str">
        <f>IF(F1646="", " ",IF(ISNA(VLOOKUP(D1646,'[2]stock-take'!$G:$K,4,FALSE)), "OUT OF STOCK", VLOOKUP(D1646,'[2]stock-take'!$G:$K,4,FALSE)))</f>
        <v xml:space="preserve"> </v>
      </c>
      <c r="J1646" s="39">
        <f>IF(ISNA(VLOOKUP(D1646,'[2]stock-take'!$G:$K,3,FALSE)), 0, VLOOKUP(D1646,'[2]stock-take'!$G:$K,3,FALSE))</f>
        <v>0</v>
      </c>
      <c r="K1646" s="49" t="str">
        <f>IF(F1646="", " ", IF(ISNA(VLOOKUP(D1646,'[2]stock-take'!$M:$Q,4,FALSE)), "OUT OF STOCK", VLOOKUP(D1646,'[2]stock-take'!$M:$Q,4,FALSE)))</f>
        <v xml:space="preserve"> </v>
      </c>
      <c r="L1646" s="47">
        <f>IF(ISNA(VLOOKUP(D1646,'[2]stock-take'!$M:$Q,3,FALSE)), 0, VLOOKUP(D1646,'[2]stock-take'!$M:$Q,3,FALSE))</f>
        <v>0</v>
      </c>
      <c r="M1646" s="48" t="str">
        <f t="shared" si="76"/>
        <v xml:space="preserve"> </v>
      </c>
      <c r="N1646" s="39" t="str">
        <f t="shared" si="77"/>
        <v xml:space="preserve"> </v>
      </c>
    </row>
    <row r="1647" spans="1:14">
      <c r="A1647" s="37">
        <f t="shared" si="75"/>
        <v>1636</v>
      </c>
      <c r="G1647" s="48" t="str">
        <f>IF(F1647=""," ",IF(ISNA(VLOOKUP(D1647,'[2]stock-take'!$A:$E,4,FALSE)), "OUT OF STOCK", VLOOKUP(D1647,'[2]stock-take'!$A:$E,4,FALSE)))</f>
        <v xml:space="preserve"> </v>
      </c>
      <c r="H1647" s="48">
        <f>IF(ISNA(VLOOKUP(D1647,'[2]stock-take'!$A:$E,3,FALSE)), 0, VLOOKUP(D1647,'[2]stock-take'!$A:$E,3,FALSE))</f>
        <v>0</v>
      </c>
      <c r="I1647" s="48" t="str">
        <f>IF(F1647="", " ",IF(ISNA(VLOOKUP(D1647,'[2]stock-take'!$G:$K,4,FALSE)), "OUT OF STOCK", VLOOKUP(D1647,'[2]stock-take'!$G:$K,4,FALSE)))</f>
        <v xml:space="preserve"> </v>
      </c>
      <c r="J1647" s="39">
        <f>IF(ISNA(VLOOKUP(D1647,'[2]stock-take'!$G:$K,3,FALSE)), 0, VLOOKUP(D1647,'[2]stock-take'!$G:$K,3,FALSE))</f>
        <v>0</v>
      </c>
      <c r="K1647" s="49" t="str">
        <f>IF(F1647="", " ", IF(ISNA(VLOOKUP(D1647,'[2]stock-take'!$M:$Q,4,FALSE)), "OUT OF STOCK", VLOOKUP(D1647,'[2]stock-take'!$M:$Q,4,FALSE)))</f>
        <v xml:space="preserve"> </v>
      </c>
      <c r="L1647" s="47">
        <f>IF(ISNA(VLOOKUP(D1647,'[2]stock-take'!$M:$Q,3,FALSE)), 0, VLOOKUP(D1647,'[2]stock-take'!$M:$Q,3,FALSE))</f>
        <v>0</v>
      </c>
      <c r="M1647" s="48" t="str">
        <f t="shared" si="76"/>
        <v xml:space="preserve"> </v>
      </c>
      <c r="N1647" s="39" t="str">
        <f t="shared" si="77"/>
        <v xml:space="preserve"> </v>
      </c>
    </row>
    <row r="1648" spans="1:14">
      <c r="A1648" s="37">
        <f t="shared" si="75"/>
        <v>1637</v>
      </c>
      <c r="G1648" s="48" t="str">
        <f>IF(F1648=""," ",IF(ISNA(VLOOKUP(D1648,'[2]stock-take'!$A:$E,4,FALSE)), "OUT OF STOCK", VLOOKUP(D1648,'[2]stock-take'!$A:$E,4,FALSE)))</f>
        <v xml:space="preserve"> </v>
      </c>
      <c r="H1648" s="48">
        <f>IF(ISNA(VLOOKUP(D1648,'[2]stock-take'!$A:$E,3,FALSE)), 0, VLOOKUP(D1648,'[2]stock-take'!$A:$E,3,FALSE))</f>
        <v>0</v>
      </c>
      <c r="I1648" s="48" t="str">
        <f>IF(F1648="", " ",IF(ISNA(VLOOKUP(D1648,'[2]stock-take'!$G:$K,4,FALSE)), "OUT OF STOCK", VLOOKUP(D1648,'[2]stock-take'!$G:$K,4,FALSE)))</f>
        <v xml:space="preserve"> </v>
      </c>
      <c r="J1648" s="39">
        <f>IF(ISNA(VLOOKUP(D1648,'[2]stock-take'!$G:$K,3,FALSE)), 0, VLOOKUP(D1648,'[2]stock-take'!$G:$K,3,FALSE))</f>
        <v>0</v>
      </c>
      <c r="K1648" s="49" t="str">
        <f>IF(F1648="", " ", IF(ISNA(VLOOKUP(D1648,'[2]stock-take'!$M:$Q,4,FALSE)), "OUT OF STOCK", VLOOKUP(D1648,'[2]stock-take'!$M:$Q,4,FALSE)))</f>
        <v xml:space="preserve"> </v>
      </c>
      <c r="L1648" s="47">
        <f>IF(ISNA(VLOOKUP(D1648,'[2]stock-take'!$M:$Q,3,FALSE)), 0, VLOOKUP(D1648,'[2]stock-take'!$M:$Q,3,FALSE))</f>
        <v>0</v>
      </c>
      <c r="M1648" s="48" t="str">
        <f t="shared" si="76"/>
        <v xml:space="preserve"> </v>
      </c>
      <c r="N1648" s="39" t="str">
        <f t="shared" si="77"/>
        <v xml:space="preserve"> </v>
      </c>
    </row>
    <row r="1649" spans="1:14">
      <c r="A1649" s="37">
        <f t="shared" si="75"/>
        <v>1638</v>
      </c>
      <c r="G1649" s="48" t="str">
        <f>IF(F1649=""," ",IF(ISNA(VLOOKUP(D1649,'[2]stock-take'!$A:$E,4,FALSE)), "OUT OF STOCK", VLOOKUP(D1649,'[2]stock-take'!$A:$E,4,FALSE)))</f>
        <v xml:space="preserve"> </v>
      </c>
      <c r="H1649" s="48">
        <f>IF(ISNA(VLOOKUP(D1649,'[2]stock-take'!$A:$E,3,FALSE)), 0, VLOOKUP(D1649,'[2]stock-take'!$A:$E,3,FALSE))</f>
        <v>0</v>
      </c>
      <c r="I1649" s="48" t="str">
        <f>IF(F1649="", " ",IF(ISNA(VLOOKUP(D1649,'[2]stock-take'!$G:$K,4,FALSE)), "OUT OF STOCK", VLOOKUP(D1649,'[2]stock-take'!$G:$K,4,FALSE)))</f>
        <v xml:space="preserve"> </v>
      </c>
      <c r="J1649" s="39">
        <f>IF(ISNA(VLOOKUP(D1649,'[2]stock-take'!$G:$K,3,FALSE)), 0, VLOOKUP(D1649,'[2]stock-take'!$G:$K,3,FALSE))</f>
        <v>0</v>
      </c>
      <c r="K1649" s="49" t="str">
        <f>IF(F1649="", " ", IF(ISNA(VLOOKUP(D1649,'[2]stock-take'!$M:$Q,4,FALSE)), "OUT OF STOCK", VLOOKUP(D1649,'[2]stock-take'!$M:$Q,4,FALSE)))</f>
        <v xml:space="preserve"> </v>
      </c>
      <c r="L1649" s="47">
        <f>IF(ISNA(VLOOKUP(D1649,'[2]stock-take'!$M:$Q,3,FALSE)), 0, VLOOKUP(D1649,'[2]stock-take'!$M:$Q,3,FALSE))</f>
        <v>0</v>
      </c>
      <c r="M1649" s="48" t="str">
        <f t="shared" si="76"/>
        <v xml:space="preserve"> </v>
      </c>
      <c r="N1649" s="39" t="str">
        <f t="shared" si="77"/>
        <v xml:space="preserve"> </v>
      </c>
    </row>
    <row r="1650" spans="1:14">
      <c r="A1650" s="37">
        <f t="shared" si="75"/>
        <v>1639</v>
      </c>
      <c r="G1650" s="48" t="str">
        <f>IF(F1650=""," ",IF(ISNA(VLOOKUP(D1650,'[2]stock-take'!$A:$E,4,FALSE)), "OUT OF STOCK", VLOOKUP(D1650,'[2]stock-take'!$A:$E,4,FALSE)))</f>
        <v xml:space="preserve"> </v>
      </c>
      <c r="H1650" s="48">
        <f>IF(ISNA(VLOOKUP(D1650,'[2]stock-take'!$A:$E,3,FALSE)), 0, VLOOKUP(D1650,'[2]stock-take'!$A:$E,3,FALSE))</f>
        <v>0</v>
      </c>
      <c r="I1650" s="48" t="str">
        <f>IF(F1650="", " ",IF(ISNA(VLOOKUP(D1650,'[2]stock-take'!$G:$K,4,FALSE)), "OUT OF STOCK", VLOOKUP(D1650,'[2]stock-take'!$G:$K,4,FALSE)))</f>
        <v xml:space="preserve"> </v>
      </c>
      <c r="J1650" s="39">
        <f>IF(ISNA(VLOOKUP(D1650,'[2]stock-take'!$G:$K,3,FALSE)), 0, VLOOKUP(D1650,'[2]stock-take'!$G:$K,3,FALSE))</f>
        <v>0</v>
      </c>
      <c r="K1650" s="49" t="str">
        <f>IF(F1650="", " ", IF(ISNA(VLOOKUP(D1650,'[2]stock-take'!$M:$Q,4,FALSE)), "OUT OF STOCK", VLOOKUP(D1650,'[2]stock-take'!$M:$Q,4,FALSE)))</f>
        <v xml:space="preserve"> </v>
      </c>
      <c r="L1650" s="47">
        <f>IF(ISNA(VLOOKUP(D1650,'[2]stock-take'!$M:$Q,3,FALSE)), 0, VLOOKUP(D1650,'[2]stock-take'!$M:$Q,3,FALSE))</f>
        <v>0</v>
      </c>
      <c r="M1650" s="48" t="str">
        <f t="shared" si="76"/>
        <v xml:space="preserve"> </v>
      </c>
      <c r="N1650" s="39" t="str">
        <f t="shared" si="77"/>
        <v xml:space="preserve"> </v>
      </c>
    </row>
    <row r="1651" spans="1:14">
      <c r="A1651" s="37">
        <f t="shared" si="75"/>
        <v>1640</v>
      </c>
      <c r="G1651" s="48" t="str">
        <f>IF(F1651=""," ",IF(ISNA(VLOOKUP(D1651,'[2]stock-take'!$A:$E,4,FALSE)), "OUT OF STOCK", VLOOKUP(D1651,'[2]stock-take'!$A:$E,4,FALSE)))</f>
        <v xml:space="preserve"> </v>
      </c>
      <c r="H1651" s="48">
        <f>IF(ISNA(VLOOKUP(D1651,'[2]stock-take'!$A:$E,3,FALSE)), 0, VLOOKUP(D1651,'[2]stock-take'!$A:$E,3,FALSE))</f>
        <v>0</v>
      </c>
      <c r="I1651" s="48" t="str">
        <f>IF(F1651="", " ",IF(ISNA(VLOOKUP(D1651,'[2]stock-take'!$G:$K,4,FALSE)), "OUT OF STOCK", VLOOKUP(D1651,'[2]stock-take'!$G:$K,4,FALSE)))</f>
        <v xml:space="preserve"> </v>
      </c>
      <c r="J1651" s="39">
        <f>IF(ISNA(VLOOKUP(D1651,'[2]stock-take'!$G:$K,3,FALSE)), 0, VLOOKUP(D1651,'[2]stock-take'!$G:$K,3,FALSE))</f>
        <v>0</v>
      </c>
      <c r="K1651" s="49" t="str">
        <f>IF(F1651="", " ", IF(ISNA(VLOOKUP(D1651,'[2]stock-take'!$M:$Q,4,FALSE)), "OUT OF STOCK", VLOOKUP(D1651,'[2]stock-take'!$M:$Q,4,FALSE)))</f>
        <v xml:space="preserve"> </v>
      </c>
      <c r="L1651" s="47">
        <f>IF(ISNA(VLOOKUP(D1651,'[2]stock-take'!$M:$Q,3,FALSE)), 0, VLOOKUP(D1651,'[2]stock-take'!$M:$Q,3,FALSE))</f>
        <v>0</v>
      </c>
      <c r="M1651" s="48" t="str">
        <f t="shared" si="76"/>
        <v xml:space="preserve"> </v>
      </c>
      <c r="N1651" s="39" t="str">
        <f t="shared" si="77"/>
        <v xml:space="preserve"> </v>
      </c>
    </row>
    <row r="1652" spans="1:14">
      <c r="A1652" s="37">
        <f t="shared" si="75"/>
        <v>1641</v>
      </c>
      <c r="G1652" s="48" t="str">
        <f>IF(F1652=""," ",IF(ISNA(VLOOKUP(D1652,'[2]stock-take'!$A:$E,4,FALSE)), "OUT OF STOCK", VLOOKUP(D1652,'[2]stock-take'!$A:$E,4,FALSE)))</f>
        <v xml:space="preserve"> </v>
      </c>
      <c r="H1652" s="48">
        <f>IF(ISNA(VLOOKUP(D1652,'[2]stock-take'!$A:$E,3,FALSE)), 0, VLOOKUP(D1652,'[2]stock-take'!$A:$E,3,FALSE))</f>
        <v>0</v>
      </c>
      <c r="I1652" s="48" t="str">
        <f>IF(F1652="", " ",IF(ISNA(VLOOKUP(D1652,'[2]stock-take'!$G:$K,4,FALSE)), "OUT OF STOCK", VLOOKUP(D1652,'[2]stock-take'!$G:$K,4,FALSE)))</f>
        <v xml:space="preserve"> </v>
      </c>
      <c r="J1652" s="39">
        <f>IF(ISNA(VLOOKUP(D1652,'[2]stock-take'!$G:$K,3,FALSE)), 0, VLOOKUP(D1652,'[2]stock-take'!$G:$K,3,FALSE))</f>
        <v>0</v>
      </c>
      <c r="K1652" s="49" t="str">
        <f>IF(F1652="", " ", IF(ISNA(VLOOKUP(D1652,'[2]stock-take'!$M:$Q,4,FALSE)), "OUT OF STOCK", VLOOKUP(D1652,'[2]stock-take'!$M:$Q,4,FALSE)))</f>
        <v xml:space="preserve"> </v>
      </c>
      <c r="L1652" s="47">
        <f>IF(ISNA(VLOOKUP(D1652,'[2]stock-take'!$M:$Q,3,FALSE)), 0, VLOOKUP(D1652,'[2]stock-take'!$M:$Q,3,FALSE))</f>
        <v>0</v>
      </c>
      <c r="M1652" s="48" t="str">
        <f t="shared" si="76"/>
        <v xml:space="preserve"> </v>
      </c>
      <c r="N1652" s="39" t="str">
        <f t="shared" si="77"/>
        <v xml:space="preserve"> </v>
      </c>
    </row>
    <row r="1653" spans="1:14">
      <c r="A1653" s="37">
        <f t="shared" si="75"/>
        <v>1642</v>
      </c>
      <c r="G1653" s="48" t="str">
        <f>IF(F1653=""," ",IF(ISNA(VLOOKUP(D1653,'[2]stock-take'!$A:$E,4,FALSE)), "OUT OF STOCK", VLOOKUP(D1653,'[2]stock-take'!$A:$E,4,FALSE)))</f>
        <v xml:space="preserve"> </v>
      </c>
      <c r="H1653" s="48">
        <f>IF(ISNA(VLOOKUP(D1653,'[2]stock-take'!$A:$E,3,FALSE)), 0, VLOOKUP(D1653,'[2]stock-take'!$A:$E,3,FALSE))</f>
        <v>0</v>
      </c>
      <c r="I1653" s="48" t="str">
        <f>IF(F1653="", " ",IF(ISNA(VLOOKUP(D1653,'[2]stock-take'!$G:$K,4,FALSE)), "OUT OF STOCK", VLOOKUP(D1653,'[2]stock-take'!$G:$K,4,FALSE)))</f>
        <v xml:space="preserve"> </v>
      </c>
      <c r="J1653" s="39">
        <f>IF(ISNA(VLOOKUP(D1653,'[2]stock-take'!$G:$K,3,FALSE)), 0, VLOOKUP(D1653,'[2]stock-take'!$G:$K,3,FALSE))</f>
        <v>0</v>
      </c>
      <c r="K1653" s="49" t="str">
        <f>IF(F1653="", " ", IF(ISNA(VLOOKUP(D1653,'[2]stock-take'!$M:$Q,4,FALSE)), "OUT OF STOCK", VLOOKUP(D1653,'[2]stock-take'!$M:$Q,4,FALSE)))</f>
        <v xml:space="preserve"> </v>
      </c>
      <c r="L1653" s="47">
        <f>IF(ISNA(VLOOKUP(D1653,'[2]stock-take'!$M:$Q,3,FALSE)), 0, VLOOKUP(D1653,'[2]stock-take'!$M:$Q,3,FALSE))</f>
        <v>0</v>
      </c>
      <c r="M1653" s="48" t="str">
        <f t="shared" si="76"/>
        <v xml:space="preserve"> </v>
      </c>
      <c r="N1653" s="39" t="str">
        <f t="shared" si="77"/>
        <v xml:space="preserve"> </v>
      </c>
    </row>
    <row r="1654" spans="1:14">
      <c r="A1654" s="37">
        <f t="shared" si="75"/>
        <v>1643</v>
      </c>
      <c r="G1654" s="48" t="str">
        <f>IF(F1654=""," ",IF(ISNA(VLOOKUP(D1654,'[2]stock-take'!$A:$E,4,FALSE)), "OUT OF STOCK", VLOOKUP(D1654,'[2]stock-take'!$A:$E,4,FALSE)))</f>
        <v xml:space="preserve"> </v>
      </c>
      <c r="H1654" s="48">
        <f>IF(ISNA(VLOOKUP(D1654,'[2]stock-take'!$A:$E,3,FALSE)), 0, VLOOKUP(D1654,'[2]stock-take'!$A:$E,3,FALSE))</f>
        <v>0</v>
      </c>
      <c r="I1654" s="48" t="str">
        <f>IF(F1654="", " ",IF(ISNA(VLOOKUP(D1654,'[2]stock-take'!$G:$K,4,FALSE)), "OUT OF STOCK", VLOOKUP(D1654,'[2]stock-take'!$G:$K,4,FALSE)))</f>
        <v xml:space="preserve"> </v>
      </c>
      <c r="J1654" s="39">
        <f>IF(ISNA(VLOOKUP(D1654,'[2]stock-take'!$G:$K,3,FALSE)), 0, VLOOKUP(D1654,'[2]stock-take'!$G:$K,3,FALSE))</f>
        <v>0</v>
      </c>
      <c r="K1654" s="49" t="str">
        <f>IF(F1654="", " ", IF(ISNA(VLOOKUP(D1654,'[2]stock-take'!$M:$Q,4,FALSE)), "OUT OF STOCK", VLOOKUP(D1654,'[2]stock-take'!$M:$Q,4,FALSE)))</f>
        <v xml:space="preserve"> </v>
      </c>
      <c r="L1654" s="47">
        <f>IF(ISNA(VLOOKUP(D1654,'[2]stock-take'!$M:$Q,3,FALSE)), 0, VLOOKUP(D1654,'[2]stock-take'!$M:$Q,3,FALSE))</f>
        <v>0</v>
      </c>
      <c r="M1654" s="48" t="str">
        <f t="shared" si="76"/>
        <v xml:space="preserve"> </v>
      </c>
      <c r="N1654" s="39" t="str">
        <f t="shared" si="77"/>
        <v xml:space="preserve"> </v>
      </c>
    </row>
    <row r="1655" spans="1:14">
      <c r="A1655" s="37">
        <f t="shared" si="75"/>
        <v>1644</v>
      </c>
      <c r="G1655" s="48" t="str">
        <f>IF(F1655=""," ",IF(ISNA(VLOOKUP(D1655,'[2]stock-take'!$A:$E,4,FALSE)), "OUT OF STOCK", VLOOKUP(D1655,'[2]stock-take'!$A:$E,4,FALSE)))</f>
        <v xml:space="preserve"> </v>
      </c>
      <c r="H1655" s="48">
        <f>IF(ISNA(VLOOKUP(D1655,'[2]stock-take'!$A:$E,3,FALSE)), 0, VLOOKUP(D1655,'[2]stock-take'!$A:$E,3,FALSE))</f>
        <v>0</v>
      </c>
      <c r="I1655" s="48" t="str">
        <f>IF(F1655="", " ",IF(ISNA(VLOOKUP(D1655,'[2]stock-take'!$G:$K,4,FALSE)), "OUT OF STOCK", VLOOKUP(D1655,'[2]stock-take'!$G:$K,4,FALSE)))</f>
        <v xml:space="preserve"> </v>
      </c>
      <c r="J1655" s="39">
        <f>IF(ISNA(VLOOKUP(D1655,'[2]stock-take'!$G:$K,3,FALSE)), 0, VLOOKUP(D1655,'[2]stock-take'!$G:$K,3,FALSE))</f>
        <v>0</v>
      </c>
      <c r="K1655" s="49" t="str">
        <f>IF(F1655="", " ", IF(ISNA(VLOOKUP(D1655,'[2]stock-take'!$M:$Q,4,FALSE)), "OUT OF STOCK", VLOOKUP(D1655,'[2]stock-take'!$M:$Q,4,FALSE)))</f>
        <v xml:space="preserve"> </v>
      </c>
      <c r="L1655" s="47">
        <f>IF(ISNA(VLOOKUP(D1655,'[2]stock-take'!$M:$Q,3,FALSE)), 0, VLOOKUP(D1655,'[2]stock-take'!$M:$Q,3,FALSE))</f>
        <v>0</v>
      </c>
      <c r="M1655" s="48" t="str">
        <f t="shared" si="76"/>
        <v xml:space="preserve"> </v>
      </c>
      <c r="N1655" s="39" t="str">
        <f t="shared" si="77"/>
        <v xml:space="preserve"> </v>
      </c>
    </row>
    <row r="1656" spans="1:14">
      <c r="A1656" s="37">
        <f t="shared" si="75"/>
        <v>1645</v>
      </c>
      <c r="G1656" s="48" t="str">
        <f>IF(F1656=""," ",IF(ISNA(VLOOKUP(D1656,'[2]stock-take'!$A:$E,4,FALSE)), "OUT OF STOCK", VLOOKUP(D1656,'[2]stock-take'!$A:$E,4,FALSE)))</f>
        <v xml:space="preserve"> </v>
      </c>
      <c r="H1656" s="48">
        <f>IF(ISNA(VLOOKUP(D1656,'[2]stock-take'!$A:$E,3,FALSE)), 0, VLOOKUP(D1656,'[2]stock-take'!$A:$E,3,FALSE))</f>
        <v>0</v>
      </c>
      <c r="I1656" s="48" t="str">
        <f>IF(F1656="", " ",IF(ISNA(VLOOKUP(D1656,'[2]stock-take'!$G:$K,4,FALSE)), "OUT OF STOCK", VLOOKUP(D1656,'[2]stock-take'!$G:$K,4,FALSE)))</f>
        <v xml:space="preserve"> </v>
      </c>
      <c r="J1656" s="39">
        <f>IF(ISNA(VLOOKUP(D1656,'[2]stock-take'!$G:$K,3,FALSE)), 0, VLOOKUP(D1656,'[2]stock-take'!$G:$K,3,FALSE))</f>
        <v>0</v>
      </c>
      <c r="K1656" s="49" t="str">
        <f>IF(F1656="", " ", IF(ISNA(VLOOKUP(D1656,'[2]stock-take'!$M:$Q,4,FALSE)), "OUT OF STOCK", VLOOKUP(D1656,'[2]stock-take'!$M:$Q,4,FALSE)))</f>
        <v xml:space="preserve"> </v>
      </c>
      <c r="L1656" s="47">
        <f>IF(ISNA(VLOOKUP(D1656,'[2]stock-take'!$M:$Q,3,FALSE)), 0, VLOOKUP(D1656,'[2]stock-take'!$M:$Q,3,FALSE))</f>
        <v>0</v>
      </c>
      <c r="M1656" s="48" t="str">
        <f t="shared" si="76"/>
        <v xml:space="preserve"> </v>
      </c>
      <c r="N1656" s="39" t="str">
        <f t="shared" si="77"/>
        <v xml:space="preserve"> </v>
      </c>
    </row>
    <row r="1657" spans="1:14">
      <c r="A1657" s="37">
        <f t="shared" si="75"/>
        <v>1646</v>
      </c>
      <c r="G1657" s="48" t="str">
        <f>IF(F1657=""," ",IF(ISNA(VLOOKUP(D1657,'[2]stock-take'!$A:$E,4,FALSE)), "OUT OF STOCK", VLOOKUP(D1657,'[2]stock-take'!$A:$E,4,FALSE)))</f>
        <v xml:space="preserve"> </v>
      </c>
      <c r="H1657" s="48">
        <f>IF(ISNA(VLOOKUP(D1657,'[2]stock-take'!$A:$E,3,FALSE)), 0, VLOOKUP(D1657,'[2]stock-take'!$A:$E,3,FALSE))</f>
        <v>0</v>
      </c>
      <c r="I1657" s="48" t="str">
        <f>IF(F1657="", " ",IF(ISNA(VLOOKUP(D1657,'[2]stock-take'!$G:$K,4,FALSE)), "OUT OF STOCK", VLOOKUP(D1657,'[2]stock-take'!$G:$K,4,FALSE)))</f>
        <v xml:space="preserve"> </v>
      </c>
      <c r="J1657" s="39">
        <f>IF(ISNA(VLOOKUP(D1657,'[2]stock-take'!$G:$K,3,FALSE)), 0, VLOOKUP(D1657,'[2]stock-take'!$G:$K,3,FALSE))</f>
        <v>0</v>
      </c>
      <c r="K1657" s="49" t="str">
        <f>IF(F1657="", " ", IF(ISNA(VLOOKUP(D1657,'[2]stock-take'!$M:$Q,4,FALSE)), "OUT OF STOCK", VLOOKUP(D1657,'[2]stock-take'!$M:$Q,4,FALSE)))</f>
        <v xml:space="preserve"> </v>
      </c>
      <c r="L1657" s="47">
        <f>IF(ISNA(VLOOKUP(D1657,'[2]stock-take'!$M:$Q,3,FALSE)), 0, VLOOKUP(D1657,'[2]stock-take'!$M:$Q,3,FALSE))</f>
        <v>0</v>
      </c>
      <c r="M1657" s="48" t="str">
        <f t="shared" si="76"/>
        <v xml:space="preserve"> </v>
      </c>
      <c r="N1657" s="39" t="str">
        <f t="shared" si="77"/>
        <v xml:space="preserve"> </v>
      </c>
    </row>
    <row r="1658" spans="1:14">
      <c r="A1658" s="37">
        <f t="shared" si="75"/>
        <v>1647</v>
      </c>
      <c r="G1658" s="48" t="str">
        <f>IF(F1658=""," ",IF(ISNA(VLOOKUP(D1658,'[2]stock-take'!$A:$E,4,FALSE)), "OUT OF STOCK", VLOOKUP(D1658,'[2]stock-take'!$A:$E,4,FALSE)))</f>
        <v xml:space="preserve"> </v>
      </c>
      <c r="H1658" s="48">
        <f>IF(ISNA(VLOOKUP(D1658,'[2]stock-take'!$A:$E,3,FALSE)), 0, VLOOKUP(D1658,'[2]stock-take'!$A:$E,3,FALSE))</f>
        <v>0</v>
      </c>
      <c r="I1658" s="48" t="str">
        <f>IF(F1658="", " ",IF(ISNA(VLOOKUP(D1658,'[2]stock-take'!$G:$K,4,FALSE)), "OUT OF STOCK", VLOOKUP(D1658,'[2]stock-take'!$G:$K,4,FALSE)))</f>
        <v xml:space="preserve"> </v>
      </c>
      <c r="J1658" s="39">
        <f>IF(ISNA(VLOOKUP(D1658,'[2]stock-take'!$G:$K,3,FALSE)), 0, VLOOKUP(D1658,'[2]stock-take'!$G:$K,3,FALSE))</f>
        <v>0</v>
      </c>
      <c r="K1658" s="49" t="str">
        <f>IF(F1658="", " ", IF(ISNA(VLOOKUP(D1658,'[2]stock-take'!$M:$Q,4,FALSE)), "OUT OF STOCK", VLOOKUP(D1658,'[2]stock-take'!$M:$Q,4,FALSE)))</f>
        <v xml:space="preserve"> </v>
      </c>
      <c r="L1658" s="47">
        <f>IF(ISNA(VLOOKUP(D1658,'[2]stock-take'!$M:$Q,3,FALSE)), 0, VLOOKUP(D1658,'[2]stock-take'!$M:$Q,3,FALSE))</f>
        <v>0</v>
      </c>
      <c r="M1658" s="48" t="str">
        <f t="shared" si="76"/>
        <v xml:space="preserve"> </v>
      </c>
      <c r="N1658" s="39" t="str">
        <f t="shared" si="77"/>
        <v xml:space="preserve"> </v>
      </c>
    </row>
    <row r="1659" spans="1:14">
      <c r="A1659" s="37">
        <f t="shared" si="75"/>
        <v>1648</v>
      </c>
      <c r="G1659" s="48" t="str">
        <f>IF(F1659=""," ",IF(ISNA(VLOOKUP(D1659,'[2]stock-take'!$A:$E,4,FALSE)), "OUT OF STOCK", VLOOKUP(D1659,'[2]stock-take'!$A:$E,4,FALSE)))</f>
        <v xml:space="preserve"> </v>
      </c>
      <c r="H1659" s="48">
        <f>IF(ISNA(VLOOKUP(D1659,'[2]stock-take'!$A:$E,3,FALSE)), 0, VLOOKUP(D1659,'[2]stock-take'!$A:$E,3,FALSE))</f>
        <v>0</v>
      </c>
      <c r="I1659" s="48" t="str">
        <f>IF(F1659="", " ",IF(ISNA(VLOOKUP(D1659,'[2]stock-take'!$G:$K,4,FALSE)), "OUT OF STOCK", VLOOKUP(D1659,'[2]stock-take'!$G:$K,4,FALSE)))</f>
        <v xml:space="preserve"> </v>
      </c>
      <c r="J1659" s="39">
        <f>IF(ISNA(VLOOKUP(D1659,'[2]stock-take'!$G:$K,3,FALSE)), 0, VLOOKUP(D1659,'[2]stock-take'!$G:$K,3,FALSE))</f>
        <v>0</v>
      </c>
      <c r="K1659" s="49" t="str">
        <f>IF(F1659="", " ", IF(ISNA(VLOOKUP(D1659,'[2]stock-take'!$M:$Q,4,FALSE)), "OUT OF STOCK", VLOOKUP(D1659,'[2]stock-take'!$M:$Q,4,FALSE)))</f>
        <v xml:space="preserve"> </v>
      </c>
      <c r="L1659" s="47">
        <f>IF(ISNA(VLOOKUP(D1659,'[2]stock-take'!$M:$Q,3,FALSE)), 0, VLOOKUP(D1659,'[2]stock-take'!$M:$Q,3,FALSE))</f>
        <v>0</v>
      </c>
      <c r="M1659" s="48" t="str">
        <f t="shared" si="76"/>
        <v xml:space="preserve"> </v>
      </c>
      <c r="N1659" s="39" t="str">
        <f t="shared" si="77"/>
        <v xml:space="preserve"> </v>
      </c>
    </row>
    <row r="1660" spans="1:14">
      <c r="A1660" s="37">
        <f t="shared" si="75"/>
        <v>1649</v>
      </c>
      <c r="G1660" s="48" t="str">
        <f>IF(F1660=""," ",IF(ISNA(VLOOKUP(D1660,'[2]stock-take'!$A:$E,4,FALSE)), "OUT OF STOCK", VLOOKUP(D1660,'[2]stock-take'!$A:$E,4,FALSE)))</f>
        <v xml:space="preserve"> </v>
      </c>
      <c r="H1660" s="48">
        <f>IF(ISNA(VLOOKUP(D1660,'[2]stock-take'!$A:$E,3,FALSE)), 0, VLOOKUP(D1660,'[2]stock-take'!$A:$E,3,FALSE))</f>
        <v>0</v>
      </c>
      <c r="I1660" s="48" t="str">
        <f>IF(F1660="", " ",IF(ISNA(VLOOKUP(D1660,'[2]stock-take'!$G:$K,4,FALSE)), "OUT OF STOCK", VLOOKUP(D1660,'[2]stock-take'!$G:$K,4,FALSE)))</f>
        <v xml:space="preserve"> </v>
      </c>
      <c r="J1660" s="39">
        <f>IF(ISNA(VLOOKUP(D1660,'[2]stock-take'!$G:$K,3,FALSE)), 0, VLOOKUP(D1660,'[2]stock-take'!$G:$K,3,FALSE))</f>
        <v>0</v>
      </c>
      <c r="K1660" s="49" t="str">
        <f>IF(F1660="", " ", IF(ISNA(VLOOKUP(D1660,'[2]stock-take'!$M:$Q,4,FALSE)), "OUT OF STOCK", VLOOKUP(D1660,'[2]stock-take'!$M:$Q,4,FALSE)))</f>
        <v xml:space="preserve"> </v>
      </c>
      <c r="L1660" s="47">
        <f>IF(ISNA(VLOOKUP(D1660,'[2]stock-take'!$M:$Q,3,FALSE)), 0, VLOOKUP(D1660,'[2]stock-take'!$M:$Q,3,FALSE))</f>
        <v>0</v>
      </c>
      <c r="M1660" s="48" t="str">
        <f t="shared" si="76"/>
        <v xml:space="preserve"> </v>
      </c>
      <c r="N1660" s="39" t="str">
        <f t="shared" si="77"/>
        <v xml:space="preserve"> </v>
      </c>
    </row>
    <row r="1661" spans="1:14">
      <c r="A1661" s="37">
        <f t="shared" si="75"/>
        <v>1650</v>
      </c>
      <c r="G1661" s="48" t="str">
        <f>IF(F1661=""," ",IF(ISNA(VLOOKUP(D1661,'[2]stock-take'!$A:$E,4,FALSE)), "OUT OF STOCK", VLOOKUP(D1661,'[2]stock-take'!$A:$E,4,FALSE)))</f>
        <v xml:space="preserve"> </v>
      </c>
      <c r="H1661" s="48">
        <f>IF(ISNA(VLOOKUP(D1661,'[2]stock-take'!$A:$E,3,FALSE)), 0, VLOOKUP(D1661,'[2]stock-take'!$A:$E,3,FALSE))</f>
        <v>0</v>
      </c>
      <c r="I1661" s="48" t="str">
        <f>IF(F1661="", " ",IF(ISNA(VLOOKUP(D1661,'[2]stock-take'!$G:$K,4,FALSE)), "OUT OF STOCK", VLOOKUP(D1661,'[2]stock-take'!$G:$K,4,FALSE)))</f>
        <v xml:space="preserve"> </v>
      </c>
      <c r="J1661" s="39">
        <f>IF(ISNA(VLOOKUP(D1661,'[2]stock-take'!$G:$K,3,FALSE)), 0, VLOOKUP(D1661,'[2]stock-take'!$G:$K,3,FALSE))</f>
        <v>0</v>
      </c>
      <c r="K1661" s="49" t="str">
        <f>IF(F1661="", " ", IF(ISNA(VLOOKUP(D1661,'[2]stock-take'!$M:$Q,4,FALSE)), "OUT OF STOCK", VLOOKUP(D1661,'[2]stock-take'!$M:$Q,4,FALSE)))</f>
        <v xml:space="preserve"> </v>
      </c>
      <c r="L1661" s="47">
        <f>IF(ISNA(VLOOKUP(D1661,'[2]stock-take'!$M:$Q,3,FALSE)), 0, VLOOKUP(D1661,'[2]stock-take'!$M:$Q,3,FALSE))</f>
        <v>0</v>
      </c>
      <c r="M1661" s="48" t="str">
        <f t="shared" si="76"/>
        <v xml:space="preserve"> </v>
      </c>
      <c r="N1661" s="39" t="str">
        <f t="shared" si="77"/>
        <v xml:space="preserve"> </v>
      </c>
    </row>
    <row r="1662" spans="1:14">
      <c r="A1662" s="37">
        <f t="shared" si="75"/>
        <v>1651</v>
      </c>
      <c r="G1662" s="48" t="str">
        <f>IF(F1662=""," ",IF(ISNA(VLOOKUP(D1662,'[2]stock-take'!$A:$E,4,FALSE)), "OUT OF STOCK", VLOOKUP(D1662,'[2]stock-take'!$A:$E,4,FALSE)))</f>
        <v xml:space="preserve"> </v>
      </c>
      <c r="H1662" s="48">
        <f>IF(ISNA(VLOOKUP(D1662,'[2]stock-take'!$A:$E,3,FALSE)), 0, VLOOKUP(D1662,'[2]stock-take'!$A:$E,3,FALSE))</f>
        <v>0</v>
      </c>
      <c r="I1662" s="48" t="str">
        <f>IF(F1662="", " ",IF(ISNA(VLOOKUP(D1662,'[2]stock-take'!$G:$K,4,FALSE)), "OUT OF STOCK", VLOOKUP(D1662,'[2]stock-take'!$G:$K,4,FALSE)))</f>
        <v xml:space="preserve"> </v>
      </c>
      <c r="J1662" s="39">
        <f>IF(ISNA(VLOOKUP(D1662,'[2]stock-take'!$G:$K,3,FALSE)), 0, VLOOKUP(D1662,'[2]stock-take'!$G:$K,3,FALSE))</f>
        <v>0</v>
      </c>
      <c r="K1662" s="49" t="str">
        <f>IF(F1662="", " ", IF(ISNA(VLOOKUP(D1662,'[2]stock-take'!$M:$Q,4,FALSE)), "OUT OF STOCK", VLOOKUP(D1662,'[2]stock-take'!$M:$Q,4,FALSE)))</f>
        <v xml:space="preserve"> </v>
      </c>
      <c r="L1662" s="47">
        <f>IF(ISNA(VLOOKUP(D1662,'[2]stock-take'!$M:$Q,3,FALSE)), 0, VLOOKUP(D1662,'[2]stock-take'!$M:$Q,3,FALSE))</f>
        <v>0</v>
      </c>
      <c r="M1662" s="48" t="str">
        <f t="shared" si="76"/>
        <v xml:space="preserve"> </v>
      </c>
      <c r="N1662" s="39" t="str">
        <f t="shared" si="77"/>
        <v xml:space="preserve"> </v>
      </c>
    </row>
    <row r="1663" spans="1:14">
      <c r="A1663" s="37">
        <f t="shared" si="75"/>
        <v>1652</v>
      </c>
      <c r="G1663" s="48" t="str">
        <f>IF(F1663=""," ",IF(ISNA(VLOOKUP(D1663,'[2]stock-take'!$A:$E,4,FALSE)), "OUT OF STOCK", VLOOKUP(D1663,'[2]stock-take'!$A:$E,4,FALSE)))</f>
        <v xml:space="preserve"> </v>
      </c>
      <c r="H1663" s="48">
        <f>IF(ISNA(VLOOKUP(D1663,'[2]stock-take'!$A:$E,3,FALSE)), 0, VLOOKUP(D1663,'[2]stock-take'!$A:$E,3,FALSE))</f>
        <v>0</v>
      </c>
      <c r="I1663" s="48" t="str">
        <f>IF(F1663="", " ",IF(ISNA(VLOOKUP(D1663,'[2]stock-take'!$G:$K,4,FALSE)), "OUT OF STOCK", VLOOKUP(D1663,'[2]stock-take'!$G:$K,4,FALSE)))</f>
        <v xml:space="preserve"> </v>
      </c>
      <c r="J1663" s="39">
        <f>IF(ISNA(VLOOKUP(D1663,'[2]stock-take'!$G:$K,3,FALSE)), 0, VLOOKUP(D1663,'[2]stock-take'!$G:$K,3,FALSE))</f>
        <v>0</v>
      </c>
      <c r="K1663" s="49" t="str">
        <f>IF(F1663="", " ", IF(ISNA(VLOOKUP(D1663,'[2]stock-take'!$M:$Q,4,FALSE)), "OUT OF STOCK", VLOOKUP(D1663,'[2]stock-take'!$M:$Q,4,FALSE)))</f>
        <v xml:space="preserve"> </v>
      </c>
      <c r="L1663" s="47">
        <f>IF(ISNA(VLOOKUP(D1663,'[2]stock-take'!$M:$Q,3,FALSE)), 0, VLOOKUP(D1663,'[2]stock-take'!$M:$Q,3,FALSE))</f>
        <v>0</v>
      </c>
      <c r="M1663" s="48" t="str">
        <f t="shared" si="76"/>
        <v xml:space="preserve"> </v>
      </c>
      <c r="N1663" s="39" t="str">
        <f t="shared" si="77"/>
        <v xml:space="preserve"> </v>
      </c>
    </row>
    <row r="1664" spans="1:14">
      <c r="A1664" s="37">
        <f t="shared" si="75"/>
        <v>1653</v>
      </c>
      <c r="G1664" s="48" t="str">
        <f>IF(F1664=""," ",IF(ISNA(VLOOKUP(D1664,'[2]stock-take'!$A:$E,4,FALSE)), "OUT OF STOCK", VLOOKUP(D1664,'[2]stock-take'!$A:$E,4,FALSE)))</f>
        <v xml:space="preserve"> </v>
      </c>
      <c r="H1664" s="48">
        <f>IF(ISNA(VLOOKUP(D1664,'[2]stock-take'!$A:$E,3,FALSE)), 0, VLOOKUP(D1664,'[2]stock-take'!$A:$E,3,FALSE))</f>
        <v>0</v>
      </c>
      <c r="I1664" s="48" t="str">
        <f>IF(F1664="", " ",IF(ISNA(VLOOKUP(D1664,'[2]stock-take'!$G:$K,4,FALSE)), "OUT OF STOCK", VLOOKUP(D1664,'[2]stock-take'!$G:$K,4,FALSE)))</f>
        <v xml:space="preserve"> </v>
      </c>
      <c r="J1664" s="39">
        <f>IF(ISNA(VLOOKUP(D1664,'[2]stock-take'!$G:$K,3,FALSE)), 0, VLOOKUP(D1664,'[2]stock-take'!$G:$K,3,FALSE))</f>
        <v>0</v>
      </c>
      <c r="K1664" s="49" t="str">
        <f>IF(F1664="", " ", IF(ISNA(VLOOKUP(D1664,'[2]stock-take'!$M:$Q,4,FALSE)), "OUT OF STOCK", VLOOKUP(D1664,'[2]stock-take'!$M:$Q,4,FALSE)))</f>
        <v xml:space="preserve"> </v>
      </c>
      <c r="L1664" s="47">
        <f>IF(ISNA(VLOOKUP(D1664,'[2]stock-take'!$M:$Q,3,FALSE)), 0, VLOOKUP(D1664,'[2]stock-take'!$M:$Q,3,FALSE))</f>
        <v>0</v>
      </c>
      <c r="M1664" s="48" t="str">
        <f t="shared" si="76"/>
        <v xml:space="preserve"> </v>
      </c>
      <c r="N1664" s="39" t="str">
        <f t="shared" si="77"/>
        <v xml:space="preserve"> </v>
      </c>
    </row>
    <row r="1665" spans="1:14">
      <c r="A1665" s="37">
        <f t="shared" si="75"/>
        <v>1654</v>
      </c>
      <c r="G1665" s="48" t="str">
        <f>IF(F1665=""," ",IF(ISNA(VLOOKUP(D1665,'[2]stock-take'!$A:$E,4,FALSE)), "OUT OF STOCK", VLOOKUP(D1665,'[2]stock-take'!$A:$E,4,FALSE)))</f>
        <v xml:space="preserve"> </v>
      </c>
      <c r="H1665" s="48">
        <f>IF(ISNA(VLOOKUP(D1665,'[2]stock-take'!$A:$E,3,FALSE)), 0, VLOOKUP(D1665,'[2]stock-take'!$A:$E,3,FALSE))</f>
        <v>0</v>
      </c>
      <c r="I1665" s="48" t="str">
        <f>IF(F1665="", " ",IF(ISNA(VLOOKUP(D1665,'[2]stock-take'!$G:$K,4,FALSE)), "OUT OF STOCK", VLOOKUP(D1665,'[2]stock-take'!$G:$K,4,FALSE)))</f>
        <v xml:space="preserve"> </v>
      </c>
      <c r="J1665" s="39">
        <f>IF(ISNA(VLOOKUP(D1665,'[2]stock-take'!$G:$K,3,FALSE)), 0, VLOOKUP(D1665,'[2]stock-take'!$G:$K,3,FALSE))</f>
        <v>0</v>
      </c>
      <c r="K1665" s="49" t="str">
        <f>IF(F1665="", " ", IF(ISNA(VLOOKUP(D1665,'[2]stock-take'!$M:$Q,4,FALSE)), "OUT OF STOCK", VLOOKUP(D1665,'[2]stock-take'!$M:$Q,4,FALSE)))</f>
        <v xml:space="preserve"> </v>
      </c>
      <c r="L1665" s="47">
        <f>IF(ISNA(VLOOKUP(D1665,'[2]stock-take'!$M:$Q,3,FALSE)), 0, VLOOKUP(D1665,'[2]stock-take'!$M:$Q,3,FALSE))</f>
        <v>0</v>
      </c>
      <c r="M1665" s="48" t="str">
        <f t="shared" si="76"/>
        <v xml:space="preserve"> </v>
      </c>
      <c r="N1665" s="39" t="str">
        <f t="shared" si="77"/>
        <v xml:space="preserve"> </v>
      </c>
    </row>
    <row r="1666" spans="1:14">
      <c r="A1666" s="37">
        <f t="shared" si="75"/>
        <v>1655</v>
      </c>
      <c r="G1666" s="48" t="str">
        <f>IF(F1666=""," ",IF(ISNA(VLOOKUP(D1666,'[2]stock-take'!$A:$E,4,FALSE)), "OUT OF STOCK", VLOOKUP(D1666,'[2]stock-take'!$A:$E,4,FALSE)))</f>
        <v xml:space="preserve"> </v>
      </c>
      <c r="H1666" s="48">
        <f>IF(ISNA(VLOOKUP(D1666,'[2]stock-take'!$A:$E,3,FALSE)), 0, VLOOKUP(D1666,'[2]stock-take'!$A:$E,3,FALSE))</f>
        <v>0</v>
      </c>
      <c r="I1666" s="48" t="str">
        <f>IF(F1666="", " ",IF(ISNA(VLOOKUP(D1666,'[2]stock-take'!$G:$K,4,FALSE)), "OUT OF STOCK", VLOOKUP(D1666,'[2]stock-take'!$G:$K,4,FALSE)))</f>
        <v xml:space="preserve"> </v>
      </c>
      <c r="J1666" s="39">
        <f>IF(ISNA(VLOOKUP(D1666,'[2]stock-take'!$G:$K,3,FALSE)), 0, VLOOKUP(D1666,'[2]stock-take'!$G:$K,3,FALSE))</f>
        <v>0</v>
      </c>
      <c r="K1666" s="49" t="str">
        <f>IF(F1666="", " ", IF(ISNA(VLOOKUP(D1666,'[2]stock-take'!$M:$Q,4,FALSE)), "OUT OF STOCK", VLOOKUP(D1666,'[2]stock-take'!$M:$Q,4,FALSE)))</f>
        <v xml:space="preserve"> </v>
      </c>
      <c r="L1666" s="47">
        <f>IF(ISNA(VLOOKUP(D1666,'[2]stock-take'!$M:$Q,3,FALSE)), 0, VLOOKUP(D1666,'[2]stock-take'!$M:$Q,3,FALSE))</f>
        <v>0</v>
      </c>
      <c r="M1666" s="48" t="str">
        <f t="shared" si="76"/>
        <v xml:space="preserve"> </v>
      </c>
      <c r="N1666" s="39" t="str">
        <f t="shared" si="77"/>
        <v xml:space="preserve"> </v>
      </c>
    </row>
    <row r="1667" spans="1:14">
      <c r="A1667" s="37">
        <f t="shared" si="75"/>
        <v>1656</v>
      </c>
      <c r="G1667" s="48" t="str">
        <f>IF(F1667=""," ",IF(ISNA(VLOOKUP(D1667,'[2]stock-take'!$A:$E,4,FALSE)), "OUT OF STOCK", VLOOKUP(D1667,'[2]stock-take'!$A:$E,4,FALSE)))</f>
        <v xml:space="preserve"> </v>
      </c>
      <c r="H1667" s="48">
        <f>IF(ISNA(VLOOKUP(D1667,'[2]stock-take'!$A:$E,3,FALSE)), 0, VLOOKUP(D1667,'[2]stock-take'!$A:$E,3,FALSE))</f>
        <v>0</v>
      </c>
      <c r="I1667" s="48" t="str">
        <f>IF(F1667="", " ",IF(ISNA(VLOOKUP(D1667,'[2]stock-take'!$G:$K,4,FALSE)), "OUT OF STOCK", VLOOKUP(D1667,'[2]stock-take'!$G:$K,4,FALSE)))</f>
        <v xml:space="preserve"> </v>
      </c>
      <c r="J1667" s="39">
        <f>IF(ISNA(VLOOKUP(D1667,'[2]stock-take'!$G:$K,3,FALSE)), 0, VLOOKUP(D1667,'[2]stock-take'!$G:$K,3,FALSE))</f>
        <v>0</v>
      </c>
      <c r="K1667" s="49" t="str">
        <f>IF(F1667="", " ", IF(ISNA(VLOOKUP(D1667,'[2]stock-take'!$M:$Q,4,FALSE)), "OUT OF STOCK", VLOOKUP(D1667,'[2]stock-take'!$M:$Q,4,FALSE)))</f>
        <v xml:space="preserve"> </v>
      </c>
      <c r="L1667" s="47">
        <f>IF(ISNA(VLOOKUP(D1667,'[2]stock-take'!$M:$Q,3,FALSE)), 0, VLOOKUP(D1667,'[2]stock-take'!$M:$Q,3,FALSE))</f>
        <v>0</v>
      </c>
      <c r="M1667" s="48" t="str">
        <f t="shared" si="76"/>
        <v xml:space="preserve"> </v>
      </c>
      <c r="N1667" s="39" t="str">
        <f t="shared" si="77"/>
        <v xml:space="preserve"> </v>
      </c>
    </row>
    <row r="1668" spans="1:14">
      <c r="A1668" s="37">
        <f t="shared" si="75"/>
        <v>1657</v>
      </c>
      <c r="G1668" s="48" t="str">
        <f>IF(F1668=""," ",IF(ISNA(VLOOKUP(D1668,'[2]stock-take'!$A:$E,4,FALSE)), "OUT OF STOCK", VLOOKUP(D1668,'[2]stock-take'!$A:$E,4,FALSE)))</f>
        <v xml:space="preserve"> </v>
      </c>
      <c r="H1668" s="48">
        <f>IF(ISNA(VLOOKUP(D1668,'[2]stock-take'!$A:$E,3,FALSE)), 0, VLOOKUP(D1668,'[2]stock-take'!$A:$E,3,FALSE))</f>
        <v>0</v>
      </c>
      <c r="I1668" s="48" t="str">
        <f>IF(F1668="", " ",IF(ISNA(VLOOKUP(D1668,'[2]stock-take'!$G:$K,4,FALSE)), "OUT OF STOCK", VLOOKUP(D1668,'[2]stock-take'!$G:$K,4,FALSE)))</f>
        <v xml:space="preserve"> </v>
      </c>
      <c r="J1668" s="39">
        <f>IF(ISNA(VLOOKUP(D1668,'[2]stock-take'!$G:$K,3,FALSE)), 0, VLOOKUP(D1668,'[2]stock-take'!$G:$K,3,FALSE))</f>
        <v>0</v>
      </c>
      <c r="K1668" s="49" t="str">
        <f>IF(F1668="", " ", IF(ISNA(VLOOKUP(D1668,'[2]stock-take'!$M:$Q,4,FALSE)), "OUT OF STOCK", VLOOKUP(D1668,'[2]stock-take'!$M:$Q,4,FALSE)))</f>
        <v xml:space="preserve"> </v>
      </c>
      <c r="L1668" s="47">
        <f>IF(ISNA(VLOOKUP(D1668,'[2]stock-take'!$M:$Q,3,FALSE)), 0, VLOOKUP(D1668,'[2]stock-take'!$M:$Q,3,FALSE))</f>
        <v>0</v>
      </c>
      <c r="M1668" s="48" t="str">
        <f t="shared" si="76"/>
        <v xml:space="preserve"> </v>
      </c>
      <c r="N1668" s="39" t="str">
        <f t="shared" si="77"/>
        <v xml:space="preserve"> </v>
      </c>
    </row>
    <row r="1669" spans="1:14">
      <c r="A1669" s="37">
        <f t="shared" si="75"/>
        <v>1658</v>
      </c>
      <c r="G1669" s="48" t="str">
        <f>IF(F1669=""," ",IF(ISNA(VLOOKUP(D1669,'[2]stock-take'!$A:$E,4,FALSE)), "OUT OF STOCK", VLOOKUP(D1669,'[2]stock-take'!$A:$E,4,FALSE)))</f>
        <v xml:space="preserve"> </v>
      </c>
      <c r="H1669" s="48">
        <f>IF(ISNA(VLOOKUP(D1669,'[2]stock-take'!$A:$E,3,FALSE)), 0, VLOOKUP(D1669,'[2]stock-take'!$A:$E,3,FALSE))</f>
        <v>0</v>
      </c>
      <c r="I1669" s="48" t="str">
        <f>IF(F1669="", " ",IF(ISNA(VLOOKUP(D1669,'[2]stock-take'!$G:$K,4,FALSE)), "OUT OF STOCK", VLOOKUP(D1669,'[2]stock-take'!$G:$K,4,FALSE)))</f>
        <v xml:space="preserve"> </v>
      </c>
      <c r="J1669" s="39">
        <f>IF(ISNA(VLOOKUP(D1669,'[2]stock-take'!$G:$K,3,FALSE)), 0, VLOOKUP(D1669,'[2]stock-take'!$G:$K,3,FALSE))</f>
        <v>0</v>
      </c>
      <c r="K1669" s="49" t="str">
        <f>IF(F1669="", " ", IF(ISNA(VLOOKUP(D1669,'[2]stock-take'!$M:$Q,4,FALSE)), "OUT OF STOCK", VLOOKUP(D1669,'[2]stock-take'!$M:$Q,4,FALSE)))</f>
        <v xml:space="preserve"> </v>
      </c>
      <c r="L1669" s="47">
        <f>IF(ISNA(VLOOKUP(D1669,'[2]stock-take'!$M:$Q,3,FALSE)), 0, VLOOKUP(D1669,'[2]stock-take'!$M:$Q,3,FALSE))</f>
        <v>0</v>
      </c>
      <c r="M1669" s="48" t="str">
        <f t="shared" si="76"/>
        <v xml:space="preserve"> </v>
      </c>
      <c r="N1669" s="39" t="str">
        <f t="shared" si="77"/>
        <v xml:space="preserve"> </v>
      </c>
    </row>
    <row r="1670" spans="1:14">
      <c r="A1670" s="37">
        <f t="shared" si="75"/>
        <v>1659</v>
      </c>
      <c r="G1670" s="48" t="str">
        <f>IF(F1670=""," ",IF(ISNA(VLOOKUP(D1670,'[2]stock-take'!$A:$E,4,FALSE)), "OUT OF STOCK", VLOOKUP(D1670,'[2]stock-take'!$A:$E,4,FALSE)))</f>
        <v xml:space="preserve"> </v>
      </c>
      <c r="H1670" s="48">
        <f>IF(ISNA(VLOOKUP(D1670,'[2]stock-take'!$A:$E,3,FALSE)), 0, VLOOKUP(D1670,'[2]stock-take'!$A:$E,3,FALSE))</f>
        <v>0</v>
      </c>
      <c r="I1670" s="48" t="str">
        <f>IF(F1670="", " ",IF(ISNA(VLOOKUP(D1670,'[2]stock-take'!$G:$K,4,FALSE)), "OUT OF STOCK", VLOOKUP(D1670,'[2]stock-take'!$G:$K,4,FALSE)))</f>
        <v xml:space="preserve"> </v>
      </c>
      <c r="J1670" s="39">
        <f>IF(ISNA(VLOOKUP(D1670,'[2]stock-take'!$G:$K,3,FALSE)), 0, VLOOKUP(D1670,'[2]stock-take'!$G:$K,3,FALSE))</f>
        <v>0</v>
      </c>
      <c r="K1670" s="49" t="str">
        <f>IF(F1670="", " ", IF(ISNA(VLOOKUP(D1670,'[2]stock-take'!$M:$Q,4,FALSE)), "OUT OF STOCK", VLOOKUP(D1670,'[2]stock-take'!$M:$Q,4,FALSE)))</f>
        <v xml:space="preserve"> </v>
      </c>
      <c r="L1670" s="47">
        <f>IF(ISNA(VLOOKUP(D1670,'[2]stock-take'!$M:$Q,3,FALSE)), 0, VLOOKUP(D1670,'[2]stock-take'!$M:$Q,3,FALSE))</f>
        <v>0</v>
      </c>
      <c r="M1670" s="48" t="str">
        <f t="shared" si="76"/>
        <v xml:space="preserve"> </v>
      </c>
      <c r="N1670" s="39" t="str">
        <f t="shared" si="77"/>
        <v xml:space="preserve"> </v>
      </c>
    </row>
    <row r="1671" spans="1:14">
      <c r="A1671" s="37">
        <f t="shared" si="75"/>
        <v>1660</v>
      </c>
      <c r="G1671" s="48" t="str">
        <f>IF(F1671=""," ",IF(ISNA(VLOOKUP(D1671,'[2]stock-take'!$A:$E,4,FALSE)), "OUT OF STOCK", VLOOKUP(D1671,'[2]stock-take'!$A:$E,4,FALSE)))</f>
        <v xml:space="preserve"> </v>
      </c>
      <c r="H1671" s="48">
        <f>IF(ISNA(VLOOKUP(D1671,'[2]stock-take'!$A:$E,3,FALSE)), 0, VLOOKUP(D1671,'[2]stock-take'!$A:$E,3,FALSE))</f>
        <v>0</v>
      </c>
      <c r="I1671" s="48" t="str">
        <f>IF(F1671="", " ",IF(ISNA(VLOOKUP(D1671,'[2]stock-take'!$G:$K,4,FALSE)), "OUT OF STOCK", VLOOKUP(D1671,'[2]stock-take'!$G:$K,4,FALSE)))</f>
        <v xml:space="preserve"> </v>
      </c>
      <c r="J1671" s="39">
        <f>IF(ISNA(VLOOKUP(D1671,'[2]stock-take'!$G:$K,3,FALSE)), 0, VLOOKUP(D1671,'[2]stock-take'!$G:$K,3,FALSE))</f>
        <v>0</v>
      </c>
      <c r="K1671" s="49" t="str">
        <f>IF(F1671="", " ", IF(ISNA(VLOOKUP(D1671,'[2]stock-take'!$M:$Q,4,FALSE)), "OUT OF STOCK", VLOOKUP(D1671,'[2]stock-take'!$M:$Q,4,FALSE)))</f>
        <v xml:space="preserve"> </v>
      </c>
      <c r="L1671" s="47">
        <f>IF(ISNA(VLOOKUP(D1671,'[2]stock-take'!$M:$Q,3,FALSE)), 0, VLOOKUP(D1671,'[2]stock-take'!$M:$Q,3,FALSE))</f>
        <v>0</v>
      </c>
      <c r="M1671" s="48" t="str">
        <f t="shared" si="76"/>
        <v xml:space="preserve"> </v>
      </c>
      <c r="N1671" s="39" t="str">
        <f t="shared" si="77"/>
        <v xml:space="preserve"> </v>
      </c>
    </row>
    <row r="1672" spans="1:14">
      <c r="A1672" s="37">
        <f t="shared" si="75"/>
        <v>1661</v>
      </c>
      <c r="G1672" s="48" t="str">
        <f>IF(F1672=""," ",IF(ISNA(VLOOKUP(D1672,'[2]stock-take'!$A:$E,4,FALSE)), "OUT OF STOCK", VLOOKUP(D1672,'[2]stock-take'!$A:$E,4,FALSE)))</f>
        <v xml:space="preserve"> </v>
      </c>
      <c r="H1672" s="48">
        <f>IF(ISNA(VLOOKUP(D1672,'[2]stock-take'!$A:$E,3,FALSE)), 0, VLOOKUP(D1672,'[2]stock-take'!$A:$E,3,FALSE))</f>
        <v>0</v>
      </c>
      <c r="I1672" s="48" t="str">
        <f>IF(F1672="", " ",IF(ISNA(VLOOKUP(D1672,'[2]stock-take'!$G:$K,4,FALSE)), "OUT OF STOCK", VLOOKUP(D1672,'[2]stock-take'!$G:$K,4,FALSE)))</f>
        <v xml:space="preserve"> </v>
      </c>
      <c r="J1672" s="39">
        <f>IF(ISNA(VLOOKUP(D1672,'[2]stock-take'!$G:$K,3,FALSE)), 0, VLOOKUP(D1672,'[2]stock-take'!$G:$K,3,FALSE))</f>
        <v>0</v>
      </c>
      <c r="K1672" s="49" t="str">
        <f>IF(F1672="", " ", IF(ISNA(VLOOKUP(D1672,'[2]stock-take'!$M:$Q,4,FALSE)), "OUT OF STOCK", VLOOKUP(D1672,'[2]stock-take'!$M:$Q,4,FALSE)))</f>
        <v xml:space="preserve"> </v>
      </c>
      <c r="L1672" s="47">
        <f>IF(ISNA(VLOOKUP(D1672,'[2]stock-take'!$M:$Q,3,FALSE)), 0, VLOOKUP(D1672,'[2]stock-take'!$M:$Q,3,FALSE))</f>
        <v>0</v>
      </c>
      <c r="M1672" s="48" t="str">
        <f t="shared" si="76"/>
        <v xml:space="preserve"> </v>
      </c>
      <c r="N1672" s="39" t="str">
        <f t="shared" si="77"/>
        <v xml:space="preserve"> </v>
      </c>
    </row>
    <row r="1673" spans="1:14">
      <c r="A1673" s="37">
        <f t="shared" si="75"/>
        <v>1662</v>
      </c>
      <c r="G1673" s="48" t="str">
        <f>IF(F1673=""," ",IF(ISNA(VLOOKUP(D1673,'[2]stock-take'!$A:$E,4,FALSE)), "OUT OF STOCK", VLOOKUP(D1673,'[2]stock-take'!$A:$E,4,FALSE)))</f>
        <v xml:space="preserve"> </v>
      </c>
      <c r="H1673" s="48">
        <f>IF(ISNA(VLOOKUP(D1673,'[2]stock-take'!$A:$E,3,FALSE)), 0, VLOOKUP(D1673,'[2]stock-take'!$A:$E,3,FALSE))</f>
        <v>0</v>
      </c>
      <c r="I1673" s="48" t="str">
        <f>IF(F1673="", " ",IF(ISNA(VLOOKUP(D1673,'[2]stock-take'!$G:$K,4,FALSE)), "OUT OF STOCK", VLOOKUP(D1673,'[2]stock-take'!$G:$K,4,FALSE)))</f>
        <v xml:space="preserve"> </v>
      </c>
      <c r="J1673" s="39">
        <f>IF(ISNA(VLOOKUP(D1673,'[2]stock-take'!$G:$K,3,FALSE)), 0, VLOOKUP(D1673,'[2]stock-take'!$G:$K,3,FALSE))</f>
        <v>0</v>
      </c>
      <c r="K1673" s="49" t="str">
        <f>IF(F1673="", " ", IF(ISNA(VLOOKUP(D1673,'[2]stock-take'!$M:$Q,4,FALSE)), "OUT OF STOCK", VLOOKUP(D1673,'[2]stock-take'!$M:$Q,4,FALSE)))</f>
        <v xml:space="preserve"> </v>
      </c>
      <c r="L1673" s="47">
        <f>IF(ISNA(VLOOKUP(D1673,'[2]stock-take'!$M:$Q,3,FALSE)), 0, VLOOKUP(D1673,'[2]stock-take'!$M:$Q,3,FALSE))</f>
        <v>0</v>
      </c>
      <c r="M1673" s="48" t="str">
        <f t="shared" si="76"/>
        <v xml:space="preserve"> </v>
      </c>
      <c r="N1673" s="39" t="str">
        <f t="shared" si="77"/>
        <v xml:space="preserve"> </v>
      </c>
    </row>
    <row r="1674" spans="1:14">
      <c r="A1674" s="37">
        <f t="shared" si="75"/>
        <v>1663</v>
      </c>
      <c r="G1674" s="48" t="str">
        <f>IF(F1674=""," ",IF(ISNA(VLOOKUP(D1674,'[2]stock-take'!$A:$E,4,FALSE)), "OUT OF STOCK", VLOOKUP(D1674,'[2]stock-take'!$A:$E,4,FALSE)))</f>
        <v xml:space="preserve"> </v>
      </c>
      <c r="H1674" s="48">
        <f>IF(ISNA(VLOOKUP(D1674,'[2]stock-take'!$A:$E,3,FALSE)), 0, VLOOKUP(D1674,'[2]stock-take'!$A:$E,3,FALSE))</f>
        <v>0</v>
      </c>
      <c r="I1674" s="48" t="str">
        <f>IF(F1674="", " ",IF(ISNA(VLOOKUP(D1674,'[2]stock-take'!$G:$K,4,FALSE)), "OUT OF STOCK", VLOOKUP(D1674,'[2]stock-take'!$G:$K,4,FALSE)))</f>
        <v xml:space="preserve"> </v>
      </c>
      <c r="J1674" s="39">
        <f>IF(ISNA(VLOOKUP(D1674,'[2]stock-take'!$G:$K,3,FALSE)), 0, VLOOKUP(D1674,'[2]stock-take'!$G:$K,3,FALSE))</f>
        <v>0</v>
      </c>
      <c r="K1674" s="49" t="str">
        <f>IF(F1674="", " ", IF(ISNA(VLOOKUP(D1674,'[2]stock-take'!$M:$Q,4,FALSE)), "OUT OF STOCK", VLOOKUP(D1674,'[2]stock-take'!$M:$Q,4,FALSE)))</f>
        <v xml:space="preserve"> </v>
      </c>
      <c r="L1674" s="47">
        <f>IF(ISNA(VLOOKUP(D1674,'[2]stock-take'!$M:$Q,3,FALSE)), 0, VLOOKUP(D1674,'[2]stock-take'!$M:$Q,3,FALSE))</f>
        <v>0</v>
      </c>
      <c r="M1674" s="48" t="str">
        <f t="shared" si="76"/>
        <v xml:space="preserve"> </v>
      </c>
      <c r="N1674" s="39" t="str">
        <f t="shared" si="77"/>
        <v xml:space="preserve"> </v>
      </c>
    </row>
    <row r="1675" spans="1:14">
      <c r="A1675" s="37">
        <f t="shared" si="75"/>
        <v>1664</v>
      </c>
      <c r="G1675" s="48" t="str">
        <f>IF(F1675=""," ",IF(ISNA(VLOOKUP(D1675,'[2]stock-take'!$A:$E,4,FALSE)), "OUT OF STOCK", VLOOKUP(D1675,'[2]stock-take'!$A:$E,4,FALSE)))</f>
        <v xml:space="preserve"> </v>
      </c>
      <c r="H1675" s="48">
        <f>IF(ISNA(VLOOKUP(D1675,'[2]stock-take'!$A:$E,3,FALSE)), 0, VLOOKUP(D1675,'[2]stock-take'!$A:$E,3,FALSE))</f>
        <v>0</v>
      </c>
      <c r="I1675" s="48" t="str">
        <f>IF(F1675="", " ",IF(ISNA(VLOOKUP(D1675,'[2]stock-take'!$G:$K,4,FALSE)), "OUT OF STOCK", VLOOKUP(D1675,'[2]stock-take'!$G:$K,4,FALSE)))</f>
        <v xml:space="preserve"> </v>
      </c>
      <c r="J1675" s="39">
        <f>IF(ISNA(VLOOKUP(D1675,'[2]stock-take'!$G:$K,3,FALSE)), 0, VLOOKUP(D1675,'[2]stock-take'!$G:$K,3,FALSE))</f>
        <v>0</v>
      </c>
      <c r="K1675" s="49" t="str">
        <f>IF(F1675="", " ", IF(ISNA(VLOOKUP(D1675,'[2]stock-take'!$M:$Q,4,FALSE)), "OUT OF STOCK", VLOOKUP(D1675,'[2]stock-take'!$M:$Q,4,FALSE)))</f>
        <v xml:space="preserve"> </v>
      </c>
      <c r="L1675" s="47">
        <f>IF(ISNA(VLOOKUP(D1675,'[2]stock-take'!$M:$Q,3,FALSE)), 0, VLOOKUP(D1675,'[2]stock-take'!$M:$Q,3,FALSE))</f>
        <v>0</v>
      </c>
      <c r="M1675" s="48" t="str">
        <f t="shared" si="76"/>
        <v xml:space="preserve"> </v>
      </c>
      <c r="N1675" s="39" t="str">
        <f t="shared" si="77"/>
        <v xml:space="preserve"> </v>
      </c>
    </row>
    <row r="1676" spans="1:14">
      <c r="A1676" s="37">
        <f t="shared" ref="A1676:A1739" si="78">ROW(A1676)-11</f>
        <v>1665</v>
      </c>
      <c r="G1676" s="48" t="str">
        <f>IF(F1676=""," ",IF(ISNA(VLOOKUP(D1676,'[2]stock-take'!$A:$E,4,FALSE)), "OUT OF STOCK", VLOOKUP(D1676,'[2]stock-take'!$A:$E,4,FALSE)))</f>
        <v xml:space="preserve"> </v>
      </c>
      <c r="H1676" s="48">
        <f>IF(ISNA(VLOOKUP(D1676,'[2]stock-take'!$A:$E,3,FALSE)), 0, VLOOKUP(D1676,'[2]stock-take'!$A:$E,3,FALSE))</f>
        <v>0</v>
      </c>
      <c r="I1676" s="48" t="str">
        <f>IF(F1676="", " ",IF(ISNA(VLOOKUP(D1676,'[2]stock-take'!$G:$K,4,FALSE)), "OUT OF STOCK", VLOOKUP(D1676,'[2]stock-take'!$G:$K,4,FALSE)))</f>
        <v xml:space="preserve"> </v>
      </c>
      <c r="J1676" s="39">
        <f>IF(ISNA(VLOOKUP(D1676,'[2]stock-take'!$G:$K,3,FALSE)), 0, VLOOKUP(D1676,'[2]stock-take'!$G:$K,3,FALSE))</f>
        <v>0</v>
      </c>
      <c r="K1676" s="49" t="str">
        <f>IF(F1676="", " ", IF(ISNA(VLOOKUP(D1676,'[2]stock-take'!$M:$Q,4,FALSE)), "OUT OF STOCK", VLOOKUP(D1676,'[2]stock-take'!$M:$Q,4,FALSE)))</f>
        <v xml:space="preserve"> </v>
      </c>
      <c r="L1676" s="47">
        <f>IF(ISNA(VLOOKUP(D1676,'[2]stock-take'!$M:$Q,3,FALSE)), 0, VLOOKUP(D1676,'[2]stock-take'!$M:$Q,3,FALSE))</f>
        <v>0</v>
      </c>
      <c r="M1676" s="48" t="str">
        <f t="shared" si="76"/>
        <v xml:space="preserve"> </v>
      </c>
      <c r="N1676" s="39" t="str">
        <f t="shared" si="77"/>
        <v xml:space="preserve"> </v>
      </c>
    </row>
    <row r="1677" spans="1:14">
      <c r="A1677" s="37">
        <f t="shared" si="78"/>
        <v>1666</v>
      </c>
      <c r="G1677" s="48" t="str">
        <f>IF(F1677=""," ",IF(ISNA(VLOOKUP(D1677,'[2]stock-take'!$A:$E,4,FALSE)), "OUT OF STOCK", VLOOKUP(D1677,'[2]stock-take'!$A:$E,4,FALSE)))</f>
        <v xml:space="preserve"> </v>
      </c>
      <c r="H1677" s="48">
        <f>IF(ISNA(VLOOKUP(D1677,'[2]stock-take'!$A:$E,3,FALSE)), 0, VLOOKUP(D1677,'[2]stock-take'!$A:$E,3,FALSE))</f>
        <v>0</v>
      </c>
      <c r="I1677" s="48" t="str">
        <f>IF(F1677="", " ",IF(ISNA(VLOOKUP(D1677,'[2]stock-take'!$G:$K,4,FALSE)), "OUT OF STOCK", VLOOKUP(D1677,'[2]stock-take'!$G:$K,4,FALSE)))</f>
        <v xml:space="preserve"> </v>
      </c>
      <c r="J1677" s="39">
        <f>IF(ISNA(VLOOKUP(D1677,'[2]stock-take'!$G:$K,3,FALSE)), 0, VLOOKUP(D1677,'[2]stock-take'!$G:$K,3,FALSE))</f>
        <v>0</v>
      </c>
      <c r="K1677" s="49" t="str">
        <f>IF(F1677="", " ", IF(ISNA(VLOOKUP(D1677,'[2]stock-take'!$M:$Q,4,FALSE)), "OUT OF STOCK", VLOOKUP(D1677,'[2]stock-take'!$M:$Q,4,FALSE)))</f>
        <v xml:space="preserve"> </v>
      </c>
      <c r="L1677" s="47">
        <f>IF(ISNA(VLOOKUP(D1677,'[2]stock-take'!$M:$Q,3,FALSE)), 0, VLOOKUP(D1677,'[2]stock-take'!$M:$Q,3,FALSE))</f>
        <v>0</v>
      </c>
      <c r="M1677" s="48" t="str">
        <f t="shared" ref="M1677:M1740" si="79">IF(F1677=""," ",IF(H1677&gt;=F1677,"Y",IF(J1677&gt;=F1677,"Y",IF(L1677&gt;=F1677,"Y",IF(SUM(H1677,J1677,L1677)&gt;=F1677,"Y","N")))))</f>
        <v xml:space="preserve"> </v>
      </c>
      <c r="N1677" s="39" t="str">
        <f t="shared" ref="N1677:N1740" si="80">IF(F1677=""," ",IF(H1677&gt;=F1677,"ILOOM",IF(J1677&gt;=F1677,"NO.6",IF(L1677&gt;=F1677,"RMD",IF(SUM(H1677,J1677,L1677)&gt;=F1677,"MULTI","LACK")))))</f>
        <v xml:space="preserve"> </v>
      </c>
    </row>
    <row r="1678" spans="1:14">
      <c r="A1678" s="37">
        <f t="shared" si="78"/>
        <v>1667</v>
      </c>
      <c r="G1678" s="48" t="str">
        <f>IF(F1678=""," ",IF(ISNA(VLOOKUP(D1678,'[2]stock-take'!$A:$E,4,FALSE)), "OUT OF STOCK", VLOOKUP(D1678,'[2]stock-take'!$A:$E,4,FALSE)))</f>
        <v xml:space="preserve"> </v>
      </c>
      <c r="H1678" s="48">
        <f>IF(ISNA(VLOOKUP(D1678,'[2]stock-take'!$A:$E,3,FALSE)), 0, VLOOKUP(D1678,'[2]stock-take'!$A:$E,3,FALSE))</f>
        <v>0</v>
      </c>
      <c r="I1678" s="48" t="str">
        <f>IF(F1678="", " ",IF(ISNA(VLOOKUP(D1678,'[2]stock-take'!$G:$K,4,FALSE)), "OUT OF STOCK", VLOOKUP(D1678,'[2]stock-take'!$G:$K,4,FALSE)))</f>
        <v xml:space="preserve"> </v>
      </c>
      <c r="J1678" s="39">
        <f>IF(ISNA(VLOOKUP(D1678,'[2]stock-take'!$G:$K,3,FALSE)), 0, VLOOKUP(D1678,'[2]stock-take'!$G:$K,3,FALSE))</f>
        <v>0</v>
      </c>
      <c r="K1678" s="49" t="str">
        <f>IF(F1678="", " ", IF(ISNA(VLOOKUP(D1678,'[2]stock-take'!$M:$Q,4,FALSE)), "OUT OF STOCK", VLOOKUP(D1678,'[2]stock-take'!$M:$Q,4,FALSE)))</f>
        <v xml:space="preserve"> </v>
      </c>
      <c r="L1678" s="47">
        <f>IF(ISNA(VLOOKUP(D1678,'[2]stock-take'!$M:$Q,3,FALSE)), 0, VLOOKUP(D1678,'[2]stock-take'!$M:$Q,3,FALSE))</f>
        <v>0</v>
      </c>
      <c r="M1678" s="48" t="str">
        <f t="shared" si="79"/>
        <v xml:space="preserve"> </v>
      </c>
      <c r="N1678" s="39" t="str">
        <f t="shared" si="80"/>
        <v xml:space="preserve"> </v>
      </c>
    </row>
    <row r="1679" spans="1:14">
      <c r="A1679" s="37">
        <f t="shared" si="78"/>
        <v>1668</v>
      </c>
      <c r="G1679" s="48" t="str">
        <f>IF(F1679=""," ",IF(ISNA(VLOOKUP(D1679,'[2]stock-take'!$A:$E,4,FALSE)), "OUT OF STOCK", VLOOKUP(D1679,'[2]stock-take'!$A:$E,4,FALSE)))</f>
        <v xml:space="preserve"> </v>
      </c>
      <c r="H1679" s="48">
        <f>IF(ISNA(VLOOKUP(D1679,'[2]stock-take'!$A:$E,3,FALSE)), 0, VLOOKUP(D1679,'[2]stock-take'!$A:$E,3,FALSE))</f>
        <v>0</v>
      </c>
      <c r="I1679" s="48" t="str">
        <f>IF(F1679="", " ",IF(ISNA(VLOOKUP(D1679,'[2]stock-take'!$G:$K,4,FALSE)), "OUT OF STOCK", VLOOKUP(D1679,'[2]stock-take'!$G:$K,4,FALSE)))</f>
        <v xml:space="preserve"> </v>
      </c>
      <c r="J1679" s="39">
        <f>IF(ISNA(VLOOKUP(D1679,'[2]stock-take'!$G:$K,3,FALSE)), 0, VLOOKUP(D1679,'[2]stock-take'!$G:$K,3,FALSE))</f>
        <v>0</v>
      </c>
      <c r="K1679" s="49" t="str">
        <f>IF(F1679="", " ", IF(ISNA(VLOOKUP(D1679,'[2]stock-take'!$M:$Q,4,FALSE)), "OUT OF STOCK", VLOOKUP(D1679,'[2]stock-take'!$M:$Q,4,FALSE)))</f>
        <v xml:space="preserve"> </v>
      </c>
      <c r="L1679" s="47">
        <f>IF(ISNA(VLOOKUP(D1679,'[2]stock-take'!$M:$Q,3,FALSE)), 0, VLOOKUP(D1679,'[2]stock-take'!$M:$Q,3,FALSE))</f>
        <v>0</v>
      </c>
      <c r="M1679" s="48" t="str">
        <f t="shared" si="79"/>
        <v xml:space="preserve"> </v>
      </c>
      <c r="N1679" s="39" t="str">
        <f t="shared" si="80"/>
        <v xml:space="preserve"> </v>
      </c>
    </row>
    <row r="1680" spans="1:14">
      <c r="A1680" s="37">
        <f t="shared" si="78"/>
        <v>1669</v>
      </c>
      <c r="G1680" s="48" t="str">
        <f>IF(F1680=""," ",IF(ISNA(VLOOKUP(D1680,'[2]stock-take'!$A:$E,4,FALSE)), "OUT OF STOCK", VLOOKUP(D1680,'[2]stock-take'!$A:$E,4,FALSE)))</f>
        <v xml:space="preserve"> </v>
      </c>
      <c r="H1680" s="48">
        <f>IF(ISNA(VLOOKUP(D1680,'[2]stock-take'!$A:$E,3,FALSE)), 0, VLOOKUP(D1680,'[2]stock-take'!$A:$E,3,FALSE))</f>
        <v>0</v>
      </c>
      <c r="I1680" s="48" t="str">
        <f>IF(F1680="", " ",IF(ISNA(VLOOKUP(D1680,'[2]stock-take'!$G:$K,4,FALSE)), "OUT OF STOCK", VLOOKUP(D1680,'[2]stock-take'!$G:$K,4,FALSE)))</f>
        <v xml:space="preserve"> </v>
      </c>
      <c r="J1680" s="39">
        <f>IF(ISNA(VLOOKUP(D1680,'[2]stock-take'!$G:$K,3,FALSE)), 0, VLOOKUP(D1680,'[2]stock-take'!$G:$K,3,FALSE))</f>
        <v>0</v>
      </c>
      <c r="K1680" s="49" t="str">
        <f>IF(F1680="", " ", IF(ISNA(VLOOKUP(D1680,'[2]stock-take'!$M:$Q,4,FALSE)), "OUT OF STOCK", VLOOKUP(D1680,'[2]stock-take'!$M:$Q,4,FALSE)))</f>
        <v xml:space="preserve"> </v>
      </c>
      <c r="L1680" s="47">
        <f>IF(ISNA(VLOOKUP(D1680,'[2]stock-take'!$M:$Q,3,FALSE)), 0, VLOOKUP(D1680,'[2]stock-take'!$M:$Q,3,FALSE))</f>
        <v>0</v>
      </c>
      <c r="M1680" s="48" t="str">
        <f t="shared" si="79"/>
        <v xml:space="preserve"> </v>
      </c>
      <c r="N1680" s="39" t="str">
        <f t="shared" si="80"/>
        <v xml:space="preserve"> </v>
      </c>
    </row>
    <row r="1681" spans="1:14">
      <c r="A1681" s="37">
        <f t="shared" si="78"/>
        <v>1670</v>
      </c>
      <c r="G1681" s="48" t="str">
        <f>IF(F1681=""," ",IF(ISNA(VLOOKUP(D1681,'[2]stock-take'!$A:$E,4,FALSE)), "OUT OF STOCK", VLOOKUP(D1681,'[2]stock-take'!$A:$E,4,FALSE)))</f>
        <v xml:space="preserve"> </v>
      </c>
      <c r="H1681" s="48">
        <f>IF(ISNA(VLOOKUP(D1681,'[2]stock-take'!$A:$E,3,FALSE)), 0, VLOOKUP(D1681,'[2]stock-take'!$A:$E,3,FALSE))</f>
        <v>0</v>
      </c>
      <c r="I1681" s="48" t="str">
        <f>IF(F1681="", " ",IF(ISNA(VLOOKUP(D1681,'[2]stock-take'!$G:$K,4,FALSE)), "OUT OF STOCK", VLOOKUP(D1681,'[2]stock-take'!$G:$K,4,FALSE)))</f>
        <v xml:space="preserve"> </v>
      </c>
      <c r="J1681" s="39">
        <f>IF(ISNA(VLOOKUP(D1681,'[2]stock-take'!$G:$K,3,FALSE)), 0, VLOOKUP(D1681,'[2]stock-take'!$G:$K,3,FALSE))</f>
        <v>0</v>
      </c>
      <c r="K1681" s="49" t="str">
        <f>IF(F1681="", " ", IF(ISNA(VLOOKUP(D1681,'[2]stock-take'!$M:$Q,4,FALSE)), "OUT OF STOCK", VLOOKUP(D1681,'[2]stock-take'!$M:$Q,4,FALSE)))</f>
        <v xml:space="preserve"> </v>
      </c>
      <c r="L1681" s="47">
        <f>IF(ISNA(VLOOKUP(D1681,'[2]stock-take'!$M:$Q,3,FALSE)), 0, VLOOKUP(D1681,'[2]stock-take'!$M:$Q,3,FALSE))</f>
        <v>0</v>
      </c>
      <c r="M1681" s="48" t="str">
        <f t="shared" si="79"/>
        <v xml:space="preserve"> </v>
      </c>
      <c r="N1681" s="39" t="str">
        <f t="shared" si="80"/>
        <v xml:space="preserve"> </v>
      </c>
    </row>
    <row r="1682" spans="1:14">
      <c r="A1682" s="37">
        <f t="shared" si="78"/>
        <v>1671</v>
      </c>
      <c r="G1682" s="48" t="str">
        <f>IF(F1682=""," ",IF(ISNA(VLOOKUP(D1682,'[2]stock-take'!$A:$E,4,FALSE)), "OUT OF STOCK", VLOOKUP(D1682,'[2]stock-take'!$A:$E,4,FALSE)))</f>
        <v xml:space="preserve"> </v>
      </c>
      <c r="H1682" s="48">
        <f>IF(ISNA(VLOOKUP(D1682,'[2]stock-take'!$A:$E,3,FALSE)), 0, VLOOKUP(D1682,'[2]stock-take'!$A:$E,3,FALSE))</f>
        <v>0</v>
      </c>
      <c r="I1682" s="48" t="str">
        <f>IF(F1682="", " ",IF(ISNA(VLOOKUP(D1682,'[2]stock-take'!$G:$K,4,FALSE)), "OUT OF STOCK", VLOOKUP(D1682,'[2]stock-take'!$G:$K,4,FALSE)))</f>
        <v xml:space="preserve"> </v>
      </c>
      <c r="J1682" s="39">
        <f>IF(ISNA(VLOOKUP(D1682,'[2]stock-take'!$G:$K,3,FALSE)), 0, VLOOKUP(D1682,'[2]stock-take'!$G:$K,3,FALSE))</f>
        <v>0</v>
      </c>
      <c r="K1682" s="49" t="str">
        <f>IF(F1682="", " ", IF(ISNA(VLOOKUP(D1682,'[2]stock-take'!$M:$Q,4,FALSE)), "OUT OF STOCK", VLOOKUP(D1682,'[2]stock-take'!$M:$Q,4,FALSE)))</f>
        <v xml:space="preserve"> </v>
      </c>
      <c r="L1682" s="47">
        <f>IF(ISNA(VLOOKUP(D1682,'[2]stock-take'!$M:$Q,3,FALSE)), 0, VLOOKUP(D1682,'[2]stock-take'!$M:$Q,3,FALSE))</f>
        <v>0</v>
      </c>
      <c r="M1682" s="48" t="str">
        <f t="shared" si="79"/>
        <v xml:space="preserve"> </v>
      </c>
      <c r="N1682" s="39" t="str">
        <f t="shared" si="80"/>
        <v xml:space="preserve"> </v>
      </c>
    </row>
    <row r="1683" spans="1:14">
      <c r="A1683" s="37">
        <f t="shared" si="78"/>
        <v>1672</v>
      </c>
      <c r="G1683" s="48" t="str">
        <f>IF(F1683=""," ",IF(ISNA(VLOOKUP(D1683,'[2]stock-take'!$A:$E,4,FALSE)), "OUT OF STOCK", VLOOKUP(D1683,'[2]stock-take'!$A:$E,4,FALSE)))</f>
        <v xml:space="preserve"> </v>
      </c>
      <c r="H1683" s="48">
        <f>IF(ISNA(VLOOKUP(D1683,'[2]stock-take'!$A:$E,3,FALSE)), 0, VLOOKUP(D1683,'[2]stock-take'!$A:$E,3,FALSE))</f>
        <v>0</v>
      </c>
      <c r="I1683" s="48" t="str">
        <f>IF(F1683="", " ",IF(ISNA(VLOOKUP(D1683,'[2]stock-take'!$G:$K,4,FALSE)), "OUT OF STOCK", VLOOKUP(D1683,'[2]stock-take'!$G:$K,4,FALSE)))</f>
        <v xml:space="preserve"> </v>
      </c>
      <c r="J1683" s="39">
        <f>IF(ISNA(VLOOKUP(D1683,'[2]stock-take'!$G:$K,3,FALSE)), 0, VLOOKUP(D1683,'[2]stock-take'!$G:$K,3,FALSE))</f>
        <v>0</v>
      </c>
      <c r="K1683" s="49" t="str">
        <f>IF(F1683="", " ", IF(ISNA(VLOOKUP(D1683,'[2]stock-take'!$M:$Q,4,FALSE)), "OUT OF STOCK", VLOOKUP(D1683,'[2]stock-take'!$M:$Q,4,FALSE)))</f>
        <v xml:space="preserve"> </v>
      </c>
      <c r="L1683" s="47">
        <f>IF(ISNA(VLOOKUP(D1683,'[2]stock-take'!$M:$Q,3,FALSE)), 0, VLOOKUP(D1683,'[2]stock-take'!$M:$Q,3,FALSE))</f>
        <v>0</v>
      </c>
      <c r="M1683" s="48" t="str">
        <f t="shared" si="79"/>
        <v xml:space="preserve"> </v>
      </c>
      <c r="N1683" s="39" t="str">
        <f t="shared" si="80"/>
        <v xml:space="preserve"> </v>
      </c>
    </row>
    <row r="1684" spans="1:14">
      <c r="A1684" s="37">
        <f t="shared" si="78"/>
        <v>1673</v>
      </c>
      <c r="G1684" s="48" t="str">
        <f>IF(F1684=""," ",IF(ISNA(VLOOKUP(D1684,'[2]stock-take'!$A:$E,4,FALSE)), "OUT OF STOCK", VLOOKUP(D1684,'[2]stock-take'!$A:$E,4,FALSE)))</f>
        <v xml:space="preserve"> </v>
      </c>
      <c r="H1684" s="48">
        <f>IF(ISNA(VLOOKUP(D1684,'[2]stock-take'!$A:$E,3,FALSE)), 0, VLOOKUP(D1684,'[2]stock-take'!$A:$E,3,FALSE))</f>
        <v>0</v>
      </c>
      <c r="I1684" s="48" t="str">
        <f>IF(F1684="", " ",IF(ISNA(VLOOKUP(D1684,'[2]stock-take'!$G:$K,4,FALSE)), "OUT OF STOCK", VLOOKUP(D1684,'[2]stock-take'!$G:$K,4,FALSE)))</f>
        <v xml:space="preserve"> </v>
      </c>
      <c r="J1684" s="39">
        <f>IF(ISNA(VLOOKUP(D1684,'[2]stock-take'!$G:$K,3,FALSE)), 0, VLOOKUP(D1684,'[2]stock-take'!$G:$K,3,FALSE))</f>
        <v>0</v>
      </c>
      <c r="K1684" s="49" t="str">
        <f>IF(F1684="", " ", IF(ISNA(VLOOKUP(D1684,'[2]stock-take'!$M:$Q,4,FALSE)), "OUT OF STOCK", VLOOKUP(D1684,'[2]stock-take'!$M:$Q,4,FALSE)))</f>
        <v xml:space="preserve"> </v>
      </c>
      <c r="L1684" s="47">
        <f>IF(ISNA(VLOOKUP(D1684,'[2]stock-take'!$M:$Q,3,FALSE)), 0, VLOOKUP(D1684,'[2]stock-take'!$M:$Q,3,FALSE))</f>
        <v>0</v>
      </c>
      <c r="M1684" s="48" t="str">
        <f t="shared" si="79"/>
        <v xml:space="preserve"> </v>
      </c>
      <c r="N1684" s="39" t="str">
        <f t="shared" si="80"/>
        <v xml:space="preserve"> </v>
      </c>
    </row>
    <row r="1685" spans="1:14">
      <c r="A1685" s="37">
        <f t="shared" si="78"/>
        <v>1674</v>
      </c>
      <c r="G1685" s="48" t="str">
        <f>IF(F1685=""," ",IF(ISNA(VLOOKUP(D1685,'[2]stock-take'!$A:$E,4,FALSE)), "OUT OF STOCK", VLOOKUP(D1685,'[2]stock-take'!$A:$E,4,FALSE)))</f>
        <v xml:space="preserve"> </v>
      </c>
      <c r="H1685" s="48">
        <f>IF(ISNA(VLOOKUP(D1685,'[2]stock-take'!$A:$E,3,FALSE)), 0, VLOOKUP(D1685,'[2]stock-take'!$A:$E,3,FALSE))</f>
        <v>0</v>
      </c>
      <c r="I1685" s="48" t="str">
        <f>IF(F1685="", " ",IF(ISNA(VLOOKUP(D1685,'[2]stock-take'!$G:$K,4,FALSE)), "OUT OF STOCK", VLOOKUP(D1685,'[2]stock-take'!$G:$K,4,FALSE)))</f>
        <v xml:space="preserve"> </v>
      </c>
      <c r="J1685" s="39">
        <f>IF(ISNA(VLOOKUP(D1685,'[2]stock-take'!$G:$K,3,FALSE)), 0, VLOOKUP(D1685,'[2]stock-take'!$G:$K,3,FALSE))</f>
        <v>0</v>
      </c>
      <c r="K1685" s="49" t="str">
        <f>IF(F1685="", " ", IF(ISNA(VLOOKUP(D1685,'[2]stock-take'!$M:$Q,4,FALSE)), "OUT OF STOCK", VLOOKUP(D1685,'[2]stock-take'!$M:$Q,4,FALSE)))</f>
        <v xml:space="preserve"> </v>
      </c>
      <c r="L1685" s="47">
        <f>IF(ISNA(VLOOKUP(D1685,'[2]stock-take'!$M:$Q,3,FALSE)), 0, VLOOKUP(D1685,'[2]stock-take'!$M:$Q,3,FALSE))</f>
        <v>0</v>
      </c>
      <c r="M1685" s="48" t="str">
        <f t="shared" si="79"/>
        <v xml:space="preserve"> </v>
      </c>
      <c r="N1685" s="39" t="str">
        <f t="shared" si="80"/>
        <v xml:space="preserve"> </v>
      </c>
    </row>
    <row r="1686" spans="1:14">
      <c r="A1686" s="37">
        <f t="shared" si="78"/>
        <v>1675</v>
      </c>
      <c r="G1686" s="48" t="str">
        <f>IF(F1686=""," ",IF(ISNA(VLOOKUP(D1686,'[2]stock-take'!$A:$E,4,FALSE)), "OUT OF STOCK", VLOOKUP(D1686,'[2]stock-take'!$A:$E,4,FALSE)))</f>
        <v xml:space="preserve"> </v>
      </c>
      <c r="H1686" s="48">
        <f>IF(ISNA(VLOOKUP(D1686,'[2]stock-take'!$A:$E,3,FALSE)), 0, VLOOKUP(D1686,'[2]stock-take'!$A:$E,3,FALSE))</f>
        <v>0</v>
      </c>
      <c r="I1686" s="48" t="str">
        <f>IF(F1686="", " ",IF(ISNA(VLOOKUP(D1686,'[2]stock-take'!$G:$K,4,FALSE)), "OUT OF STOCK", VLOOKUP(D1686,'[2]stock-take'!$G:$K,4,FALSE)))</f>
        <v xml:space="preserve"> </v>
      </c>
      <c r="J1686" s="39">
        <f>IF(ISNA(VLOOKUP(D1686,'[2]stock-take'!$G:$K,3,FALSE)), 0, VLOOKUP(D1686,'[2]stock-take'!$G:$K,3,FALSE))</f>
        <v>0</v>
      </c>
      <c r="K1686" s="49" t="str">
        <f>IF(F1686="", " ", IF(ISNA(VLOOKUP(D1686,'[2]stock-take'!$M:$Q,4,FALSE)), "OUT OF STOCK", VLOOKUP(D1686,'[2]stock-take'!$M:$Q,4,FALSE)))</f>
        <v xml:space="preserve"> </v>
      </c>
      <c r="L1686" s="47">
        <f>IF(ISNA(VLOOKUP(D1686,'[2]stock-take'!$M:$Q,3,FALSE)), 0, VLOOKUP(D1686,'[2]stock-take'!$M:$Q,3,FALSE))</f>
        <v>0</v>
      </c>
      <c r="M1686" s="48" t="str">
        <f t="shared" si="79"/>
        <v xml:space="preserve"> </v>
      </c>
      <c r="N1686" s="39" t="str">
        <f t="shared" si="80"/>
        <v xml:space="preserve"> </v>
      </c>
    </row>
    <row r="1687" spans="1:14">
      <c r="A1687" s="37">
        <f t="shared" si="78"/>
        <v>1676</v>
      </c>
      <c r="G1687" s="48" t="str">
        <f>IF(F1687=""," ",IF(ISNA(VLOOKUP(D1687,'[2]stock-take'!$A:$E,4,FALSE)), "OUT OF STOCK", VLOOKUP(D1687,'[2]stock-take'!$A:$E,4,FALSE)))</f>
        <v xml:space="preserve"> </v>
      </c>
      <c r="H1687" s="48">
        <f>IF(ISNA(VLOOKUP(D1687,'[2]stock-take'!$A:$E,3,FALSE)), 0, VLOOKUP(D1687,'[2]stock-take'!$A:$E,3,FALSE))</f>
        <v>0</v>
      </c>
      <c r="I1687" s="48" t="str">
        <f>IF(F1687="", " ",IF(ISNA(VLOOKUP(D1687,'[2]stock-take'!$G:$K,4,FALSE)), "OUT OF STOCK", VLOOKUP(D1687,'[2]stock-take'!$G:$K,4,FALSE)))</f>
        <v xml:space="preserve"> </v>
      </c>
      <c r="J1687" s="39">
        <f>IF(ISNA(VLOOKUP(D1687,'[2]stock-take'!$G:$K,3,FALSE)), 0, VLOOKUP(D1687,'[2]stock-take'!$G:$K,3,FALSE))</f>
        <v>0</v>
      </c>
      <c r="K1687" s="49" t="str">
        <f>IF(F1687="", " ", IF(ISNA(VLOOKUP(D1687,'[2]stock-take'!$M:$Q,4,FALSE)), "OUT OF STOCK", VLOOKUP(D1687,'[2]stock-take'!$M:$Q,4,FALSE)))</f>
        <v xml:space="preserve"> </v>
      </c>
      <c r="L1687" s="47">
        <f>IF(ISNA(VLOOKUP(D1687,'[2]stock-take'!$M:$Q,3,FALSE)), 0, VLOOKUP(D1687,'[2]stock-take'!$M:$Q,3,FALSE))</f>
        <v>0</v>
      </c>
      <c r="M1687" s="48" t="str">
        <f t="shared" si="79"/>
        <v xml:space="preserve"> </v>
      </c>
      <c r="N1687" s="39" t="str">
        <f t="shared" si="80"/>
        <v xml:space="preserve"> </v>
      </c>
    </row>
    <row r="1688" spans="1:14">
      <c r="A1688" s="37">
        <f t="shared" si="78"/>
        <v>1677</v>
      </c>
      <c r="G1688" s="48" t="str">
        <f>IF(F1688=""," ",IF(ISNA(VLOOKUP(D1688,'[2]stock-take'!$A:$E,4,FALSE)), "OUT OF STOCK", VLOOKUP(D1688,'[2]stock-take'!$A:$E,4,FALSE)))</f>
        <v xml:space="preserve"> </v>
      </c>
      <c r="H1688" s="48">
        <f>IF(ISNA(VLOOKUP(D1688,'[2]stock-take'!$A:$E,3,FALSE)), 0, VLOOKUP(D1688,'[2]stock-take'!$A:$E,3,FALSE))</f>
        <v>0</v>
      </c>
      <c r="I1688" s="48" t="str">
        <f>IF(F1688="", " ",IF(ISNA(VLOOKUP(D1688,'[2]stock-take'!$G:$K,4,FALSE)), "OUT OF STOCK", VLOOKUP(D1688,'[2]stock-take'!$G:$K,4,FALSE)))</f>
        <v xml:space="preserve"> </v>
      </c>
      <c r="J1688" s="39">
        <f>IF(ISNA(VLOOKUP(D1688,'[2]stock-take'!$G:$K,3,FALSE)), 0, VLOOKUP(D1688,'[2]stock-take'!$G:$K,3,FALSE))</f>
        <v>0</v>
      </c>
      <c r="K1688" s="49" t="str">
        <f>IF(F1688="", " ", IF(ISNA(VLOOKUP(D1688,'[2]stock-take'!$M:$Q,4,FALSE)), "OUT OF STOCK", VLOOKUP(D1688,'[2]stock-take'!$M:$Q,4,FALSE)))</f>
        <v xml:space="preserve"> </v>
      </c>
      <c r="L1688" s="47">
        <f>IF(ISNA(VLOOKUP(D1688,'[2]stock-take'!$M:$Q,3,FALSE)), 0, VLOOKUP(D1688,'[2]stock-take'!$M:$Q,3,FALSE))</f>
        <v>0</v>
      </c>
      <c r="M1688" s="48" t="str">
        <f t="shared" si="79"/>
        <v xml:space="preserve"> </v>
      </c>
      <c r="N1688" s="39" t="str">
        <f t="shared" si="80"/>
        <v xml:space="preserve"> </v>
      </c>
    </row>
    <row r="1689" spans="1:14">
      <c r="A1689" s="37">
        <f t="shared" si="78"/>
        <v>1678</v>
      </c>
      <c r="G1689" s="48" t="str">
        <f>IF(F1689=""," ",IF(ISNA(VLOOKUP(D1689,'[2]stock-take'!$A:$E,4,FALSE)), "OUT OF STOCK", VLOOKUP(D1689,'[2]stock-take'!$A:$E,4,FALSE)))</f>
        <v xml:space="preserve"> </v>
      </c>
      <c r="H1689" s="48">
        <f>IF(ISNA(VLOOKUP(D1689,'[2]stock-take'!$A:$E,3,FALSE)), 0, VLOOKUP(D1689,'[2]stock-take'!$A:$E,3,FALSE))</f>
        <v>0</v>
      </c>
      <c r="I1689" s="48" t="str">
        <f>IF(F1689="", " ",IF(ISNA(VLOOKUP(D1689,'[2]stock-take'!$G:$K,4,FALSE)), "OUT OF STOCK", VLOOKUP(D1689,'[2]stock-take'!$G:$K,4,FALSE)))</f>
        <v xml:space="preserve"> </v>
      </c>
      <c r="J1689" s="39">
        <f>IF(ISNA(VLOOKUP(D1689,'[2]stock-take'!$G:$K,3,FALSE)), 0, VLOOKUP(D1689,'[2]stock-take'!$G:$K,3,FALSE))</f>
        <v>0</v>
      </c>
      <c r="K1689" s="49" t="str">
        <f>IF(F1689="", " ", IF(ISNA(VLOOKUP(D1689,'[2]stock-take'!$M:$Q,4,FALSE)), "OUT OF STOCK", VLOOKUP(D1689,'[2]stock-take'!$M:$Q,4,FALSE)))</f>
        <v xml:space="preserve"> </v>
      </c>
      <c r="L1689" s="47">
        <f>IF(ISNA(VLOOKUP(D1689,'[2]stock-take'!$M:$Q,3,FALSE)), 0, VLOOKUP(D1689,'[2]stock-take'!$M:$Q,3,FALSE))</f>
        <v>0</v>
      </c>
      <c r="M1689" s="48" t="str">
        <f t="shared" si="79"/>
        <v xml:space="preserve"> </v>
      </c>
      <c r="N1689" s="39" t="str">
        <f t="shared" si="80"/>
        <v xml:space="preserve"> </v>
      </c>
    </row>
    <row r="1690" spans="1:14">
      <c r="A1690" s="37">
        <f t="shared" si="78"/>
        <v>1679</v>
      </c>
      <c r="G1690" s="48" t="str">
        <f>IF(F1690=""," ",IF(ISNA(VLOOKUP(D1690,'[2]stock-take'!$A:$E,4,FALSE)), "OUT OF STOCK", VLOOKUP(D1690,'[2]stock-take'!$A:$E,4,FALSE)))</f>
        <v xml:space="preserve"> </v>
      </c>
      <c r="H1690" s="48">
        <f>IF(ISNA(VLOOKUP(D1690,'[2]stock-take'!$A:$E,3,FALSE)), 0, VLOOKUP(D1690,'[2]stock-take'!$A:$E,3,FALSE))</f>
        <v>0</v>
      </c>
      <c r="I1690" s="48" t="str">
        <f>IF(F1690="", " ",IF(ISNA(VLOOKUP(D1690,'[2]stock-take'!$G:$K,4,FALSE)), "OUT OF STOCK", VLOOKUP(D1690,'[2]stock-take'!$G:$K,4,FALSE)))</f>
        <v xml:space="preserve"> </v>
      </c>
      <c r="J1690" s="39">
        <f>IF(ISNA(VLOOKUP(D1690,'[2]stock-take'!$G:$K,3,FALSE)), 0, VLOOKUP(D1690,'[2]stock-take'!$G:$K,3,FALSE))</f>
        <v>0</v>
      </c>
      <c r="K1690" s="49" t="str">
        <f>IF(F1690="", " ", IF(ISNA(VLOOKUP(D1690,'[2]stock-take'!$M:$Q,4,FALSE)), "OUT OF STOCK", VLOOKUP(D1690,'[2]stock-take'!$M:$Q,4,FALSE)))</f>
        <v xml:space="preserve"> </v>
      </c>
      <c r="L1690" s="47">
        <f>IF(ISNA(VLOOKUP(D1690,'[2]stock-take'!$M:$Q,3,FALSE)), 0, VLOOKUP(D1690,'[2]stock-take'!$M:$Q,3,FALSE))</f>
        <v>0</v>
      </c>
      <c r="M1690" s="48" t="str">
        <f t="shared" si="79"/>
        <v xml:space="preserve"> </v>
      </c>
      <c r="N1690" s="39" t="str">
        <f t="shared" si="80"/>
        <v xml:space="preserve"> </v>
      </c>
    </row>
    <row r="1691" spans="1:14">
      <c r="A1691" s="37">
        <f t="shared" si="78"/>
        <v>1680</v>
      </c>
      <c r="G1691" s="48" t="str">
        <f>IF(F1691=""," ",IF(ISNA(VLOOKUP(D1691,'[2]stock-take'!$A:$E,4,FALSE)), "OUT OF STOCK", VLOOKUP(D1691,'[2]stock-take'!$A:$E,4,FALSE)))</f>
        <v xml:space="preserve"> </v>
      </c>
      <c r="H1691" s="48">
        <f>IF(ISNA(VLOOKUP(D1691,'[2]stock-take'!$A:$E,3,FALSE)), 0, VLOOKUP(D1691,'[2]stock-take'!$A:$E,3,FALSE))</f>
        <v>0</v>
      </c>
      <c r="I1691" s="48" t="str">
        <f>IF(F1691="", " ",IF(ISNA(VLOOKUP(D1691,'[2]stock-take'!$G:$K,4,FALSE)), "OUT OF STOCK", VLOOKUP(D1691,'[2]stock-take'!$G:$K,4,FALSE)))</f>
        <v xml:space="preserve"> </v>
      </c>
      <c r="J1691" s="39">
        <f>IF(ISNA(VLOOKUP(D1691,'[2]stock-take'!$G:$K,3,FALSE)), 0, VLOOKUP(D1691,'[2]stock-take'!$G:$K,3,FALSE))</f>
        <v>0</v>
      </c>
      <c r="K1691" s="49" t="str">
        <f>IF(F1691="", " ", IF(ISNA(VLOOKUP(D1691,'[2]stock-take'!$M:$Q,4,FALSE)), "OUT OF STOCK", VLOOKUP(D1691,'[2]stock-take'!$M:$Q,4,FALSE)))</f>
        <v xml:space="preserve"> </v>
      </c>
      <c r="L1691" s="47">
        <f>IF(ISNA(VLOOKUP(D1691,'[2]stock-take'!$M:$Q,3,FALSE)), 0, VLOOKUP(D1691,'[2]stock-take'!$M:$Q,3,FALSE))</f>
        <v>0</v>
      </c>
      <c r="M1691" s="48" t="str">
        <f t="shared" si="79"/>
        <v xml:space="preserve"> </v>
      </c>
      <c r="N1691" s="39" t="str">
        <f t="shared" si="80"/>
        <v xml:space="preserve"> </v>
      </c>
    </row>
    <row r="1692" spans="1:14">
      <c r="A1692" s="37">
        <f t="shared" si="78"/>
        <v>1681</v>
      </c>
      <c r="G1692" s="48" t="str">
        <f>IF(F1692=""," ",IF(ISNA(VLOOKUP(D1692,'[2]stock-take'!$A:$E,4,FALSE)), "OUT OF STOCK", VLOOKUP(D1692,'[2]stock-take'!$A:$E,4,FALSE)))</f>
        <v xml:space="preserve"> </v>
      </c>
      <c r="H1692" s="48">
        <f>IF(ISNA(VLOOKUP(D1692,'[2]stock-take'!$A:$E,3,FALSE)), 0, VLOOKUP(D1692,'[2]stock-take'!$A:$E,3,FALSE))</f>
        <v>0</v>
      </c>
      <c r="I1692" s="48" t="str">
        <f>IF(F1692="", " ",IF(ISNA(VLOOKUP(D1692,'[2]stock-take'!$G:$K,4,FALSE)), "OUT OF STOCK", VLOOKUP(D1692,'[2]stock-take'!$G:$K,4,FALSE)))</f>
        <v xml:space="preserve"> </v>
      </c>
      <c r="J1692" s="39">
        <f>IF(ISNA(VLOOKUP(D1692,'[2]stock-take'!$G:$K,3,FALSE)), 0, VLOOKUP(D1692,'[2]stock-take'!$G:$K,3,FALSE))</f>
        <v>0</v>
      </c>
      <c r="K1692" s="49" t="str">
        <f>IF(F1692="", " ", IF(ISNA(VLOOKUP(D1692,'[2]stock-take'!$M:$Q,4,FALSE)), "OUT OF STOCK", VLOOKUP(D1692,'[2]stock-take'!$M:$Q,4,FALSE)))</f>
        <v xml:space="preserve"> </v>
      </c>
      <c r="L1692" s="47">
        <f>IF(ISNA(VLOOKUP(D1692,'[2]stock-take'!$M:$Q,3,FALSE)), 0, VLOOKUP(D1692,'[2]stock-take'!$M:$Q,3,FALSE))</f>
        <v>0</v>
      </c>
      <c r="M1692" s="48" t="str">
        <f t="shared" si="79"/>
        <v xml:space="preserve"> </v>
      </c>
      <c r="N1692" s="39" t="str">
        <f t="shared" si="80"/>
        <v xml:space="preserve"> </v>
      </c>
    </row>
    <row r="1693" spans="1:14">
      <c r="A1693" s="37">
        <f t="shared" si="78"/>
        <v>1682</v>
      </c>
      <c r="G1693" s="48" t="str">
        <f>IF(F1693=""," ",IF(ISNA(VLOOKUP(D1693,'[2]stock-take'!$A:$E,4,FALSE)), "OUT OF STOCK", VLOOKUP(D1693,'[2]stock-take'!$A:$E,4,FALSE)))</f>
        <v xml:space="preserve"> </v>
      </c>
      <c r="H1693" s="48">
        <f>IF(ISNA(VLOOKUP(D1693,'[2]stock-take'!$A:$E,3,FALSE)), 0, VLOOKUP(D1693,'[2]stock-take'!$A:$E,3,FALSE))</f>
        <v>0</v>
      </c>
      <c r="I1693" s="48" t="str">
        <f>IF(F1693="", " ",IF(ISNA(VLOOKUP(D1693,'[2]stock-take'!$G:$K,4,FALSE)), "OUT OF STOCK", VLOOKUP(D1693,'[2]stock-take'!$G:$K,4,FALSE)))</f>
        <v xml:space="preserve"> </v>
      </c>
      <c r="J1693" s="39">
        <f>IF(ISNA(VLOOKUP(D1693,'[2]stock-take'!$G:$K,3,FALSE)), 0, VLOOKUP(D1693,'[2]stock-take'!$G:$K,3,FALSE))</f>
        <v>0</v>
      </c>
      <c r="K1693" s="49" t="str">
        <f>IF(F1693="", " ", IF(ISNA(VLOOKUP(D1693,'[2]stock-take'!$M:$Q,4,FALSE)), "OUT OF STOCK", VLOOKUP(D1693,'[2]stock-take'!$M:$Q,4,FALSE)))</f>
        <v xml:space="preserve"> </v>
      </c>
      <c r="L1693" s="47">
        <f>IF(ISNA(VLOOKUP(D1693,'[2]stock-take'!$M:$Q,3,FALSE)), 0, VLOOKUP(D1693,'[2]stock-take'!$M:$Q,3,FALSE))</f>
        <v>0</v>
      </c>
      <c r="M1693" s="48" t="str">
        <f t="shared" si="79"/>
        <v xml:space="preserve"> </v>
      </c>
      <c r="N1693" s="39" t="str">
        <f t="shared" si="80"/>
        <v xml:space="preserve"> </v>
      </c>
    </row>
    <row r="1694" spans="1:14">
      <c r="A1694" s="37">
        <f t="shared" si="78"/>
        <v>1683</v>
      </c>
      <c r="G1694" s="48" t="str">
        <f>IF(F1694=""," ",IF(ISNA(VLOOKUP(D1694,'[2]stock-take'!$A:$E,4,FALSE)), "OUT OF STOCK", VLOOKUP(D1694,'[2]stock-take'!$A:$E,4,FALSE)))</f>
        <v xml:space="preserve"> </v>
      </c>
      <c r="H1694" s="48">
        <f>IF(ISNA(VLOOKUP(D1694,'[2]stock-take'!$A:$E,3,FALSE)), 0, VLOOKUP(D1694,'[2]stock-take'!$A:$E,3,FALSE))</f>
        <v>0</v>
      </c>
      <c r="I1694" s="48" t="str">
        <f>IF(F1694="", " ",IF(ISNA(VLOOKUP(D1694,'[2]stock-take'!$G:$K,4,FALSE)), "OUT OF STOCK", VLOOKUP(D1694,'[2]stock-take'!$G:$K,4,FALSE)))</f>
        <v xml:space="preserve"> </v>
      </c>
      <c r="J1694" s="39">
        <f>IF(ISNA(VLOOKUP(D1694,'[2]stock-take'!$G:$K,3,FALSE)), 0, VLOOKUP(D1694,'[2]stock-take'!$G:$K,3,FALSE))</f>
        <v>0</v>
      </c>
      <c r="K1694" s="49" t="str">
        <f>IF(F1694="", " ", IF(ISNA(VLOOKUP(D1694,'[2]stock-take'!$M:$Q,4,FALSE)), "OUT OF STOCK", VLOOKUP(D1694,'[2]stock-take'!$M:$Q,4,FALSE)))</f>
        <v xml:space="preserve"> </v>
      </c>
      <c r="L1694" s="47">
        <f>IF(ISNA(VLOOKUP(D1694,'[2]stock-take'!$M:$Q,3,FALSE)), 0, VLOOKUP(D1694,'[2]stock-take'!$M:$Q,3,FALSE))</f>
        <v>0</v>
      </c>
      <c r="M1694" s="48" t="str">
        <f t="shared" si="79"/>
        <v xml:space="preserve"> </v>
      </c>
      <c r="N1694" s="39" t="str">
        <f t="shared" si="80"/>
        <v xml:space="preserve"> </v>
      </c>
    </row>
    <row r="1695" spans="1:14">
      <c r="A1695" s="37">
        <f t="shared" si="78"/>
        <v>1684</v>
      </c>
      <c r="G1695" s="48" t="str">
        <f>IF(F1695=""," ",IF(ISNA(VLOOKUP(D1695,'[2]stock-take'!$A:$E,4,FALSE)), "OUT OF STOCK", VLOOKUP(D1695,'[2]stock-take'!$A:$E,4,FALSE)))</f>
        <v xml:space="preserve"> </v>
      </c>
      <c r="H1695" s="48">
        <f>IF(ISNA(VLOOKUP(D1695,'[2]stock-take'!$A:$E,3,FALSE)), 0, VLOOKUP(D1695,'[2]stock-take'!$A:$E,3,FALSE))</f>
        <v>0</v>
      </c>
      <c r="I1695" s="48" t="str">
        <f>IF(F1695="", " ",IF(ISNA(VLOOKUP(D1695,'[2]stock-take'!$G:$K,4,FALSE)), "OUT OF STOCK", VLOOKUP(D1695,'[2]stock-take'!$G:$K,4,FALSE)))</f>
        <v xml:space="preserve"> </v>
      </c>
      <c r="J1695" s="39">
        <f>IF(ISNA(VLOOKUP(D1695,'[2]stock-take'!$G:$K,3,FALSE)), 0, VLOOKUP(D1695,'[2]stock-take'!$G:$K,3,FALSE))</f>
        <v>0</v>
      </c>
      <c r="K1695" s="49" t="str">
        <f>IF(F1695="", " ", IF(ISNA(VLOOKUP(D1695,'[2]stock-take'!$M:$Q,4,FALSE)), "OUT OF STOCK", VLOOKUP(D1695,'[2]stock-take'!$M:$Q,4,FALSE)))</f>
        <v xml:space="preserve"> </v>
      </c>
      <c r="L1695" s="47">
        <f>IF(ISNA(VLOOKUP(D1695,'[2]stock-take'!$M:$Q,3,FALSE)), 0, VLOOKUP(D1695,'[2]stock-take'!$M:$Q,3,FALSE))</f>
        <v>0</v>
      </c>
      <c r="M1695" s="48" t="str">
        <f t="shared" si="79"/>
        <v xml:space="preserve"> </v>
      </c>
      <c r="N1695" s="39" t="str">
        <f t="shared" si="80"/>
        <v xml:space="preserve"> </v>
      </c>
    </row>
    <row r="1696" spans="1:14">
      <c r="A1696" s="37">
        <f t="shared" si="78"/>
        <v>1685</v>
      </c>
      <c r="G1696" s="48" t="str">
        <f>IF(F1696=""," ",IF(ISNA(VLOOKUP(D1696,'[2]stock-take'!$A:$E,4,FALSE)), "OUT OF STOCK", VLOOKUP(D1696,'[2]stock-take'!$A:$E,4,FALSE)))</f>
        <v xml:space="preserve"> </v>
      </c>
      <c r="H1696" s="48">
        <f>IF(ISNA(VLOOKUP(D1696,'[2]stock-take'!$A:$E,3,FALSE)), 0, VLOOKUP(D1696,'[2]stock-take'!$A:$E,3,FALSE))</f>
        <v>0</v>
      </c>
      <c r="I1696" s="48" t="str">
        <f>IF(F1696="", " ",IF(ISNA(VLOOKUP(D1696,'[2]stock-take'!$G:$K,4,FALSE)), "OUT OF STOCK", VLOOKUP(D1696,'[2]stock-take'!$G:$K,4,FALSE)))</f>
        <v xml:space="preserve"> </v>
      </c>
      <c r="J1696" s="39">
        <f>IF(ISNA(VLOOKUP(D1696,'[2]stock-take'!$G:$K,3,FALSE)), 0, VLOOKUP(D1696,'[2]stock-take'!$G:$K,3,FALSE))</f>
        <v>0</v>
      </c>
      <c r="K1696" s="49" t="str">
        <f>IF(F1696="", " ", IF(ISNA(VLOOKUP(D1696,'[2]stock-take'!$M:$Q,4,FALSE)), "OUT OF STOCK", VLOOKUP(D1696,'[2]stock-take'!$M:$Q,4,FALSE)))</f>
        <v xml:space="preserve"> </v>
      </c>
      <c r="L1696" s="47">
        <f>IF(ISNA(VLOOKUP(D1696,'[2]stock-take'!$M:$Q,3,FALSE)), 0, VLOOKUP(D1696,'[2]stock-take'!$M:$Q,3,FALSE))</f>
        <v>0</v>
      </c>
      <c r="M1696" s="48" t="str">
        <f t="shared" si="79"/>
        <v xml:space="preserve"> </v>
      </c>
      <c r="N1696" s="39" t="str">
        <f t="shared" si="80"/>
        <v xml:space="preserve"> </v>
      </c>
    </row>
    <row r="1697" spans="1:14">
      <c r="A1697" s="37">
        <f t="shared" si="78"/>
        <v>1686</v>
      </c>
      <c r="G1697" s="48" t="str">
        <f>IF(F1697=""," ",IF(ISNA(VLOOKUP(D1697,'[2]stock-take'!$A:$E,4,FALSE)), "OUT OF STOCK", VLOOKUP(D1697,'[2]stock-take'!$A:$E,4,FALSE)))</f>
        <v xml:space="preserve"> </v>
      </c>
      <c r="H1697" s="48">
        <f>IF(ISNA(VLOOKUP(D1697,'[2]stock-take'!$A:$E,3,FALSE)), 0, VLOOKUP(D1697,'[2]stock-take'!$A:$E,3,FALSE))</f>
        <v>0</v>
      </c>
      <c r="I1697" s="48" t="str">
        <f>IF(F1697="", " ",IF(ISNA(VLOOKUP(D1697,'[2]stock-take'!$G:$K,4,FALSE)), "OUT OF STOCK", VLOOKUP(D1697,'[2]stock-take'!$G:$K,4,FALSE)))</f>
        <v xml:space="preserve"> </v>
      </c>
      <c r="J1697" s="39">
        <f>IF(ISNA(VLOOKUP(D1697,'[2]stock-take'!$G:$K,3,FALSE)), 0, VLOOKUP(D1697,'[2]stock-take'!$G:$K,3,FALSE))</f>
        <v>0</v>
      </c>
      <c r="K1697" s="49" t="str">
        <f>IF(F1697="", " ", IF(ISNA(VLOOKUP(D1697,'[2]stock-take'!$M:$Q,4,FALSE)), "OUT OF STOCK", VLOOKUP(D1697,'[2]stock-take'!$M:$Q,4,FALSE)))</f>
        <v xml:space="preserve"> </v>
      </c>
      <c r="L1697" s="47">
        <f>IF(ISNA(VLOOKUP(D1697,'[2]stock-take'!$M:$Q,3,FALSE)), 0, VLOOKUP(D1697,'[2]stock-take'!$M:$Q,3,FALSE))</f>
        <v>0</v>
      </c>
      <c r="M1697" s="48" t="str">
        <f t="shared" si="79"/>
        <v xml:space="preserve"> </v>
      </c>
      <c r="N1697" s="39" t="str">
        <f t="shared" si="80"/>
        <v xml:space="preserve"> </v>
      </c>
    </row>
    <row r="1698" spans="1:14">
      <c r="A1698" s="37">
        <f t="shared" si="78"/>
        <v>1687</v>
      </c>
      <c r="G1698" s="48" t="str">
        <f>IF(F1698=""," ",IF(ISNA(VLOOKUP(D1698,'[2]stock-take'!$A:$E,4,FALSE)), "OUT OF STOCK", VLOOKUP(D1698,'[2]stock-take'!$A:$E,4,FALSE)))</f>
        <v xml:space="preserve"> </v>
      </c>
      <c r="H1698" s="48">
        <f>IF(ISNA(VLOOKUP(D1698,'[2]stock-take'!$A:$E,3,FALSE)), 0, VLOOKUP(D1698,'[2]stock-take'!$A:$E,3,FALSE))</f>
        <v>0</v>
      </c>
      <c r="I1698" s="48" t="str">
        <f>IF(F1698="", " ",IF(ISNA(VLOOKUP(D1698,'[2]stock-take'!$G:$K,4,FALSE)), "OUT OF STOCK", VLOOKUP(D1698,'[2]stock-take'!$G:$K,4,FALSE)))</f>
        <v xml:space="preserve"> </v>
      </c>
      <c r="J1698" s="39">
        <f>IF(ISNA(VLOOKUP(D1698,'[2]stock-take'!$G:$K,3,FALSE)), 0, VLOOKUP(D1698,'[2]stock-take'!$G:$K,3,FALSE))</f>
        <v>0</v>
      </c>
      <c r="K1698" s="49" t="str">
        <f>IF(F1698="", " ", IF(ISNA(VLOOKUP(D1698,'[2]stock-take'!$M:$Q,4,FALSE)), "OUT OF STOCK", VLOOKUP(D1698,'[2]stock-take'!$M:$Q,4,FALSE)))</f>
        <v xml:space="preserve"> </v>
      </c>
      <c r="L1698" s="47">
        <f>IF(ISNA(VLOOKUP(D1698,'[2]stock-take'!$M:$Q,3,FALSE)), 0, VLOOKUP(D1698,'[2]stock-take'!$M:$Q,3,FALSE))</f>
        <v>0</v>
      </c>
      <c r="M1698" s="48" t="str">
        <f t="shared" si="79"/>
        <v xml:space="preserve"> </v>
      </c>
      <c r="N1698" s="39" t="str">
        <f t="shared" si="80"/>
        <v xml:space="preserve"> </v>
      </c>
    </row>
    <row r="1699" spans="1:14">
      <c r="A1699" s="37">
        <f t="shared" si="78"/>
        <v>1688</v>
      </c>
      <c r="G1699" s="48" t="str">
        <f>IF(F1699=""," ",IF(ISNA(VLOOKUP(D1699,'[2]stock-take'!$A:$E,4,FALSE)), "OUT OF STOCK", VLOOKUP(D1699,'[2]stock-take'!$A:$E,4,FALSE)))</f>
        <v xml:space="preserve"> </v>
      </c>
      <c r="H1699" s="48">
        <f>IF(ISNA(VLOOKUP(D1699,'[2]stock-take'!$A:$E,3,FALSE)), 0, VLOOKUP(D1699,'[2]stock-take'!$A:$E,3,FALSE))</f>
        <v>0</v>
      </c>
      <c r="I1699" s="48" t="str">
        <f>IF(F1699="", " ",IF(ISNA(VLOOKUP(D1699,'[2]stock-take'!$G:$K,4,FALSE)), "OUT OF STOCK", VLOOKUP(D1699,'[2]stock-take'!$G:$K,4,FALSE)))</f>
        <v xml:space="preserve"> </v>
      </c>
      <c r="J1699" s="39">
        <f>IF(ISNA(VLOOKUP(D1699,'[2]stock-take'!$G:$K,3,FALSE)), 0, VLOOKUP(D1699,'[2]stock-take'!$G:$K,3,FALSE))</f>
        <v>0</v>
      </c>
      <c r="K1699" s="49" t="str">
        <f>IF(F1699="", " ", IF(ISNA(VLOOKUP(D1699,'[2]stock-take'!$M:$Q,4,FALSE)), "OUT OF STOCK", VLOOKUP(D1699,'[2]stock-take'!$M:$Q,4,FALSE)))</f>
        <v xml:space="preserve"> </v>
      </c>
      <c r="L1699" s="47">
        <f>IF(ISNA(VLOOKUP(D1699,'[2]stock-take'!$M:$Q,3,FALSE)), 0, VLOOKUP(D1699,'[2]stock-take'!$M:$Q,3,FALSE))</f>
        <v>0</v>
      </c>
      <c r="M1699" s="48" t="str">
        <f t="shared" si="79"/>
        <v xml:space="preserve"> </v>
      </c>
      <c r="N1699" s="39" t="str">
        <f t="shared" si="80"/>
        <v xml:space="preserve"> </v>
      </c>
    </row>
    <row r="1700" spans="1:14">
      <c r="A1700" s="37">
        <f t="shared" si="78"/>
        <v>1689</v>
      </c>
      <c r="G1700" s="48" t="str">
        <f>IF(F1700=""," ",IF(ISNA(VLOOKUP(D1700,'[2]stock-take'!$A:$E,4,FALSE)), "OUT OF STOCK", VLOOKUP(D1700,'[2]stock-take'!$A:$E,4,FALSE)))</f>
        <v xml:space="preserve"> </v>
      </c>
      <c r="H1700" s="48">
        <f>IF(ISNA(VLOOKUP(D1700,'[2]stock-take'!$A:$E,3,FALSE)), 0, VLOOKUP(D1700,'[2]stock-take'!$A:$E,3,FALSE))</f>
        <v>0</v>
      </c>
      <c r="I1700" s="48" t="str">
        <f>IF(F1700="", " ",IF(ISNA(VLOOKUP(D1700,'[2]stock-take'!$G:$K,4,FALSE)), "OUT OF STOCK", VLOOKUP(D1700,'[2]stock-take'!$G:$K,4,FALSE)))</f>
        <v xml:space="preserve"> </v>
      </c>
      <c r="J1700" s="39">
        <f>IF(ISNA(VLOOKUP(D1700,'[2]stock-take'!$G:$K,3,FALSE)), 0, VLOOKUP(D1700,'[2]stock-take'!$G:$K,3,FALSE))</f>
        <v>0</v>
      </c>
      <c r="K1700" s="49" t="str">
        <f>IF(F1700="", " ", IF(ISNA(VLOOKUP(D1700,'[2]stock-take'!$M:$Q,4,FALSE)), "OUT OF STOCK", VLOOKUP(D1700,'[2]stock-take'!$M:$Q,4,FALSE)))</f>
        <v xml:space="preserve"> </v>
      </c>
      <c r="L1700" s="47">
        <f>IF(ISNA(VLOOKUP(D1700,'[2]stock-take'!$M:$Q,3,FALSE)), 0, VLOOKUP(D1700,'[2]stock-take'!$M:$Q,3,FALSE))</f>
        <v>0</v>
      </c>
      <c r="M1700" s="48" t="str">
        <f t="shared" si="79"/>
        <v xml:space="preserve"> </v>
      </c>
      <c r="N1700" s="39" t="str">
        <f t="shared" si="80"/>
        <v xml:space="preserve"> </v>
      </c>
    </row>
    <row r="1701" spans="1:14">
      <c r="A1701" s="37">
        <f t="shared" si="78"/>
        <v>1690</v>
      </c>
      <c r="G1701" s="48" t="str">
        <f>IF(F1701=""," ",IF(ISNA(VLOOKUP(D1701,'[2]stock-take'!$A:$E,4,FALSE)), "OUT OF STOCK", VLOOKUP(D1701,'[2]stock-take'!$A:$E,4,FALSE)))</f>
        <v xml:space="preserve"> </v>
      </c>
      <c r="H1701" s="48">
        <f>IF(ISNA(VLOOKUP(D1701,'[2]stock-take'!$A:$E,3,FALSE)), 0, VLOOKUP(D1701,'[2]stock-take'!$A:$E,3,FALSE))</f>
        <v>0</v>
      </c>
      <c r="I1701" s="48" t="str">
        <f>IF(F1701="", " ",IF(ISNA(VLOOKUP(D1701,'[2]stock-take'!$G:$K,4,FALSE)), "OUT OF STOCK", VLOOKUP(D1701,'[2]stock-take'!$G:$K,4,FALSE)))</f>
        <v xml:space="preserve"> </v>
      </c>
      <c r="J1701" s="39">
        <f>IF(ISNA(VLOOKUP(D1701,'[2]stock-take'!$G:$K,3,FALSE)), 0, VLOOKUP(D1701,'[2]stock-take'!$G:$K,3,FALSE))</f>
        <v>0</v>
      </c>
      <c r="K1701" s="49" t="str">
        <f>IF(F1701="", " ", IF(ISNA(VLOOKUP(D1701,'[2]stock-take'!$M:$Q,4,FALSE)), "OUT OF STOCK", VLOOKUP(D1701,'[2]stock-take'!$M:$Q,4,FALSE)))</f>
        <v xml:space="preserve"> </v>
      </c>
      <c r="L1701" s="47">
        <f>IF(ISNA(VLOOKUP(D1701,'[2]stock-take'!$M:$Q,3,FALSE)), 0, VLOOKUP(D1701,'[2]stock-take'!$M:$Q,3,FALSE))</f>
        <v>0</v>
      </c>
      <c r="M1701" s="48" t="str">
        <f t="shared" si="79"/>
        <v xml:space="preserve"> </v>
      </c>
      <c r="N1701" s="39" t="str">
        <f t="shared" si="80"/>
        <v xml:space="preserve"> </v>
      </c>
    </row>
    <row r="1702" spans="1:14">
      <c r="A1702" s="37">
        <f t="shared" si="78"/>
        <v>1691</v>
      </c>
      <c r="G1702" s="48" t="str">
        <f>IF(F1702=""," ",IF(ISNA(VLOOKUP(D1702,'[2]stock-take'!$A:$E,4,FALSE)), "OUT OF STOCK", VLOOKUP(D1702,'[2]stock-take'!$A:$E,4,FALSE)))</f>
        <v xml:space="preserve"> </v>
      </c>
      <c r="H1702" s="48">
        <f>IF(ISNA(VLOOKUP(D1702,'[2]stock-take'!$A:$E,3,FALSE)), 0, VLOOKUP(D1702,'[2]stock-take'!$A:$E,3,FALSE))</f>
        <v>0</v>
      </c>
      <c r="I1702" s="48" t="str">
        <f>IF(F1702="", " ",IF(ISNA(VLOOKUP(D1702,'[2]stock-take'!$G:$K,4,FALSE)), "OUT OF STOCK", VLOOKUP(D1702,'[2]stock-take'!$G:$K,4,FALSE)))</f>
        <v xml:space="preserve"> </v>
      </c>
      <c r="J1702" s="39">
        <f>IF(ISNA(VLOOKUP(D1702,'[2]stock-take'!$G:$K,3,FALSE)), 0, VLOOKUP(D1702,'[2]stock-take'!$G:$K,3,FALSE))</f>
        <v>0</v>
      </c>
      <c r="K1702" s="49" t="str">
        <f>IF(F1702="", " ", IF(ISNA(VLOOKUP(D1702,'[2]stock-take'!$M:$Q,4,FALSE)), "OUT OF STOCK", VLOOKUP(D1702,'[2]stock-take'!$M:$Q,4,FALSE)))</f>
        <v xml:space="preserve"> </v>
      </c>
      <c r="L1702" s="47">
        <f>IF(ISNA(VLOOKUP(D1702,'[2]stock-take'!$M:$Q,3,FALSE)), 0, VLOOKUP(D1702,'[2]stock-take'!$M:$Q,3,FALSE))</f>
        <v>0</v>
      </c>
      <c r="M1702" s="48" t="str">
        <f t="shared" si="79"/>
        <v xml:space="preserve"> </v>
      </c>
      <c r="N1702" s="39" t="str">
        <f t="shared" si="80"/>
        <v xml:space="preserve"> </v>
      </c>
    </row>
    <row r="1703" spans="1:14">
      <c r="A1703" s="37">
        <f t="shared" si="78"/>
        <v>1692</v>
      </c>
      <c r="G1703" s="48" t="str">
        <f>IF(F1703=""," ",IF(ISNA(VLOOKUP(D1703,'[2]stock-take'!$A:$E,4,FALSE)), "OUT OF STOCK", VLOOKUP(D1703,'[2]stock-take'!$A:$E,4,FALSE)))</f>
        <v xml:space="preserve"> </v>
      </c>
      <c r="H1703" s="48">
        <f>IF(ISNA(VLOOKUP(D1703,'[2]stock-take'!$A:$E,3,FALSE)), 0, VLOOKUP(D1703,'[2]stock-take'!$A:$E,3,FALSE))</f>
        <v>0</v>
      </c>
      <c r="I1703" s="48" t="str">
        <f>IF(F1703="", " ",IF(ISNA(VLOOKUP(D1703,'[2]stock-take'!$G:$K,4,FALSE)), "OUT OF STOCK", VLOOKUP(D1703,'[2]stock-take'!$G:$K,4,FALSE)))</f>
        <v xml:space="preserve"> </v>
      </c>
      <c r="J1703" s="39">
        <f>IF(ISNA(VLOOKUP(D1703,'[2]stock-take'!$G:$K,3,FALSE)), 0, VLOOKUP(D1703,'[2]stock-take'!$G:$K,3,FALSE))</f>
        <v>0</v>
      </c>
      <c r="K1703" s="49" t="str">
        <f>IF(F1703="", " ", IF(ISNA(VLOOKUP(D1703,'[2]stock-take'!$M:$Q,4,FALSE)), "OUT OF STOCK", VLOOKUP(D1703,'[2]stock-take'!$M:$Q,4,FALSE)))</f>
        <v xml:space="preserve"> </v>
      </c>
      <c r="L1703" s="47">
        <f>IF(ISNA(VLOOKUP(D1703,'[2]stock-take'!$M:$Q,3,FALSE)), 0, VLOOKUP(D1703,'[2]stock-take'!$M:$Q,3,FALSE))</f>
        <v>0</v>
      </c>
      <c r="M1703" s="48" t="str">
        <f t="shared" si="79"/>
        <v xml:space="preserve"> </v>
      </c>
      <c r="N1703" s="39" t="str">
        <f t="shared" si="80"/>
        <v xml:space="preserve"> </v>
      </c>
    </row>
    <row r="1704" spans="1:14">
      <c r="A1704" s="37">
        <f t="shared" si="78"/>
        <v>1693</v>
      </c>
      <c r="G1704" s="48" t="str">
        <f>IF(F1704=""," ",IF(ISNA(VLOOKUP(D1704,'[2]stock-take'!$A:$E,4,FALSE)), "OUT OF STOCK", VLOOKUP(D1704,'[2]stock-take'!$A:$E,4,FALSE)))</f>
        <v xml:space="preserve"> </v>
      </c>
      <c r="H1704" s="48">
        <f>IF(ISNA(VLOOKUP(D1704,'[2]stock-take'!$A:$E,3,FALSE)), 0, VLOOKUP(D1704,'[2]stock-take'!$A:$E,3,FALSE))</f>
        <v>0</v>
      </c>
      <c r="I1704" s="48" t="str">
        <f>IF(F1704="", " ",IF(ISNA(VLOOKUP(D1704,'[2]stock-take'!$G:$K,4,FALSE)), "OUT OF STOCK", VLOOKUP(D1704,'[2]stock-take'!$G:$K,4,FALSE)))</f>
        <v xml:space="preserve"> </v>
      </c>
      <c r="J1704" s="39">
        <f>IF(ISNA(VLOOKUP(D1704,'[2]stock-take'!$G:$K,3,FALSE)), 0, VLOOKUP(D1704,'[2]stock-take'!$G:$K,3,FALSE))</f>
        <v>0</v>
      </c>
      <c r="K1704" s="49" t="str">
        <f>IF(F1704="", " ", IF(ISNA(VLOOKUP(D1704,'[2]stock-take'!$M:$Q,4,FALSE)), "OUT OF STOCK", VLOOKUP(D1704,'[2]stock-take'!$M:$Q,4,FALSE)))</f>
        <v xml:space="preserve"> </v>
      </c>
      <c r="L1704" s="47">
        <f>IF(ISNA(VLOOKUP(D1704,'[2]stock-take'!$M:$Q,3,FALSE)), 0, VLOOKUP(D1704,'[2]stock-take'!$M:$Q,3,FALSE))</f>
        <v>0</v>
      </c>
      <c r="M1704" s="48" t="str">
        <f t="shared" si="79"/>
        <v xml:space="preserve"> </v>
      </c>
      <c r="N1704" s="39" t="str">
        <f t="shared" si="80"/>
        <v xml:space="preserve"> </v>
      </c>
    </row>
    <row r="1705" spans="1:14">
      <c r="A1705" s="37">
        <f t="shared" si="78"/>
        <v>1694</v>
      </c>
      <c r="G1705" s="48" t="str">
        <f>IF(F1705=""," ",IF(ISNA(VLOOKUP(D1705,'[2]stock-take'!$A:$E,4,FALSE)), "OUT OF STOCK", VLOOKUP(D1705,'[2]stock-take'!$A:$E,4,FALSE)))</f>
        <v xml:space="preserve"> </v>
      </c>
      <c r="H1705" s="48">
        <f>IF(ISNA(VLOOKUP(D1705,'[2]stock-take'!$A:$E,3,FALSE)), 0, VLOOKUP(D1705,'[2]stock-take'!$A:$E,3,FALSE))</f>
        <v>0</v>
      </c>
      <c r="I1705" s="48" t="str">
        <f>IF(F1705="", " ",IF(ISNA(VLOOKUP(D1705,'[2]stock-take'!$G:$K,4,FALSE)), "OUT OF STOCK", VLOOKUP(D1705,'[2]stock-take'!$G:$K,4,FALSE)))</f>
        <v xml:space="preserve"> </v>
      </c>
      <c r="J1705" s="39">
        <f>IF(ISNA(VLOOKUP(D1705,'[2]stock-take'!$G:$K,3,FALSE)), 0, VLOOKUP(D1705,'[2]stock-take'!$G:$K,3,FALSE))</f>
        <v>0</v>
      </c>
      <c r="K1705" s="49" t="str">
        <f>IF(F1705="", " ", IF(ISNA(VLOOKUP(D1705,'[2]stock-take'!$M:$Q,4,FALSE)), "OUT OF STOCK", VLOOKUP(D1705,'[2]stock-take'!$M:$Q,4,FALSE)))</f>
        <v xml:space="preserve"> </v>
      </c>
      <c r="L1705" s="47">
        <f>IF(ISNA(VLOOKUP(D1705,'[2]stock-take'!$M:$Q,3,FALSE)), 0, VLOOKUP(D1705,'[2]stock-take'!$M:$Q,3,FALSE))</f>
        <v>0</v>
      </c>
      <c r="M1705" s="48" t="str">
        <f t="shared" si="79"/>
        <v xml:space="preserve"> </v>
      </c>
      <c r="N1705" s="39" t="str">
        <f t="shared" si="80"/>
        <v xml:space="preserve"> </v>
      </c>
    </row>
    <row r="1706" spans="1:14">
      <c r="A1706" s="37">
        <f t="shared" si="78"/>
        <v>1695</v>
      </c>
      <c r="G1706" s="48" t="str">
        <f>IF(F1706=""," ",IF(ISNA(VLOOKUP(D1706,'[2]stock-take'!$A:$E,4,FALSE)), "OUT OF STOCK", VLOOKUP(D1706,'[2]stock-take'!$A:$E,4,FALSE)))</f>
        <v xml:space="preserve"> </v>
      </c>
      <c r="H1706" s="48">
        <f>IF(ISNA(VLOOKUP(D1706,'[2]stock-take'!$A:$E,3,FALSE)), 0, VLOOKUP(D1706,'[2]stock-take'!$A:$E,3,FALSE))</f>
        <v>0</v>
      </c>
      <c r="I1706" s="48" t="str">
        <f>IF(F1706="", " ",IF(ISNA(VLOOKUP(D1706,'[2]stock-take'!$G:$K,4,FALSE)), "OUT OF STOCK", VLOOKUP(D1706,'[2]stock-take'!$G:$K,4,FALSE)))</f>
        <v xml:space="preserve"> </v>
      </c>
      <c r="J1706" s="39">
        <f>IF(ISNA(VLOOKUP(D1706,'[2]stock-take'!$G:$K,3,FALSE)), 0, VLOOKUP(D1706,'[2]stock-take'!$G:$K,3,FALSE))</f>
        <v>0</v>
      </c>
      <c r="K1706" s="49" t="str">
        <f>IF(F1706="", " ", IF(ISNA(VLOOKUP(D1706,'[2]stock-take'!$M:$Q,4,FALSE)), "OUT OF STOCK", VLOOKUP(D1706,'[2]stock-take'!$M:$Q,4,FALSE)))</f>
        <v xml:space="preserve"> </v>
      </c>
      <c r="L1706" s="47">
        <f>IF(ISNA(VLOOKUP(D1706,'[2]stock-take'!$M:$Q,3,FALSE)), 0, VLOOKUP(D1706,'[2]stock-take'!$M:$Q,3,FALSE))</f>
        <v>0</v>
      </c>
      <c r="M1706" s="48" t="str">
        <f t="shared" si="79"/>
        <v xml:space="preserve"> </v>
      </c>
      <c r="N1706" s="39" t="str">
        <f t="shared" si="80"/>
        <v xml:space="preserve"> </v>
      </c>
    </row>
    <row r="1707" spans="1:14">
      <c r="A1707" s="37">
        <f t="shared" si="78"/>
        <v>1696</v>
      </c>
      <c r="G1707" s="48" t="str">
        <f>IF(F1707=""," ",IF(ISNA(VLOOKUP(D1707,'[2]stock-take'!$A:$E,4,FALSE)), "OUT OF STOCK", VLOOKUP(D1707,'[2]stock-take'!$A:$E,4,FALSE)))</f>
        <v xml:space="preserve"> </v>
      </c>
      <c r="H1707" s="48">
        <f>IF(ISNA(VLOOKUP(D1707,'[2]stock-take'!$A:$E,3,FALSE)), 0, VLOOKUP(D1707,'[2]stock-take'!$A:$E,3,FALSE))</f>
        <v>0</v>
      </c>
      <c r="I1707" s="48" t="str">
        <f>IF(F1707="", " ",IF(ISNA(VLOOKUP(D1707,'[2]stock-take'!$G:$K,4,FALSE)), "OUT OF STOCK", VLOOKUP(D1707,'[2]stock-take'!$G:$K,4,FALSE)))</f>
        <v xml:space="preserve"> </v>
      </c>
      <c r="J1707" s="39">
        <f>IF(ISNA(VLOOKUP(D1707,'[2]stock-take'!$G:$K,3,FALSE)), 0, VLOOKUP(D1707,'[2]stock-take'!$G:$K,3,FALSE))</f>
        <v>0</v>
      </c>
      <c r="K1707" s="49" t="str">
        <f>IF(F1707="", " ", IF(ISNA(VLOOKUP(D1707,'[2]stock-take'!$M:$Q,4,FALSE)), "OUT OF STOCK", VLOOKUP(D1707,'[2]stock-take'!$M:$Q,4,FALSE)))</f>
        <v xml:space="preserve"> </v>
      </c>
      <c r="L1707" s="47">
        <f>IF(ISNA(VLOOKUP(D1707,'[2]stock-take'!$M:$Q,3,FALSE)), 0, VLOOKUP(D1707,'[2]stock-take'!$M:$Q,3,FALSE))</f>
        <v>0</v>
      </c>
      <c r="M1707" s="48" t="str">
        <f t="shared" si="79"/>
        <v xml:space="preserve"> </v>
      </c>
      <c r="N1707" s="39" t="str">
        <f t="shared" si="80"/>
        <v xml:space="preserve"> </v>
      </c>
    </row>
    <row r="1708" spans="1:14">
      <c r="A1708" s="37">
        <f t="shared" si="78"/>
        <v>1697</v>
      </c>
      <c r="G1708" s="48" t="str">
        <f>IF(F1708=""," ",IF(ISNA(VLOOKUP(D1708,'[2]stock-take'!$A:$E,4,FALSE)), "OUT OF STOCK", VLOOKUP(D1708,'[2]stock-take'!$A:$E,4,FALSE)))</f>
        <v xml:space="preserve"> </v>
      </c>
      <c r="H1708" s="48">
        <f>IF(ISNA(VLOOKUP(D1708,'[2]stock-take'!$A:$E,3,FALSE)), 0, VLOOKUP(D1708,'[2]stock-take'!$A:$E,3,FALSE))</f>
        <v>0</v>
      </c>
      <c r="I1708" s="48" t="str">
        <f>IF(F1708="", " ",IF(ISNA(VLOOKUP(D1708,'[2]stock-take'!$G:$K,4,FALSE)), "OUT OF STOCK", VLOOKUP(D1708,'[2]stock-take'!$G:$K,4,FALSE)))</f>
        <v xml:space="preserve"> </v>
      </c>
      <c r="J1708" s="39">
        <f>IF(ISNA(VLOOKUP(D1708,'[2]stock-take'!$G:$K,3,FALSE)), 0, VLOOKUP(D1708,'[2]stock-take'!$G:$K,3,FALSE))</f>
        <v>0</v>
      </c>
      <c r="K1708" s="49" t="str">
        <f>IF(F1708="", " ", IF(ISNA(VLOOKUP(D1708,'[2]stock-take'!$M:$Q,4,FALSE)), "OUT OF STOCK", VLOOKUP(D1708,'[2]stock-take'!$M:$Q,4,FALSE)))</f>
        <v xml:space="preserve"> </v>
      </c>
      <c r="L1708" s="47">
        <f>IF(ISNA(VLOOKUP(D1708,'[2]stock-take'!$M:$Q,3,FALSE)), 0, VLOOKUP(D1708,'[2]stock-take'!$M:$Q,3,FALSE))</f>
        <v>0</v>
      </c>
      <c r="M1708" s="48" t="str">
        <f t="shared" si="79"/>
        <v xml:space="preserve"> </v>
      </c>
      <c r="N1708" s="39" t="str">
        <f t="shared" si="80"/>
        <v xml:space="preserve"> </v>
      </c>
    </row>
    <row r="1709" spans="1:14">
      <c r="A1709" s="37">
        <f t="shared" si="78"/>
        <v>1698</v>
      </c>
      <c r="G1709" s="48" t="str">
        <f>IF(F1709=""," ",IF(ISNA(VLOOKUP(D1709,'[2]stock-take'!$A:$E,4,FALSE)), "OUT OF STOCK", VLOOKUP(D1709,'[2]stock-take'!$A:$E,4,FALSE)))</f>
        <v xml:space="preserve"> </v>
      </c>
      <c r="H1709" s="48">
        <f>IF(ISNA(VLOOKUP(D1709,'[2]stock-take'!$A:$E,3,FALSE)), 0, VLOOKUP(D1709,'[2]stock-take'!$A:$E,3,FALSE))</f>
        <v>0</v>
      </c>
      <c r="I1709" s="48" t="str">
        <f>IF(F1709="", " ",IF(ISNA(VLOOKUP(D1709,'[2]stock-take'!$G:$K,4,FALSE)), "OUT OF STOCK", VLOOKUP(D1709,'[2]stock-take'!$G:$K,4,FALSE)))</f>
        <v xml:space="preserve"> </v>
      </c>
      <c r="J1709" s="39">
        <f>IF(ISNA(VLOOKUP(D1709,'[2]stock-take'!$G:$K,3,FALSE)), 0, VLOOKUP(D1709,'[2]stock-take'!$G:$K,3,FALSE))</f>
        <v>0</v>
      </c>
      <c r="K1709" s="49" t="str">
        <f>IF(F1709="", " ", IF(ISNA(VLOOKUP(D1709,'[2]stock-take'!$M:$Q,4,FALSE)), "OUT OF STOCK", VLOOKUP(D1709,'[2]stock-take'!$M:$Q,4,FALSE)))</f>
        <v xml:space="preserve"> </v>
      </c>
      <c r="L1709" s="47">
        <f>IF(ISNA(VLOOKUP(D1709,'[2]stock-take'!$M:$Q,3,FALSE)), 0, VLOOKUP(D1709,'[2]stock-take'!$M:$Q,3,FALSE))</f>
        <v>0</v>
      </c>
      <c r="M1709" s="48" t="str">
        <f t="shared" si="79"/>
        <v xml:space="preserve"> </v>
      </c>
      <c r="N1709" s="39" t="str">
        <f t="shared" si="80"/>
        <v xml:space="preserve"> </v>
      </c>
    </row>
    <row r="1710" spans="1:14">
      <c r="A1710" s="37">
        <f t="shared" si="78"/>
        <v>1699</v>
      </c>
      <c r="G1710" s="48" t="str">
        <f>IF(F1710=""," ",IF(ISNA(VLOOKUP(D1710,'[2]stock-take'!$A:$E,4,FALSE)), "OUT OF STOCK", VLOOKUP(D1710,'[2]stock-take'!$A:$E,4,FALSE)))</f>
        <v xml:space="preserve"> </v>
      </c>
      <c r="H1710" s="48">
        <f>IF(ISNA(VLOOKUP(D1710,'[2]stock-take'!$A:$E,3,FALSE)), 0, VLOOKUP(D1710,'[2]stock-take'!$A:$E,3,FALSE))</f>
        <v>0</v>
      </c>
      <c r="I1710" s="48" t="str">
        <f>IF(F1710="", " ",IF(ISNA(VLOOKUP(D1710,'[2]stock-take'!$G:$K,4,FALSE)), "OUT OF STOCK", VLOOKUP(D1710,'[2]stock-take'!$G:$K,4,FALSE)))</f>
        <v xml:space="preserve"> </v>
      </c>
      <c r="J1710" s="39">
        <f>IF(ISNA(VLOOKUP(D1710,'[2]stock-take'!$G:$K,3,FALSE)), 0, VLOOKUP(D1710,'[2]stock-take'!$G:$K,3,FALSE))</f>
        <v>0</v>
      </c>
      <c r="K1710" s="49" t="str">
        <f>IF(F1710="", " ", IF(ISNA(VLOOKUP(D1710,'[2]stock-take'!$M:$Q,4,FALSE)), "OUT OF STOCK", VLOOKUP(D1710,'[2]stock-take'!$M:$Q,4,FALSE)))</f>
        <v xml:space="preserve"> </v>
      </c>
      <c r="L1710" s="47">
        <f>IF(ISNA(VLOOKUP(D1710,'[2]stock-take'!$M:$Q,3,FALSE)), 0, VLOOKUP(D1710,'[2]stock-take'!$M:$Q,3,FALSE))</f>
        <v>0</v>
      </c>
      <c r="M1710" s="48" t="str">
        <f t="shared" si="79"/>
        <v xml:space="preserve"> </v>
      </c>
      <c r="N1710" s="39" t="str">
        <f t="shared" si="80"/>
        <v xml:space="preserve"> </v>
      </c>
    </row>
    <row r="1711" spans="1:14">
      <c r="A1711" s="37">
        <f t="shared" si="78"/>
        <v>1700</v>
      </c>
      <c r="G1711" s="48" t="str">
        <f>IF(F1711=""," ",IF(ISNA(VLOOKUP(D1711,'[2]stock-take'!$A:$E,4,FALSE)), "OUT OF STOCK", VLOOKUP(D1711,'[2]stock-take'!$A:$E,4,FALSE)))</f>
        <v xml:space="preserve"> </v>
      </c>
      <c r="H1711" s="48">
        <f>IF(ISNA(VLOOKUP(D1711,'[2]stock-take'!$A:$E,3,FALSE)), 0, VLOOKUP(D1711,'[2]stock-take'!$A:$E,3,FALSE))</f>
        <v>0</v>
      </c>
      <c r="I1711" s="48" t="str">
        <f>IF(F1711="", " ",IF(ISNA(VLOOKUP(D1711,'[2]stock-take'!$G:$K,4,FALSE)), "OUT OF STOCK", VLOOKUP(D1711,'[2]stock-take'!$G:$K,4,FALSE)))</f>
        <v xml:space="preserve"> </v>
      </c>
      <c r="J1711" s="39">
        <f>IF(ISNA(VLOOKUP(D1711,'[2]stock-take'!$G:$K,3,FALSE)), 0, VLOOKUP(D1711,'[2]stock-take'!$G:$K,3,FALSE))</f>
        <v>0</v>
      </c>
      <c r="K1711" s="49" t="str">
        <f>IF(F1711="", " ", IF(ISNA(VLOOKUP(D1711,'[2]stock-take'!$M:$Q,4,FALSE)), "OUT OF STOCK", VLOOKUP(D1711,'[2]stock-take'!$M:$Q,4,FALSE)))</f>
        <v xml:space="preserve"> </v>
      </c>
      <c r="L1711" s="47">
        <f>IF(ISNA(VLOOKUP(D1711,'[2]stock-take'!$M:$Q,3,FALSE)), 0, VLOOKUP(D1711,'[2]stock-take'!$M:$Q,3,FALSE))</f>
        <v>0</v>
      </c>
      <c r="M1711" s="48" t="str">
        <f t="shared" si="79"/>
        <v xml:space="preserve"> </v>
      </c>
      <c r="N1711" s="39" t="str">
        <f t="shared" si="80"/>
        <v xml:space="preserve"> </v>
      </c>
    </row>
    <row r="1712" spans="1:14">
      <c r="A1712" s="37">
        <f t="shared" si="78"/>
        <v>1701</v>
      </c>
      <c r="G1712" s="48" t="str">
        <f>IF(F1712=""," ",IF(ISNA(VLOOKUP(D1712,'[2]stock-take'!$A:$E,4,FALSE)), "OUT OF STOCK", VLOOKUP(D1712,'[2]stock-take'!$A:$E,4,FALSE)))</f>
        <v xml:space="preserve"> </v>
      </c>
      <c r="H1712" s="48">
        <f>IF(ISNA(VLOOKUP(D1712,'[2]stock-take'!$A:$E,3,FALSE)), 0, VLOOKUP(D1712,'[2]stock-take'!$A:$E,3,FALSE))</f>
        <v>0</v>
      </c>
      <c r="I1712" s="48" t="str">
        <f>IF(F1712="", " ",IF(ISNA(VLOOKUP(D1712,'[2]stock-take'!$G:$K,4,FALSE)), "OUT OF STOCK", VLOOKUP(D1712,'[2]stock-take'!$G:$K,4,FALSE)))</f>
        <v xml:space="preserve"> </v>
      </c>
      <c r="J1712" s="39">
        <f>IF(ISNA(VLOOKUP(D1712,'[2]stock-take'!$G:$K,3,FALSE)), 0, VLOOKUP(D1712,'[2]stock-take'!$G:$K,3,FALSE))</f>
        <v>0</v>
      </c>
      <c r="K1712" s="49" t="str">
        <f>IF(F1712="", " ", IF(ISNA(VLOOKUP(D1712,'[2]stock-take'!$M:$Q,4,FALSE)), "OUT OF STOCK", VLOOKUP(D1712,'[2]stock-take'!$M:$Q,4,FALSE)))</f>
        <v xml:space="preserve"> </v>
      </c>
      <c r="L1712" s="47">
        <f>IF(ISNA(VLOOKUP(D1712,'[2]stock-take'!$M:$Q,3,FALSE)), 0, VLOOKUP(D1712,'[2]stock-take'!$M:$Q,3,FALSE))</f>
        <v>0</v>
      </c>
      <c r="M1712" s="48" t="str">
        <f t="shared" si="79"/>
        <v xml:space="preserve"> </v>
      </c>
      <c r="N1712" s="39" t="str">
        <f t="shared" si="80"/>
        <v xml:space="preserve"> </v>
      </c>
    </row>
    <row r="1713" spans="1:14">
      <c r="A1713" s="37">
        <f t="shared" si="78"/>
        <v>1702</v>
      </c>
      <c r="G1713" s="48" t="str">
        <f>IF(F1713=""," ",IF(ISNA(VLOOKUP(D1713,'[2]stock-take'!$A:$E,4,FALSE)), "OUT OF STOCK", VLOOKUP(D1713,'[2]stock-take'!$A:$E,4,FALSE)))</f>
        <v xml:space="preserve"> </v>
      </c>
      <c r="H1713" s="48">
        <f>IF(ISNA(VLOOKUP(D1713,'[2]stock-take'!$A:$E,3,FALSE)), 0, VLOOKUP(D1713,'[2]stock-take'!$A:$E,3,FALSE))</f>
        <v>0</v>
      </c>
      <c r="I1713" s="48" t="str">
        <f>IF(F1713="", " ",IF(ISNA(VLOOKUP(D1713,'[2]stock-take'!$G:$K,4,FALSE)), "OUT OF STOCK", VLOOKUP(D1713,'[2]stock-take'!$G:$K,4,FALSE)))</f>
        <v xml:space="preserve"> </v>
      </c>
      <c r="J1713" s="39">
        <f>IF(ISNA(VLOOKUP(D1713,'[2]stock-take'!$G:$K,3,FALSE)), 0, VLOOKUP(D1713,'[2]stock-take'!$G:$K,3,FALSE))</f>
        <v>0</v>
      </c>
      <c r="K1713" s="49" t="str">
        <f>IF(F1713="", " ", IF(ISNA(VLOOKUP(D1713,'[2]stock-take'!$M:$Q,4,FALSE)), "OUT OF STOCK", VLOOKUP(D1713,'[2]stock-take'!$M:$Q,4,FALSE)))</f>
        <v xml:space="preserve"> </v>
      </c>
      <c r="L1713" s="47">
        <f>IF(ISNA(VLOOKUP(D1713,'[2]stock-take'!$M:$Q,3,FALSE)), 0, VLOOKUP(D1713,'[2]stock-take'!$M:$Q,3,FALSE))</f>
        <v>0</v>
      </c>
      <c r="M1713" s="48" t="str">
        <f t="shared" si="79"/>
        <v xml:space="preserve"> </v>
      </c>
      <c r="N1713" s="39" t="str">
        <f t="shared" si="80"/>
        <v xml:space="preserve"> </v>
      </c>
    </row>
    <row r="1714" spans="1:14">
      <c r="A1714" s="37">
        <f t="shared" si="78"/>
        <v>1703</v>
      </c>
      <c r="G1714" s="48" t="str">
        <f>IF(F1714=""," ",IF(ISNA(VLOOKUP(D1714,'[2]stock-take'!$A:$E,4,FALSE)), "OUT OF STOCK", VLOOKUP(D1714,'[2]stock-take'!$A:$E,4,FALSE)))</f>
        <v xml:space="preserve"> </v>
      </c>
      <c r="H1714" s="48">
        <f>IF(ISNA(VLOOKUP(D1714,'[2]stock-take'!$A:$E,3,FALSE)), 0, VLOOKUP(D1714,'[2]stock-take'!$A:$E,3,FALSE))</f>
        <v>0</v>
      </c>
      <c r="I1714" s="48" t="str">
        <f>IF(F1714="", " ",IF(ISNA(VLOOKUP(D1714,'[2]stock-take'!$G:$K,4,FALSE)), "OUT OF STOCK", VLOOKUP(D1714,'[2]stock-take'!$G:$K,4,FALSE)))</f>
        <v xml:space="preserve"> </v>
      </c>
      <c r="J1714" s="39">
        <f>IF(ISNA(VLOOKUP(D1714,'[2]stock-take'!$G:$K,3,FALSE)), 0, VLOOKUP(D1714,'[2]stock-take'!$G:$K,3,FALSE))</f>
        <v>0</v>
      </c>
      <c r="K1714" s="49" t="str">
        <f>IF(F1714="", " ", IF(ISNA(VLOOKUP(D1714,'[2]stock-take'!$M:$Q,4,FALSE)), "OUT OF STOCK", VLOOKUP(D1714,'[2]stock-take'!$M:$Q,4,FALSE)))</f>
        <v xml:space="preserve"> </v>
      </c>
      <c r="L1714" s="47">
        <f>IF(ISNA(VLOOKUP(D1714,'[2]stock-take'!$M:$Q,3,FALSE)), 0, VLOOKUP(D1714,'[2]stock-take'!$M:$Q,3,FALSE))</f>
        <v>0</v>
      </c>
      <c r="M1714" s="48" t="str">
        <f t="shared" si="79"/>
        <v xml:space="preserve"> </v>
      </c>
      <c r="N1714" s="39" t="str">
        <f t="shared" si="80"/>
        <v xml:space="preserve"> </v>
      </c>
    </row>
    <row r="1715" spans="1:14">
      <c r="A1715" s="37">
        <f t="shared" si="78"/>
        <v>1704</v>
      </c>
      <c r="G1715" s="48" t="str">
        <f>IF(F1715=""," ",IF(ISNA(VLOOKUP(D1715,'[2]stock-take'!$A:$E,4,FALSE)), "OUT OF STOCK", VLOOKUP(D1715,'[2]stock-take'!$A:$E,4,FALSE)))</f>
        <v xml:space="preserve"> </v>
      </c>
      <c r="H1715" s="48">
        <f>IF(ISNA(VLOOKUP(D1715,'[2]stock-take'!$A:$E,3,FALSE)), 0, VLOOKUP(D1715,'[2]stock-take'!$A:$E,3,FALSE))</f>
        <v>0</v>
      </c>
      <c r="I1715" s="48" t="str">
        <f>IF(F1715="", " ",IF(ISNA(VLOOKUP(D1715,'[2]stock-take'!$G:$K,4,FALSE)), "OUT OF STOCK", VLOOKUP(D1715,'[2]stock-take'!$G:$K,4,FALSE)))</f>
        <v xml:space="preserve"> </v>
      </c>
      <c r="J1715" s="39">
        <f>IF(ISNA(VLOOKUP(D1715,'[2]stock-take'!$G:$K,3,FALSE)), 0, VLOOKUP(D1715,'[2]stock-take'!$G:$K,3,FALSE))</f>
        <v>0</v>
      </c>
      <c r="K1715" s="49" t="str">
        <f>IF(F1715="", " ", IF(ISNA(VLOOKUP(D1715,'[2]stock-take'!$M:$Q,4,FALSE)), "OUT OF STOCK", VLOOKUP(D1715,'[2]stock-take'!$M:$Q,4,FALSE)))</f>
        <v xml:space="preserve"> </v>
      </c>
      <c r="L1715" s="47">
        <f>IF(ISNA(VLOOKUP(D1715,'[2]stock-take'!$M:$Q,3,FALSE)), 0, VLOOKUP(D1715,'[2]stock-take'!$M:$Q,3,FALSE))</f>
        <v>0</v>
      </c>
      <c r="M1715" s="48" t="str">
        <f t="shared" si="79"/>
        <v xml:space="preserve"> </v>
      </c>
      <c r="N1715" s="39" t="str">
        <f t="shared" si="80"/>
        <v xml:space="preserve"> </v>
      </c>
    </row>
    <row r="1716" spans="1:14">
      <c r="A1716" s="37">
        <f t="shared" si="78"/>
        <v>1705</v>
      </c>
      <c r="G1716" s="48" t="str">
        <f>IF(F1716=""," ",IF(ISNA(VLOOKUP(D1716,'[2]stock-take'!$A:$E,4,FALSE)), "OUT OF STOCK", VLOOKUP(D1716,'[2]stock-take'!$A:$E,4,FALSE)))</f>
        <v xml:space="preserve"> </v>
      </c>
      <c r="H1716" s="48">
        <f>IF(ISNA(VLOOKUP(D1716,'[2]stock-take'!$A:$E,3,FALSE)), 0, VLOOKUP(D1716,'[2]stock-take'!$A:$E,3,FALSE))</f>
        <v>0</v>
      </c>
      <c r="I1716" s="48" t="str">
        <f>IF(F1716="", " ",IF(ISNA(VLOOKUP(D1716,'[2]stock-take'!$G:$K,4,FALSE)), "OUT OF STOCK", VLOOKUP(D1716,'[2]stock-take'!$G:$K,4,FALSE)))</f>
        <v xml:space="preserve"> </v>
      </c>
      <c r="J1716" s="39">
        <f>IF(ISNA(VLOOKUP(D1716,'[2]stock-take'!$G:$K,3,FALSE)), 0, VLOOKUP(D1716,'[2]stock-take'!$G:$K,3,FALSE))</f>
        <v>0</v>
      </c>
      <c r="K1716" s="49" t="str">
        <f>IF(F1716="", " ", IF(ISNA(VLOOKUP(D1716,'[2]stock-take'!$M:$Q,4,FALSE)), "OUT OF STOCK", VLOOKUP(D1716,'[2]stock-take'!$M:$Q,4,FALSE)))</f>
        <v xml:space="preserve"> </v>
      </c>
      <c r="L1716" s="47">
        <f>IF(ISNA(VLOOKUP(D1716,'[2]stock-take'!$M:$Q,3,FALSE)), 0, VLOOKUP(D1716,'[2]stock-take'!$M:$Q,3,FALSE))</f>
        <v>0</v>
      </c>
      <c r="M1716" s="48" t="str">
        <f t="shared" si="79"/>
        <v xml:space="preserve"> </v>
      </c>
      <c r="N1716" s="39" t="str">
        <f t="shared" si="80"/>
        <v xml:space="preserve"> </v>
      </c>
    </row>
    <row r="1717" spans="1:14">
      <c r="A1717" s="37">
        <f t="shared" si="78"/>
        <v>1706</v>
      </c>
      <c r="G1717" s="48" t="str">
        <f>IF(F1717=""," ",IF(ISNA(VLOOKUP(D1717,'[2]stock-take'!$A:$E,4,FALSE)), "OUT OF STOCK", VLOOKUP(D1717,'[2]stock-take'!$A:$E,4,FALSE)))</f>
        <v xml:space="preserve"> </v>
      </c>
      <c r="H1717" s="48">
        <f>IF(ISNA(VLOOKUP(D1717,'[2]stock-take'!$A:$E,3,FALSE)), 0, VLOOKUP(D1717,'[2]stock-take'!$A:$E,3,FALSE))</f>
        <v>0</v>
      </c>
      <c r="I1717" s="48" t="str">
        <f>IF(F1717="", " ",IF(ISNA(VLOOKUP(D1717,'[2]stock-take'!$G:$K,4,FALSE)), "OUT OF STOCK", VLOOKUP(D1717,'[2]stock-take'!$G:$K,4,FALSE)))</f>
        <v xml:space="preserve"> </v>
      </c>
      <c r="J1717" s="39">
        <f>IF(ISNA(VLOOKUP(D1717,'[2]stock-take'!$G:$K,3,FALSE)), 0, VLOOKUP(D1717,'[2]stock-take'!$G:$K,3,FALSE))</f>
        <v>0</v>
      </c>
      <c r="K1717" s="49" t="str">
        <f>IF(F1717="", " ", IF(ISNA(VLOOKUP(D1717,'[2]stock-take'!$M:$Q,4,FALSE)), "OUT OF STOCK", VLOOKUP(D1717,'[2]stock-take'!$M:$Q,4,FALSE)))</f>
        <v xml:space="preserve"> </v>
      </c>
      <c r="L1717" s="47">
        <f>IF(ISNA(VLOOKUP(D1717,'[2]stock-take'!$M:$Q,3,FALSE)), 0, VLOOKUP(D1717,'[2]stock-take'!$M:$Q,3,FALSE))</f>
        <v>0</v>
      </c>
      <c r="M1717" s="48" t="str">
        <f t="shared" si="79"/>
        <v xml:space="preserve"> </v>
      </c>
      <c r="N1717" s="39" t="str">
        <f t="shared" si="80"/>
        <v xml:space="preserve"> </v>
      </c>
    </row>
    <row r="1718" spans="1:14">
      <c r="A1718" s="37">
        <f t="shared" si="78"/>
        <v>1707</v>
      </c>
      <c r="G1718" s="48" t="str">
        <f>IF(F1718=""," ",IF(ISNA(VLOOKUP(D1718,'[2]stock-take'!$A:$E,4,FALSE)), "OUT OF STOCK", VLOOKUP(D1718,'[2]stock-take'!$A:$E,4,FALSE)))</f>
        <v xml:space="preserve"> </v>
      </c>
      <c r="H1718" s="48">
        <f>IF(ISNA(VLOOKUP(D1718,'[2]stock-take'!$A:$E,3,FALSE)), 0, VLOOKUP(D1718,'[2]stock-take'!$A:$E,3,FALSE))</f>
        <v>0</v>
      </c>
      <c r="I1718" s="48" t="str">
        <f>IF(F1718="", " ",IF(ISNA(VLOOKUP(D1718,'[2]stock-take'!$G:$K,4,FALSE)), "OUT OF STOCK", VLOOKUP(D1718,'[2]stock-take'!$G:$K,4,FALSE)))</f>
        <v xml:space="preserve"> </v>
      </c>
      <c r="J1718" s="39">
        <f>IF(ISNA(VLOOKUP(D1718,'[2]stock-take'!$G:$K,3,FALSE)), 0, VLOOKUP(D1718,'[2]stock-take'!$G:$K,3,FALSE))</f>
        <v>0</v>
      </c>
      <c r="K1718" s="49" t="str">
        <f>IF(F1718="", " ", IF(ISNA(VLOOKUP(D1718,'[2]stock-take'!$M:$Q,4,FALSE)), "OUT OF STOCK", VLOOKUP(D1718,'[2]stock-take'!$M:$Q,4,FALSE)))</f>
        <v xml:space="preserve"> </v>
      </c>
      <c r="L1718" s="47">
        <f>IF(ISNA(VLOOKUP(D1718,'[2]stock-take'!$M:$Q,3,FALSE)), 0, VLOOKUP(D1718,'[2]stock-take'!$M:$Q,3,FALSE))</f>
        <v>0</v>
      </c>
      <c r="M1718" s="48" t="str">
        <f t="shared" si="79"/>
        <v xml:space="preserve"> </v>
      </c>
      <c r="N1718" s="39" t="str">
        <f t="shared" si="80"/>
        <v xml:space="preserve"> </v>
      </c>
    </row>
    <row r="1719" spans="1:14">
      <c r="A1719" s="37">
        <f t="shared" si="78"/>
        <v>1708</v>
      </c>
      <c r="G1719" s="48" t="str">
        <f>IF(F1719=""," ",IF(ISNA(VLOOKUP(D1719,'[2]stock-take'!$A:$E,4,FALSE)), "OUT OF STOCK", VLOOKUP(D1719,'[2]stock-take'!$A:$E,4,FALSE)))</f>
        <v xml:space="preserve"> </v>
      </c>
      <c r="H1719" s="48">
        <f>IF(ISNA(VLOOKUP(D1719,'[2]stock-take'!$A:$E,3,FALSE)), 0, VLOOKUP(D1719,'[2]stock-take'!$A:$E,3,FALSE))</f>
        <v>0</v>
      </c>
      <c r="I1719" s="48" t="str">
        <f>IF(F1719="", " ",IF(ISNA(VLOOKUP(D1719,'[2]stock-take'!$G:$K,4,FALSE)), "OUT OF STOCK", VLOOKUP(D1719,'[2]stock-take'!$G:$K,4,FALSE)))</f>
        <v xml:space="preserve"> </v>
      </c>
      <c r="J1719" s="39">
        <f>IF(ISNA(VLOOKUP(D1719,'[2]stock-take'!$G:$K,3,FALSE)), 0, VLOOKUP(D1719,'[2]stock-take'!$G:$K,3,FALSE))</f>
        <v>0</v>
      </c>
      <c r="K1719" s="49" t="str">
        <f>IF(F1719="", " ", IF(ISNA(VLOOKUP(D1719,'[2]stock-take'!$M:$Q,4,FALSE)), "OUT OF STOCK", VLOOKUP(D1719,'[2]stock-take'!$M:$Q,4,FALSE)))</f>
        <v xml:space="preserve"> </v>
      </c>
      <c r="L1719" s="47">
        <f>IF(ISNA(VLOOKUP(D1719,'[2]stock-take'!$M:$Q,3,FALSE)), 0, VLOOKUP(D1719,'[2]stock-take'!$M:$Q,3,FALSE))</f>
        <v>0</v>
      </c>
      <c r="M1719" s="48" t="str">
        <f t="shared" si="79"/>
        <v xml:space="preserve"> </v>
      </c>
      <c r="N1719" s="39" t="str">
        <f t="shared" si="80"/>
        <v xml:space="preserve"> </v>
      </c>
    </row>
    <row r="1720" spans="1:14">
      <c r="A1720" s="37">
        <f t="shared" si="78"/>
        <v>1709</v>
      </c>
      <c r="G1720" s="48" t="str">
        <f>IF(F1720=""," ",IF(ISNA(VLOOKUP(D1720,'[2]stock-take'!$A:$E,4,FALSE)), "OUT OF STOCK", VLOOKUP(D1720,'[2]stock-take'!$A:$E,4,FALSE)))</f>
        <v xml:space="preserve"> </v>
      </c>
      <c r="H1720" s="48">
        <f>IF(ISNA(VLOOKUP(D1720,'[2]stock-take'!$A:$E,3,FALSE)), 0, VLOOKUP(D1720,'[2]stock-take'!$A:$E,3,FALSE))</f>
        <v>0</v>
      </c>
      <c r="I1720" s="48" t="str">
        <f>IF(F1720="", " ",IF(ISNA(VLOOKUP(D1720,'[2]stock-take'!$G:$K,4,FALSE)), "OUT OF STOCK", VLOOKUP(D1720,'[2]stock-take'!$G:$K,4,FALSE)))</f>
        <v xml:space="preserve"> </v>
      </c>
      <c r="J1720" s="39">
        <f>IF(ISNA(VLOOKUP(D1720,'[2]stock-take'!$G:$K,3,FALSE)), 0, VLOOKUP(D1720,'[2]stock-take'!$G:$K,3,FALSE))</f>
        <v>0</v>
      </c>
      <c r="K1720" s="49" t="str">
        <f>IF(F1720="", " ", IF(ISNA(VLOOKUP(D1720,'[2]stock-take'!$M:$Q,4,FALSE)), "OUT OF STOCK", VLOOKUP(D1720,'[2]stock-take'!$M:$Q,4,FALSE)))</f>
        <v xml:space="preserve"> </v>
      </c>
      <c r="L1720" s="47">
        <f>IF(ISNA(VLOOKUP(D1720,'[2]stock-take'!$M:$Q,3,FALSE)), 0, VLOOKUP(D1720,'[2]stock-take'!$M:$Q,3,FALSE))</f>
        <v>0</v>
      </c>
      <c r="M1720" s="48" t="str">
        <f t="shared" si="79"/>
        <v xml:space="preserve"> </v>
      </c>
      <c r="N1720" s="39" t="str">
        <f t="shared" si="80"/>
        <v xml:space="preserve"> </v>
      </c>
    </row>
    <row r="1721" spans="1:14">
      <c r="A1721" s="37">
        <f t="shared" si="78"/>
        <v>1710</v>
      </c>
      <c r="G1721" s="48" t="str">
        <f>IF(F1721=""," ",IF(ISNA(VLOOKUP(D1721,'[2]stock-take'!$A:$E,4,FALSE)), "OUT OF STOCK", VLOOKUP(D1721,'[2]stock-take'!$A:$E,4,FALSE)))</f>
        <v xml:space="preserve"> </v>
      </c>
      <c r="H1721" s="48">
        <f>IF(ISNA(VLOOKUP(D1721,'[2]stock-take'!$A:$E,3,FALSE)), 0, VLOOKUP(D1721,'[2]stock-take'!$A:$E,3,FALSE))</f>
        <v>0</v>
      </c>
      <c r="I1721" s="48" t="str">
        <f>IF(F1721="", " ",IF(ISNA(VLOOKUP(D1721,'[2]stock-take'!$G:$K,4,FALSE)), "OUT OF STOCK", VLOOKUP(D1721,'[2]stock-take'!$G:$K,4,FALSE)))</f>
        <v xml:space="preserve"> </v>
      </c>
      <c r="J1721" s="39">
        <f>IF(ISNA(VLOOKUP(D1721,'[2]stock-take'!$G:$K,3,FALSE)), 0, VLOOKUP(D1721,'[2]stock-take'!$G:$K,3,FALSE))</f>
        <v>0</v>
      </c>
      <c r="K1721" s="49" t="str">
        <f>IF(F1721="", " ", IF(ISNA(VLOOKUP(D1721,'[2]stock-take'!$M:$Q,4,FALSE)), "OUT OF STOCK", VLOOKUP(D1721,'[2]stock-take'!$M:$Q,4,FALSE)))</f>
        <v xml:space="preserve"> </v>
      </c>
      <c r="L1721" s="47">
        <f>IF(ISNA(VLOOKUP(D1721,'[2]stock-take'!$M:$Q,3,FALSE)), 0, VLOOKUP(D1721,'[2]stock-take'!$M:$Q,3,FALSE))</f>
        <v>0</v>
      </c>
      <c r="M1721" s="48" t="str">
        <f t="shared" si="79"/>
        <v xml:space="preserve"> </v>
      </c>
      <c r="N1721" s="39" t="str">
        <f t="shared" si="80"/>
        <v xml:space="preserve"> </v>
      </c>
    </row>
    <row r="1722" spans="1:14">
      <c r="A1722" s="37">
        <f t="shared" si="78"/>
        <v>1711</v>
      </c>
      <c r="G1722" s="48" t="str">
        <f>IF(F1722=""," ",IF(ISNA(VLOOKUP(D1722,'[2]stock-take'!$A:$E,4,FALSE)), "OUT OF STOCK", VLOOKUP(D1722,'[2]stock-take'!$A:$E,4,FALSE)))</f>
        <v xml:space="preserve"> </v>
      </c>
      <c r="H1722" s="48">
        <f>IF(ISNA(VLOOKUP(D1722,'[2]stock-take'!$A:$E,3,FALSE)), 0, VLOOKUP(D1722,'[2]stock-take'!$A:$E,3,FALSE))</f>
        <v>0</v>
      </c>
      <c r="I1722" s="48" t="str">
        <f>IF(F1722="", " ",IF(ISNA(VLOOKUP(D1722,'[2]stock-take'!$G:$K,4,FALSE)), "OUT OF STOCK", VLOOKUP(D1722,'[2]stock-take'!$G:$K,4,FALSE)))</f>
        <v xml:space="preserve"> </v>
      </c>
      <c r="J1722" s="39">
        <f>IF(ISNA(VLOOKUP(D1722,'[2]stock-take'!$G:$K,3,FALSE)), 0, VLOOKUP(D1722,'[2]stock-take'!$G:$K,3,FALSE))</f>
        <v>0</v>
      </c>
      <c r="K1722" s="49" t="str">
        <f>IF(F1722="", " ", IF(ISNA(VLOOKUP(D1722,'[2]stock-take'!$M:$Q,4,FALSE)), "OUT OF STOCK", VLOOKUP(D1722,'[2]stock-take'!$M:$Q,4,FALSE)))</f>
        <v xml:space="preserve"> </v>
      </c>
      <c r="L1722" s="47">
        <f>IF(ISNA(VLOOKUP(D1722,'[2]stock-take'!$M:$Q,3,FALSE)), 0, VLOOKUP(D1722,'[2]stock-take'!$M:$Q,3,FALSE))</f>
        <v>0</v>
      </c>
      <c r="M1722" s="48" t="str">
        <f t="shared" si="79"/>
        <v xml:space="preserve"> </v>
      </c>
      <c r="N1722" s="39" t="str">
        <f t="shared" si="80"/>
        <v xml:space="preserve"> </v>
      </c>
    </row>
    <row r="1723" spans="1:14">
      <c r="A1723" s="37">
        <f t="shared" si="78"/>
        <v>1712</v>
      </c>
      <c r="G1723" s="48" t="str">
        <f>IF(F1723=""," ",IF(ISNA(VLOOKUP(D1723,'[2]stock-take'!$A:$E,4,FALSE)), "OUT OF STOCK", VLOOKUP(D1723,'[2]stock-take'!$A:$E,4,FALSE)))</f>
        <v xml:space="preserve"> </v>
      </c>
      <c r="H1723" s="48">
        <f>IF(ISNA(VLOOKUP(D1723,'[2]stock-take'!$A:$E,3,FALSE)), 0, VLOOKUP(D1723,'[2]stock-take'!$A:$E,3,FALSE))</f>
        <v>0</v>
      </c>
      <c r="I1723" s="48" t="str">
        <f>IF(F1723="", " ",IF(ISNA(VLOOKUP(D1723,'[2]stock-take'!$G:$K,4,FALSE)), "OUT OF STOCK", VLOOKUP(D1723,'[2]stock-take'!$G:$K,4,FALSE)))</f>
        <v xml:space="preserve"> </v>
      </c>
      <c r="J1723" s="39">
        <f>IF(ISNA(VLOOKUP(D1723,'[2]stock-take'!$G:$K,3,FALSE)), 0, VLOOKUP(D1723,'[2]stock-take'!$G:$K,3,FALSE))</f>
        <v>0</v>
      </c>
      <c r="K1723" s="49" t="str">
        <f>IF(F1723="", " ", IF(ISNA(VLOOKUP(D1723,'[2]stock-take'!$M:$Q,4,FALSE)), "OUT OF STOCK", VLOOKUP(D1723,'[2]stock-take'!$M:$Q,4,FALSE)))</f>
        <v xml:space="preserve"> </v>
      </c>
      <c r="L1723" s="47">
        <f>IF(ISNA(VLOOKUP(D1723,'[2]stock-take'!$M:$Q,3,FALSE)), 0, VLOOKUP(D1723,'[2]stock-take'!$M:$Q,3,FALSE))</f>
        <v>0</v>
      </c>
      <c r="M1723" s="48" t="str">
        <f t="shared" si="79"/>
        <v xml:space="preserve"> </v>
      </c>
      <c r="N1723" s="39" t="str">
        <f t="shared" si="80"/>
        <v xml:space="preserve"> </v>
      </c>
    </row>
    <row r="1724" spans="1:14">
      <c r="A1724" s="37">
        <f t="shared" si="78"/>
        <v>1713</v>
      </c>
      <c r="G1724" s="48" t="str">
        <f>IF(F1724=""," ",IF(ISNA(VLOOKUP(D1724,'[2]stock-take'!$A:$E,4,FALSE)), "OUT OF STOCK", VLOOKUP(D1724,'[2]stock-take'!$A:$E,4,FALSE)))</f>
        <v xml:space="preserve"> </v>
      </c>
      <c r="H1724" s="48">
        <f>IF(ISNA(VLOOKUP(D1724,'[2]stock-take'!$A:$E,3,FALSE)), 0, VLOOKUP(D1724,'[2]stock-take'!$A:$E,3,FALSE))</f>
        <v>0</v>
      </c>
      <c r="I1724" s="48" t="str">
        <f>IF(F1724="", " ",IF(ISNA(VLOOKUP(D1724,'[2]stock-take'!$G:$K,4,FALSE)), "OUT OF STOCK", VLOOKUP(D1724,'[2]stock-take'!$G:$K,4,FALSE)))</f>
        <v xml:space="preserve"> </v>
      </c>
      <c r="J1724" s="39">
        <f>IF(ISNA(VLOOKUP(D1724,'[2]stock-take'!$G:$K,3,FALSE)), 0, VLOOKUP(D1724,'[2]stock-take'!$G:$K,3,FALSE))</f>
        <v>0</v>
      </c>
      <c r="K1724" s="49" t="str">
        <f>IF(F1724="", " ", IF(ISNA(VLOOKUP(D1724,'[2]stock-take'!$M:$Q,4,FALSE)), "OUT OF STOCK", VLOOKUP(D1724,'[2]stock-take'!$M:$Q,4,FALSE)))</f>
        <v xml:space="preserve"> </v>
      </c>
      <c r="L1724" s="47">
        <f>IF(ISNA(VLOOKUP(D1724,'[2]stock-take'!$M:$Q,3,FALSE)), 0, VLOOKUP(D1724,'[2]stock-take'!$M:$Q,3,FALSE))</f>
        <v>0</v>
      </c>
      <c r="M1724" s="48" t="str">
        <f t="shared" si="79"/>
        <v xml:space="preserve"> </v>
      </c>
      <c r="N1724" s="39" t="str">
        <f t="shared" si="80"/>
        <v xml:space="preserve"> </v>
      </c>
    </row>
    <row r="1725" spans="1:14">
      <c r="A1725" s="37">
        <f t="shared" si="78"/>
        <v>1714</v>
      </c>
      <c r="G1725" s="48" t="str">
        <f>IF(F1725=""," ",IF(ISNA(VLOOKUP(D1725,'[2]stock-take'!$A:$E,4,FALSE)), "OUT OF STOCK", VLOOKUP(D1725,'[2]stock-take'!$A:$E,4,FALSE)))</f>
        <v xml:space="preserve"> </v>
      </c>
      <c r="H1725" s="48">
        <f>IF(ISNA(VLOOKUP(D1725,'[2]stock-take'!$A:$E,3,FALSE)), 0, VLOOKUP(D1725,'[2]stock-take'!$A:$E,3,FALSE))</f>
        <v>0</v>
      </c>
      <c r="I1725" s="48" t="str">
        <f>IF(F1725="", " ",IF(ISNA(VLOOKUP(D1725,'[2]stock-take'!$G:$K,4,FALSE)), "OUT OF STOCK", VLOOKUP(D1725,'[2]stock-take'!$G:$K,4,FALSE)))</f>
        <v xml:space="preserve"> </v>
      </c>
      <c r="J1725" s="39">
        <f>IF(ISNA(VLOOKUP(D1725,'[2]stock-take'!$G:$K,3,FALSE)), 0, VLOOKUP(D1725,'[2]stock-take'!$G:$K,3,FALSE))</f>
        <v>0</v>
      </c>
      <c r="K1725" s="49" t="str">
        <f>IF(F1725="", " ", IF(ISNA(VLOOKUP(D1725,'[2]stock-take'!$M:$Q,4,FALSE)), "OUT OF STOCK", VLOOKUP(D1725,'[2]stock-take'!$M:$Q,4,FALSE)))</f>
        <v xml:space="preserve"> </v>
      </c>
      <c r="L1725" s="47">
        <f>IF(ISNA(VLOOKUP(D1725,'[2]stock-take'!$M:$Q,3,FALSE)), 0, VLOOKUP(D1725,'[2]stock-take'!$M:$Q,3,FALSE))</f>
        <v>0</v>
      </c>
      <c r="M1725" s="48" t="str">
        <f t="shared" si="79"/>
        <v xml:space="preserve"> </v>
      </c>
      <c r="N1725" s="39" t="str">
        <f t="shared" si="80"/>
        <v xml:space="preserve"> </v>
      </c>
    </row>
    <row r="1726" spans="1:14">
      <c r="A1726" s="37">
        <f t="shared" si="78"/>
        <v>1715</v>
      </c>
      <c r="G1726" s="48" t="str">
        <f>IF(F1726=""," ",IF(ISNA(VLOOKUP(D1726,'[2]stock-take'!$A:$E,4,FALSE)), "OUT OF STOCK", VLOOKUP(D1726,'[2]stock-take'!$A:$E,4,FALSE)))</f>
        <v xml:space="preserve"> </v>
      </c>
      <c r="H1726" s="48">
        <f>IF(ISNA(VLOOKUP(D1726,'[2]stock-take'!$A:$E,3,FALSE)), 0, VLOOKUP(D1726,'[2]stock-take'!$A:$E,3,FALSE))</f>
        <v>0</v>
      </c>
      <c r="I1726" s="48" t="str">
        <f>IF(F1726="", " ",IF(ISNA(VLOOKUP(D1726,'[2]stock-take'!$G:$K,4,FALSE)), "OUT OF STOCK", VLOOKUP(D1726,'[2]stock-take'!$G:$K,4,FALSE)))</f>
        <v xml:space="preserve"> </v>
      </c>
      <c r="J1726" s="39">
        <f>IF(ISNA(VLOOKUP(D1726,'[2]stock-take'!$G:$K,3,FALSE)), 0, VLOOKUP(D1726,'[2]stock-take'!$G:$K,3,FALSE))</f>
        <v>0</v>
      </c>
      <c r="K1726" s="49" t="str">
        <f>IF(F1726="", " ", IF(ISNA(VLOOKUP(D1726,'[2]stock-take'!$M:$Q,4,FALSE)), "OUT OF STOCK", VLOOKUP(D1726,'[2]stock-take'!$M:$Q,4,FALSE)))</f>
        <v xml:space="preserve"> </v>
      </c>
      <c r="L1726" s="47">
        <f>IF(ISNA(VLOOKUP(D1726,'[2]stock-take'!$M:$Q,3,FALSE)), 0, VLOOKUP(D1726,'[2]stock-take'!$M:$Q,3,FALSE))</f>
        <v>0</v>
      </c>
      <c r="M1726" s="48" t="str">
        <f t="shared" si="79"/>
        <v xml:space="preserve"> </v>
      </c>
      <c r="N1726" s="39" t="str">
        <f t="shared" si="80"/>
        <v xml:space="preserve"> </v>
      </c>
    </row>
    <row r="1727" spans="1:14">
      <c r="A1727" s="37">
        <f t="shared" si="78"/>
        <v>1716</v>
      </c>
      <c r="G1727" s="48" t="str">
        <f>IF(F1727=""," ",IF(ISNA(VLOOKUP(D1727,'[2]stock-take'!$A:$E,4,FALSE)), "OUT OF STOCK", VLOOKUP(D1727,'[2]stock-take'!$A:$E,4,FALSE)))</f>
        <v xml:space="preserve"> </v>
      </c>
      <c r="H1727" s="48">
        <f>IF(ISNA(VLOOKUP(D1727,'[2]stock-take'!$A:$E,3,FALSE)), 0, VLOOKUP(D1727,'[2]stock-take'!$A:$E,3,FALSE))</f>
        <v>0</v>
      </c>
      <c r="I1727" s="48" t="str">
        <f>IF(F1727="", " ",IF(ISNA(VLOOKUP(D1727,'[2]stock-take'!$G:$K,4,FALSE)), "OUT OF STOCK", VLOOKUP(D1727,'[2]stock-take'!$G:$K,4,FALSE)))</f>
        <v xml:space="preserve"> </v>
      </c>
      <c r="J1727" s="39">
        <f>IF(ISNA(VLOOKUP(D1727,'[2]stock-take'!$G:$K,3,FALSE)), 0, VLOOKUP(D1727,'[2]stock-take'!$G:$K,3,FALSE))</f>
        <v>0</v>
      </c>
      <c r="K1727" s="49" t="str">
        <f>IF(F1727="", " ", IF(ISNA(VLOOKUP(D1727,'[2]stock-take'!$M:$Q,4,FALSE)), "OUT OF STOCK", VLOOKUP(D1727,'[2]stock-take'!$M:$Q,4,FALSE)))</f>
        <v xml:space="preserve"> </v>
      </c>
      <c r="L1727" s="47">
        <f>IF(ISNA(VLOOKUP(D1727,'[2]stock-take'!$M:$Q,3,FALSE)), 0, VLOOKUP(D1727,'[2]stock-take'!$M:$Q,3,FALSE))</f>
        <v>0</v>
      </c>
      <c r="M1727" s="48" t="str">
        <f t="shared" si="79"/>
        <v xml:space="preserve"> </v>
      </c>
      <c r="N1727" s="39" t="str">
        <f t="shared" si="80"/>
        <v xml:space="preserve"> </v>
      </c>
    </row>
    <row r="1728" spans="1:14">
      <c r="A1728" s="37">
        <f t="shared" si="78"/>
        <v>1717</v>
      </c>
      <c r="G1728" s="48" t="str">
        <f>IF(F1728=""," ",IF(ISNA(VLOOKUP(D1728,'[2]stock-take'!$A:$E,4,FALSE)), "OUT OF STOCK", VLOOKUP(D1728,'[2]stock-take'!$A:$E,4,FALSE)))</f>
        <v xml:space="preserve"> </v>
      </c>
      <c r="H1728" s="48">
        <f>IF(ISNA(VLOOKUP(D1728,'[2]stock-take'!$A:$E,3,FALSE)), 0, VLOOKUP(D1728,'[2]stock-take'!$A:$E,3,FALSE))</f>
        <v>0</v>
      </c>
      <c r="I1728" s="48" t="str">
        <f>IF(F1728="", " ",IF(ISNA(VLOOKUP(D1728,'[2]stock-take'!$G:$K,4,FALSE)), "OUT OF STOCK", VLOOKUP(D1728,'[2]stock-take'!$G:$K,4,FALSE)))</f>
        <v xml:space="preserve"> </v>
      </c>
      <c r="J1728" s="39">
        <f>IF(ISNA(VLOOKUP(D1728,'[2]stock-take'!$G:$K,3,FALSE)), 0, VLOOKUP(D1728,'[2]stock-take'!$G:$K,3,FALSE))</f>
        <v>0</v>
      </c>
      <c r="K1728" s="49" t="str">
        <f>IF(F1728="", " ", IF(ISNA(VLOOKUP(D1728,'[2]stock-take'!$M:$Q,4,FALSE)), "OUT OF STOCK", VLOOKUP(D1728,'[2]stock-take'!$M:$Q,4,FALSE)))</f>
        <v xml:space="preserve"> </v>
      </c>
      <c r="L1728" s="47">
        <f>IF(ISNA(VLOOKUP(D1728,'[2]stock-take'!$M:$Q,3,FALSE)), 0, VLOOKUP(D1728,'[2]stock-take'!$M:$Q,3,FALSE))</f>
        <v>0</v>
      </c>
      <c r="M1728" s="48" t="str">
        <f t="shared" si="79"/>
        <v xml:space="preserve"> </v>
      </c>
      <c r="N1728" s="39" t="str">
        <f t="shared" si="80"/>
        <v xml:space="preserve"> </v>
      </c>
    </row>
    <row r="1729" spans="1:14">
      <c r="A1729" s="37">
        <f t="shared" si="78"/>
        <v>1718</v>
      </c>
      <c r="G1729" s="48" t="str">
        <f>IF(F1729=""," ",IF(ISNA(VLOOKUP(D1729,'[2]stock-take'!$A:$E,4,FALSE)), "OUT OF STOCK", VLOOKUP(D1729,'[2]stock-take'!$A:$E,4,FALSE)))</f>
        <v xml:space="preserve"> </v>
      </c>
      <c r="H1729" s="48">
        <f>IF(ISNA(VLOOKUP(D1729,'[2]stock-take'!$A:$E,3,FALSE)), 0, VLOOKUP(D1729,'[2]stock-take'!$A:$E,3,FALSE))</f>
        <v>0</v>
      </c>
      <c r="I1729" s="48" t="str">
        <f>IF(F1729="", " ",IF(ISNA(VLOOKUP(D1729,'[2]stock-take'!$G:$K,4,FALSE)), "OUT OF STOCK", VLOOKUP(D1729,'[2]stock-take'!$G:$K,4,FALSE)))</f>
        <v xml:space="preserve"> </v>
      </c>
      <c r="J1729" s="39">
        <f>IF(ISNA(VLOOKUP(D1729,'[2]stock-take'!$G:$K,3,FALSE)), 0, VLOOKUP(D1729,'[2]stock-take'!$G:$K,3,FALSE))</f>
        <v>0</v>
      </c>
      <c r="K1729" s="49" t="str">
        <f>IF(F1729="", " ", IF(ISNA(VLOOKUP(D1729,'[2]stock-take'!$M:$Q,4,FALSE)), "OUT OF STOCK", VLOOKUP(D1729,'[2]stock-take'!$M:$Q,4,FALSE)))</f>
        <v xml:space="preserve"> </v>
      </c>
      <c r="L1729" s="47">
        <f>IF(ISNA(VLOOKUP(D1729,'[2]stock-take'!$M:$Q,3,FALSE)), 0, VLOOKUP(D1729,'[2]stock-take'!$M:$Q,3,FALSE))</f>
        <v>0</v>
      </c>
      <c r="M1729" s="48" t="str">
        <f t="shared" si="79"/>
        <v xml:space="preserve"> </v>
      </c>
      <c r="N1729" s="39" t="str">
        <f t="shared" si="80"/>
        <v xml:space="preserve"> </v>
      </c>
    </row>
    <row r="1730" spans="1:14">
      <c r="A1730" s="37">
        <f t="shared" si="78"/>
        <v>1719</v>
      </c>
      <c r="G1730" s="48" t="str">
        <f>IF(F1730=""," ",IF(ISNA(VLOOKUP(D1730,'[2]stock-take'!$A:$E,4,FALSE)), "OUT OF STOCK", VLOOKUP(D1730,'[2]stock-take'!$A:$E,4,FALSE)))</f>
        <v xml:space="preserve"> </v>
      </c>
      <c r="H1730" s="48">
        <f>IF(ISNA(VLOOKUP(D1730,'[2]stock-take'!$A:$E,3,FALSE)), 0, VLOOKUP(D1730,'[2]stock-take'!$A:$E,3,FALSE))</f>
        <v>0</v>
      </c>
      <c r="I1730" s="48" t="str">
        <f>IF(F1730="", " ",IF(ISNA(VLOOKUP(D1730,'[2]stock-take'!$G:$K,4,FALSE)), "OUT OF STOCK", VLOOKUP(D1730,'[2]stock-take'!$G:$K,4,FALSE)))</f>
        <v xml:space="preserve"> </v>
      </c>
      <c r="J1730" s="39">
        <f>IF(ISNA(VLOOKUP(D1730,'[2]stock-take'!$G:$K,3,FALSE)), 0, VLOOKUP(D1730,'[2]stock-take'!$G:$K,3,FALSE))</f>
        <v>0</v>
      </c>
      <c r="K1730" s="49" t="str">
        <f>IF(F1730="", " ", IF(ISNA(VLOOKUP(D1730,'[2]stock-take'!$M:$Q,4,FALSE)), "OUT OF STOCK", VLOOKUP(D1730,'[2]stock-take'!$M:$Q,4,FALSE)))</f>
        <v xml:space="preserve"> </v>
      </c>
      <c r="L1730" s="47">
        <f>IF(ISNA(VLOOKUP(D1730,'[2]stock-take'!$M:$Q,3,FALSE)), 0, VLOOKUP(D1730,'[2]stock-take'!$M:$Q,3,FALSE))</f>
        <v>0</v>
      </c>
      <c r="M1730" s="48" t="str">
        <f t="shared" si="79"/>
        <v xml:space="preserve"> </v>
      </c>
      <c r="N1730" s="39" t="str">
        <f t="shared" si="80"/>
        <v xml:space="preserve"> </v>
      </c>
    </row>
    <row r="1731" spans="1:14">
      <c r="A1731" s="37">
        <f t="shared" si="78"/>
        <v>1720</v>
      </c>
      <c r="G1731" s="48" t="str">
        <f>IF(F1731=""," ",IF(ISNA(VLOOKUP(D1731,'[2]stock-take'!$A:$E,4,FALSE)), "OUT OF STOCK", VLOOKUP(D1731,'[2]stock-take'!$A:$E,4,FALSE)))</f>
        <v xml:space="preserve"> </v>
      </c>
      <c r="H1731" s="48">
        <f>IF(ISNA(VLOOKUP(D1731,'[2]stock-take'!$A:$E,3,FALSE)), 0, VLOOKUP(D1731,'[2]stock-take'!$A:$E,3,FALSE))</f>
        <v>0</v>
      </c>
      <c r="I1731" s="48" t="str">
        <f>IF(F1731="", " ",IF(ISNA(VLOOKUP(D1731,'[2]stock-take'!$G:$K,4,FALSE)), "OUT OF STOCK", VLOOKUP(D1731,'[2]stock-take'!$G:$K,4,FALSE)))</f>
        <v xml:space="preserve"> </v>
      </c>
      <c r="J1731" s="39">
        <f>IF(ISNA(VLOOKUP(D1731,'[2]stock-take'!$G:$K,3,FALSE)), 0, VLOOKUP(D1731,'[2]stock-take'!$G:$K,3,FALSE))</f>
        <v>0</v>
      </c>
      <c r="K1731" s="49" t="str">
        <f>IF(F1731="", " ", IF(ISNA(VLOOKUP(D1731,'[2]stock-take'!$M:$Q,4,FALSE)), "OUT OF STOCK", VLOOKUP(D1731,'[2]stock-take'!$M:$Q,4,FALSE)))</f>
        <v xml:space="preserve"> </v>
      </c>
      <c r="L1731" s="47">
        <f>IF(ISNA(VLOOKUP(D1731,'[2]stock-take'!$M:$Q,3,FALSE)), 0, VLOOKUP(D1731,'[2]stock-take'!$M:$Q,3,FALSE))</f>
        <v>0</v>
      </c>
      <c r="M1731" s="48" t="str">
        <f t="shared" si="79"/>
        <v xml:space="preserve"> </v>
      </c>
      <c r="N1731" s="39" t="str">
        <f t="shared" si="80"/>
        <v xml:space="preserve"> </v>
      </c>
    </row>
    <row r="1732" spans="1:14">
      <c r="A1732" s="37">
        <f t="shared" si="78"/>
        <v>1721</v>
      </c>
      <c r="G1732" s="48" t="str">
        <f>IF(F1732=""," ",IF(ISNA(VLOOKUP(D1732,'[2]stock-take'!$A:$E,4,FALSE)), "OUT OF STOCK", VLOOKUP(D1732,'[2]stock-take'!$A:$E,4,FALSE)))</f>
        <v xml:space="preserve"> </v>
      </c>
      <c r="H1732" s="48">
        <f>IF(ISNA(VLOOKUP(D1732,'[2]stock-take'!$A:$E,3,FALSE)), 0, VLOOKUP(D1732,'[2]stock-take'!$A:$E,3,FALSE))</f>
        <v>0</v>
      </c>
      <c r="I1732" s="48" t="str">
        <f>IF(F1732="", " ",IF(ISNA(VLOOKUP(D1732,'[2]stock-take'!$G:$K,4,FALSE)), "OUT OF STOCK", VLOOKUP(D1732,'[2]stock-take'!$G:$K,4,FALSE)))</f>
        <v xml:space="preserve"> </v>
      </c>
      <c r="J1732" s="39">
        <f>IF(ISNA(VLOOKUP(D1732,'[2]stock-take'!$G:$K,3,FALSE)), 0, VLOOKUP(D1732,'[2]stock-take'!$G:$K,3,FALSE))</f>
        <v>0</v>
      </c>
      <c r="K1732" s="49" t="str">
        <f>IF(F1732="", " ", IF(ISNA(VLOOKUP(D1732,'[2]stock-take'!$M:$Q,4,FALSE)), "OUT OF STOCK", VLOOKUP(D1732,'[2]stock-take'!$M:$Q,4,FALSE)))</f>
        <v xml:space="preserve"> </v>
      </c>
      <c r="L1732" s="47">
        <f>IF(ISNA(VLOOKUP(D1732,'[2]stock-take'!$M:$Q,3,FALSE)), 0, VLOOKUP(D1732,'[2]stock-take'!$M:$Q,3,FALSE))</f>
        <v>0</v>
      </c>
      <c r="M1732" s="48" t="str">
        <f t="shared" si="79"/>
        <v xml:space="preserve"> </v>
      </c>
      <c r="N1732" s="39" t="str">
        <f t="shared" si="80"/>
        <v xml:space="preserve"> </v>
      </c>
    </row>
    <row r="1733" spans="1:14">
      <c r="A1733" s="37">
        <f t="shared" si="78"/>
        <v>1722</v>
      </c>
      <c r="G1733" s="48" t="str">
        <f>IF(F1733=""," ",IF(ISNA(VLOOKUP(D1733,'[2]stock-take'!$A:$E,4,FALSE)), "OUT OF STOCK", VLOOKUP(D1733,'[2]stock-take'!$A:$E,4,FALSE)))</f>
        <v xml:space="preserve"> </v>
      </c>
      <c r="H1733" s="48">
        <f>IF(ISNA(VLOOKUP(D1733,'[2]stock-take'!$A:$E,3,FALSE)), 0, VLOOKUP(D1733,'[2]stock-take'!$A:$E,3,FALSE))</f>
        <v>0</v>
      </c>
      <c r="I1733" s="48" t="str">
        <f>IF(F1733="", " ",IF(ISNA(VLOOKUP(D1733,'[2]stock-take'!$G:$K,4,FALSE)), "OUT OF STOCK", VLOOKUP(D1733,'[2]stock-take'!$G:$K,4,FALSE)))</f>
        <v xml:space="preserve"> </v>
      </c>
      <c r="J1733" s="39">
        <f>IF(ISNA(VLOOKUP(D1733,'[2]stock-take'!$G:$K,3,FALSE)), 0, VLOOKUP(D1733,'[2]stock-take'!$G:$K,3,FALSE))</f>
        <v>0</v>
      </c>
      <c r="K1733" s="49" t="str">
        <f>IF(F1733="", " ", IF(ISNA(VLOOKUP(D1733,'[2]stock-take'!$M:$Q,4,FALSE)), "OUT OF STOCK", VLOOKUP(D1733,'[2]stock-take'!$M:$Q,4,FALSE)))</f>
        <v xml:space="preserve"> </v>
      </c>
      <c r="L1733" s="47">
        <f>IF(ISNA(VLOOKUP(D1733,'[2]stock-take'!$M:$Q,3,FALSE)), 0, VLOOKUP(D1733,'[2]stock-take'!$M:$Q,3,FALSE))</f>
        <v>0</v>
      </c>
      <c r="M1733" s="48" t="str">
        <f t="shared" si="79"/>
        <v xml:space="preserve"> </v>
      </c>
      <c r="N1733" s="39" t="str">
        <f t="shared" si="80"/>
        <v xml:space="preserve"> </v>
      </c>
    </row>
    <row r="1734" spans="1:14">
      <c r="A1734" s="37">
        <f t="shared" si="78"/>
        <v>1723</v>
      </c>
      <c r="G1734" s="48" t="str">
        <f>IF(F1734=""," ",IF(ISNA(VLOOKUP(D1734,'[2]stock-take'!$A:$E,4,FALSE)), "OUT OF STOCK", VLOOKUP(D1734,'[2]stock-take'!$A:$E,4,FALSE)))</f>
        <v xml:space="preserve"> </v>
      </c>
      <c r="H1734" s="48">
        <f>IF(ISNA(VLOOKUP(D1734,'[2]stock-take'!$A:$E,3,FALSE)), 0, VLOOKUP(D1734,'[2]stock-take'!$A:$E,3,FALSE))</f>
        <v>0</v>
      </c>
      <c r="I1734" s="48" t="str">
        <f>IF(F1734="", " ",IF(ISNA(VLOOKUP(D1734,'[2]stock-take'!$G:$K,4,FALSE)), "OUT OF STOCK", VLOOKUP(D1734,'[2]stock-take'!$G:$K,4,FALSE)))</f>
        <v xml:space="preserve"> </v>
      </c>
      <c r="J1734" s="39">
        <f>IF(ISNA(VLOOKUP(D1734,'[2]stock-take'!$G:$K,3,FALSE)), 0, VLOOKUP(D1734,'[2]stock-take'!$G:$K,3,FALSE))</f>
        <v>0</v>
      </c>
      <c r="K1734" s="49" t="str">
        <f>IF(F1734="", " ", IF(ISNA(VLOOKUP(D1734,'[2]stock-take'!$M:$Q,4,FALSE)), "OUT OF STOCK", VLOOKUP(D1734,'[2]stock-take'!$M:$Q,4,FALSE)))</f>
        <v xml:space="preserve"> </v>
      </c>
      <c r="L1734" s="47">
        <f>IF(ISNA(VLOOKUP(D1734,'[2]stock-take'!$M:$Q,3,FALSE)), 0, VLOOKUP(D1734,'[2]stock-take'!$M:$Q,3,FALSE))</f>
        <v>0</v>
      </c>
      <c r="M1734" s="48" t="str">
        <f t="shared" si="79"/>
        <v xml:space="preserve"> </v>
      </c>
      <c r="N1734" s="39" t="str">
        <f t="shared" si="80"/>
        <v xml:space="preserve"> </v>
      </c>
    </row>
    <row r="1735" spans="1:14">
      <c r="A1735" s="37">
        <f t="shared" si="78"/>
        <v>1724</v>
      </c>
      <c r="G1735" s="48" t="str">
        <f>IF(F1735=""," ",IF(ISNA(VLOOKUP(D1735,'[2]stock-take'!$A:$E,4,FALSE)), "OUT OF STOCK", VLOOKUP(D1735,'[2]stock-take'!$A:$E,4,FALSE)))</f>
        <v xml:space="preserve"> </v>
      </c>
      <c r="H1735" s="48">
        <f>IF(ISNA(VLOOKUP(D1735,'[2]stock-take'!$A:$E,3,FALSE)), 0, VLOOKUP(D1735,'[2]stock-take'!$A:$E,3,FALSE))</f>
        <v>0</v>
      </c>
      <c r="I1735" s="48" t="str">
        <f>IF(F1735="", " ",IF(ISNA(VLOOKUP(D1735,'[2]stock-take'!$G:$K,4,FALSE)), "OUT OF STOCK", VLOOKUP(D1735,'[2]stock-take'!$G:$K,4,FALSE)))</f>
        <v xml:space="preserve"> </v>
      </c>
      <c r="J1735" s="39">
        <f>IF(ISNA(VLOOKUP(D1735,'[2]stock-take'!$G:$K,3,FALSE)), 0, VLOOKUP(D1735,'[2]stock-take'!$G:$K,3,FALSE))</f>
        <v>0</v>
      </c>
      <c r="K1735" s="49" t="str">
        <f>IF(F1735="", " ", IF(ISNA(VLOOKUP(D1735,'[2]stock-take'!$M:$Q,4,FALSE)), "OUT OF STOCK", VLOOKUP(D1735,'[2]stock-take'!$M:$Q,4,FALSE)))</f>
        <v xml:space="preserve"> </v>
      </c>
      <c r="L1735" s="47">
        <f>IF(ISNA(VLOOKUP(D1735,'[2]stock-take'!$M:$Q,3,FALSE)), 0, VLOOKUP(D1735,'[2]stock-take'!$M:$Q,3,FALSE))</f>
        <v>0</v>
      </c>
      <c r="M1735" s="48" t="str">
        <f t="shared" si="79"/>
        <v xml:space="preserve"> </v>
      </c>
      <c r="N1735" s="39" t="str">
        <f t="shared" si="80"/>
        <v xml:space="preserve"> </v>
      </c>
    </row>
    <row r="1736" spans="1:14">
      <c r="A1736" s="37">
        <f t="shared" si="78"/>
        <v>1725</v>
      </c>
      <c r="G1736" s="48" t="str">
        <f>IF(F1736=""," ",IF(ISNA(VLOOKUP(D1736,'[2]stock-take'!$A:$E,4,FALSE)), "OUT OF STOCK", VLOOKUP(D1736,'[2]stock-take'!$A:$E,4,FALSE)))</f>
        <v xml:space="preserve"> </v>
      </c>
      <c r="H1736" s="48">
        <f>IF(ISNA(VLOOKUP(D1736,'[2]stock-take'!$A:$E,3,FALSE)), 0, VLOOKUP(D1736,'[2]stock-take'!$A:$E,3,FALSE))</f>
        <v>0</v>
      </c>
      <c r="I1736" s="48" t="str">
        <f>IF(F1736="", " ",IF(ISNA(VLOOKUP(D1736,'[2]stock-take'!$G:$K,4,FALSE)), "OUT OF STOCK", VLOOKUP(D1736,'[2]stock-take'!$G:$K,4,FALSE)))</f>
        <v xml:space="preserve"> </v>
      </c>
      <c r="J1736" s="39">
        <f>IF(ISNA(VLOOKUP(D1736,'[2]stock-take'!$G:$K,3,FALSE)), 0, VLOOKUP(D1736,'[2]stock-take'!$G:$K,3,FALSE))</f>
        <v>0</v>
      </c>
      <c r="K1736" s="49" t="str">
        <f>IF(F1736="", " ", IF(ISNA(VLOOKUP(D1736,'[2]stock-take'!$M:$Q,4,FALSE)), "OUT OF STOCK", VLOOKUP(D1736,'[2]stock-take'!$M:$Q,4,FALSE)))</f>
        <v xml:space="preserve"> </v>
      </c>
      <c r="L1736" s="47">
        <f>IF(ISNA(VLOOKUP(D1736,'[2]stock-take'!$M:$Q,3,FALSE)), 0, VLOOKUP(D1736,'[2]stock-take'!$M:$Q,3,FALSE))</f>
        <v>0</v>
      </c>
      <c r="M1736" s="48" t="str">
        <f t="shared" si="79"/>
        <v xml:space="preserve"> </v>
      </c>
      <c r="N1736" s="39" t="str">
        <f t="shared" si="80"/>
        <v xml:space="preserve"> </v>
      </c>
    </row>
    <row r="1737" spans="1:14">
      <c r="A1737" s="37">
        <f t="shared" si="78"/>
        <v>1726</v>
      </c>
      <c r="G1737" s="48" t="str">
        <f>IF(F1737=""," ",IF(ISNA(VLOOKUP(D1737,'[2]stock-take'!$A:$E,4,FALSE)), "OUT OF STOCK", VLOOKUP(D1737,'[2]stock-take'!$A:$E,4,FALSE)))</f>
        <v xml:space="preserve"> </v>
      </c>
      <c r="H1737" s="48">
        <f>IF(ISNA(VLOOKUP(D1737,'[2]stock-take'!$A:$E,3,FALSE)), 0, VLOOKUP(D1737,'[2]stock-take'!$A:$E,3,FALSE))</f>
        <v>0</v>
      </c>
      <c r="I1737" s="48" t="str">
        <f>IF(F1737="", " ",IF(ISNA(VLOOKUP(D1737,'[2]stock-take'!$G:$K,4,FALSE)), "OUT OF STOCK", VLOOKUP(D1737,'[2]stock-take'!$G:$K,4,FALSE)))</f>
        <v xml:space="preserve"> </v>
      </c>
      <c r="J1737" s="39">
        <f>IF(ISNA(VLOOKUP(D1737,'[2]stock-take'!$G:$K,3,FALSE)), 0, VLOOKUP(D1737,'[2]stock-take'!$G:$K,3,FALSE))</f>
        <v>0</v>
      </c>
      <c r="K1737" s="49" t="str">
        <f>IF(F1737="", " ", IF(ISNA(VLOOKUP(D1737,'[2]stock-take'!$M:$Q,4,FALSE)), "OUT OF STOCK", VLOOKUP(D1737,'[2]stock-take'!$M:$Q,4,FALSE)))</f>
        <v xml:space="preserve"> </v>
      </c>
      <c r="L1737" s="47">
        <f>IF(ISNA(VLOOKUP(D1737,'[2]stock-take'!$M:$Q,3,FALSE)), 0, VLOOKUP(D1737,'[2]stock-take'!$M:$Q,3,FALSE))</f>
        <v>0</v>
      </c>
      <c r="M1737" s="48" t="str">
        <f t="shared" si="79"/>
        <v xml:space="preserve"> </v>
      </c>
      <c r="N1737" s="39" t="str">
        <f t="shared" si="80"/>
        <v xml:space="preserve"> </v>
      </c>
    </row>
    <row r="1738" spans="1:14">
      <c r="A1738" s="37">
        <f t="shared" si="78"/>
        <v>1727</v>
      </c>
      <c r="G1738" s="48" t="str">
        <f>IF(F1738=""," ",IF(ISNA(VLOOKUP(D1738,'[2]stock-take'!$A:$E,4,FALSE)), "OUT OF STOCK", VLOOKUP(D1738,'[2]stock-take'!$A:$E,4,FALSE)))</f>
        <v xml:space="preserve"> </v>
      </c>
      <c r="H1738" s="48">
        <f>IF(ISNA(VLOOKUP(D1738,'[2]stock-take'!$A:$E,3,FALSE)), 0, VLOOKUP(D1738,'[2]stock-take'!$A:$E,3,FALSE))</f>
        <v>0</v>
      </c>
      <c r="I1738" s="48" t="str">
        <f>IF(F1738="", " ",IF(ISNA(VLOOKUP(D1738,'[2]stock-take'!$G:$K,4,FALSE)), "OUT OF STOCK", VLOOKUP(D1738,'[2]stock-take'!$G:$K,4,FALSE)))</f>
        <v xml:space="preserve"> </v>
      </c>
      <c r="J1738" s="39">
        <f>IF(ISNA(VLOOKUP(D1738,'[2]stock-take'!$G:$K,3,FALSE)), 0, VLOOKUP(D1738,'[2]stock-take'!$G:$K,3,FALSE))</f>
        <v>0</v>
      </c>
      <c r="K1738" s="49" t="str">
        <f>IF(F1738="", " ", IF(ISNA(VLOOKUP(D1738,'[2]stock-take'!$M:$Q,4,FALSE)), "OUT OF STOCK", VLOOKUP(D1738,'[2]stock-take'!$M:$Q,4,FALSE)))</f>
        <v xml:space="preserve"> </v>
      </c>
      <c r="L1738" s="47">
        <f>IF(ISNA(VLOOKUP(D1738,'[2]stock-take'!$M:$Q,3,FALSE)), 0, VLOOKUP(D1738,'[2]stock-take'!$M:$Q,3,FALSE))</f>
        <v>0</v>
      </c>
      <c r="M1738" s="48" t="str">
        <f t="shared" si="79"/>
        <v xml:space="preserve"> </v>
      </c>
      <c r="N1738" s="39" t="str">
        <f t="shared" si="80"/>
        <v xml:space="preserve"> </v>
      </c>
    </row>
    <row r="1739" spans="1:14">
      <c r="A1739" s="37">
        <f t="shared" si="78"/>
        <v>1728</v>
      </c>
      <c r="G1739" s="48" t="str">
        <f>IF(F1739=""," ",IF(ISNA(VLOOKUP(D1739,'[2]stock-take'!$A:$E,4,FALSE)), "OUT OF STOCK", VLOOKUP(D1739,'[2]stock-take'!$A:$E,4,FALSE)))</f>
        <v xml:space="preserve"> </v>
      </c>
      <c r="H1739" s="48">
        <f>IF(ISNA(VLOOKUP(D1739,'[2]stock-take'!$A:$E,3,FALSE)), 0, VLOOKUP(D1739,'[2]stock-take'!$A:$E,3,FALSE))</f>
        <v>0</v>
      </c>
      <c r="I1739" s="48" t="str">
        <f>IF(F1739="", " ",IF(ISNA(VLOOKUP(D1739,'[2]stock-take'!$G:$K,4,FALSE)), "OUT OF STOCK", VLOOKUP(D1739,'[2]stock-take'!$G:$K,4,FALSE)))</f>
        <v xml:space="preserve"> </v>
      </c>
      <c r="J1739" s="39">
        <f>IF(ISNA(VLOOKUP(D1739,'[2]stock-take'!$G:$K,3,FALSE)), 0, VLOOKUP(D1739,'[2]stock-take'!$G:$K,3,FALSE))</f>
        <v>0</v>
      </c>
      <c r="K1739" s="49" t="str">
        <f>IF(F1739="", " ", IF(ISNA(VLOOKUP(D1739,'[2]stock-take'!$M:$Q,4,FALSE)), "OUT OF STOCK", VLOOKUP(D1739,'[2]stock-take'!$M:$Q,4,FALSE)))</f>
        <v xml:space="preserve"> </v>
      </c>
      <c r="L1739" s="47">
        <f>IF(ISNA(VLOOKUP(D1739,'[2]stock-take'!$M:$Q,3,FALSE)), 0, VLOOKUP(D1739,'[2]stock-take'!$M:$Q,3,FALSE))</f>
        <v>0</v>
      </c>
      <c r="M1739" s="48" t="str">
        <f t="shared" si="79"/>
        <v xml:space="preserve"> </v>
      </c>
      <c r="N1739" s="39" t="str">
        <f t="shared" si="80"/>
        <v xml:space="preserve"> </v>
      </c>
    </row>
    <row r="1740" spans="1:14">
      <c r="A1740" s="37">
        <f t="shared" ref="A1740:A1779" si="81">ROW(A1740)-11</f>
        <v>1729</v>
      </c>
      <c r="G1740" s="48" t="str">
        <f>IF(F1740=""," ",IF(ISNA(VLOOKUP(D1740,'[2]stock-take'!$A:$E,4,FALSE)), "OUT OF STOCK", VLOOKUP(D1740,'[2]stock-take'!$A:$E,4,FALSE)))</f>
        <v xml:space="preserve"> </v>
      </c>
      <c r="H1740" s="48">
        <f>IF(ISNA(VLOOKUP(D1740,'[2]stock-take'!$A:$E,3,FALSE)), 0, VLOOKUP(D1740,'[2]stock-take'!$A:$E,3,FALSE))</f>
        <v>0</v>
      </c>
      <c r="I1740" s="48" t="str">
        <f>IF(F1740="", " ",IF(ISNA(VLOOKUP(D1740,'[2]stock-take'!$G:$K,4,FALSE)), "OUT OF STOCK", VLOOKUP(D1740,'[2]stock-take'!$G:$K,4,FALSE)))</f>
        <v xml:space="preserve"> </v>
      </c>
      <c r="J1740" s="39">
        <f>IF(ISNA(VLOOKUP(D1740,'[2]stock-take'!$G:$K,3,FALSE)), 0, VLOOKUP(D1740,'[2]stock-take'!$G:$K,3,FALSE))</f>
        <v>0</v>
      </c>
      <c r="K1740" s="49" t="str">
        <f>IF(F1740="", " ", IF(ISNA(VLOOKUP(D1740,'[2]stock-take'!$M:$Q,4,FALSE)), "OUT OF STOCK", VLOOKUP(D1740,'[2]stock-take'!$M:$Q,4,FALSE)))</f>
        <v xml:space="preserve"> </v>
      </c>
      <c r="L1740" s="47">
        <f>IF(ISNA(VLOOKUP(D1740,'[2]stock-take'!$M:$Q,3,FALSE)), 0, VLOOKUP(D1740,'[2]stock-take'!$M:$Q,3,FALSE))</f>
        <v>0</v>
      </c>
      <c r="M1740" s="48" t="str">
        <f t="shared" si="79"/>
        <v xml:space="preserve"> </v>
      </c>
      <c r="N1740" s="39" t="str">
        <f t="shared" si="80"/>
        <v xml:space="preserve"> </v>
      </c>
    </row>
    <row r="1741" spans="1:14">
      <c r="A1741" s="37">
        <f t="shared" si="81"/>
        <v>1730</v>
      </c>
      <c r="G1741" s="48" t="str">
        <f>IF(F1741=""," ",IF(ISNA(VLOOKUP(D1741,'[2]stock-take'!$A:$E,4,FALSE)), "OUT OF STOCK", VLOOKUP(D1741,'[2]stock-take'!$A:$E,4,FALSE)))</f>
        <v xml:space="preserve"> </v>
      </c>
      <c r="H1741" s="48">
        <f>IF(ISNA(VLOOKUP(D1741,'[2]stock-take'!$A:$E,3,FALSE)), 0, VLOOKUP(D1741,'[2]stock-take'!$A:$E,3,FALSE))</f>
        <v>0</v>
      </c>
      <c r="I1741" s="48" t="str">
        <f>IF(F1741="", " ",IF(ISNA(VLOOKUP(D1741,'[2]stock-take'!$G:$K,4,FALSE)), "OUT OF STOCK", VLOOKUP(D1741,'[2]stock-take'!$G:$K,4,FALSE)))</f>
        <v xml:space="preserve"> </v>
      </c>
      <c r="J1741" s="39">
        <f>IF(ISNA(VLOOKUP(D1741,'[2]stock-take'!$G:$K,3,FALSE)), 0, VLOOKUP(D1741,'[2]stock-take'!$G:$K,3,FALSE))</f>
        <v>0</v>
      </c>
      <c r="K1741" s="49" t="str">
        <f>IF(F1741="", " ", IF(ISNA(VLOOKUP(D1741,'[2]stock-take'!$M:$Q,4,FALSE)), "OUT OF STOCK", VLOOKUP(D1741,'[2]stock-take'!$M:$Q,4,FALSE)))</f>
        <v xml:space="preserve"> </v>
      </c>
      <c r="L1741" s="47">
        <f>IF(ISNA(VLOOKUP(D1741,'[2]stock-take'!$M:$Q,3,FALSE)), 0, VLOOKUP(D1741,'[2]stock-take'!$M:$Q,3,FALSE))</f>
        <v>0</v>
      </c>
      <c r="M1741" s="48" t="str">
        <f t="shared" ref="M1741:M1779" si="82">IF(F1741=""," ",IF(H1741&gt;=F1741,"Y",IF(J1741&gt;=F1741,"Y",IF(L1741&gt;=F1741,"Y",IF(SUM(H1741,J1741,L1741)&gt;=F1741,"Y","N")))))</f>
        <v xml:space="preserve"> </v>
      </c>
      <c r="N1741" s="39" t="str">
        <f t="shared" ref="N1741:N1779" si="83">IF(F1741=""," ",IF(H1741&gt;=F1741,"ILOOM",IF(J1741&gt;=F1741,"NO.6",IF(L1741&gt;=F1741,"RMD",IF(SUM(H1741,J1741,L1741)&gt;=F1741,"MULTI","LACK")))))</f>
        <v xml:space="preserve"> </v>
      </c>
    </row>
    <row r="1742" spans="1:14">
      <c r="A1742" s="37">
        <f t="shared" si="81"/>
        <v>1731</v>
      </c>
      <c r="G1742" s="48" t="str">
        <f>IF(F1742=""," ",IF(ISNA(VLOOKUP(D1742,'[2]stock-take'!$A:$E,4,FALSE)), "OUT OF STOCK", VLOOKUP(D1742,'[2]stock-take'!$A:$E,4,FALSE)))</f>
        <v xml:space="preserve"> </v>
      </c>
      <c r="H1742" s="48">
        <f>IF(ISNA(VLOOKUP(D1742,'[2]stock-take'!$A:$E,3,FALSE)), 0, VLOOKUP(D1742,'[2]stock-take'!$A:$E,3,FALSE))</f>
        <v>0</v>
      </c>
      <c r="I1742" s="48" t="str">
        <f>IF(F1742="", " ",IF(ISNA(VLOOKUP(D1742,'[2]stock-take'!$G:$K,4,FALSE)), "OUT OF STOCK", VLOOKUP(D1742,'[2]stock-take'!$G:$K,4,FALSE)))</f>
        <v xml:space="preserve"> </v>
      </c>
      <c r="J1742" s="39">
        <f>IF(ISNA(VLOOKUP(D1742,'[2]stock-take'!$G:$K,3,FALSE)), 0, VLOOKUP(D1742,'[2]stock-take'!$G:$K,3,FALSE))</f>
        <v>0</v>
      </c>
      <c r="K1742" s="49" t="str">
        <f>IF(F1742="", " ", IF(ISNA(VLOOKUP(D1742,'[2]stock-take'!$M:$Q,4,FALSE)), "OUT OF STOCK", VLOOKUP(D1742,'[2]stock-take'!$M:$Q,4,FALSE)))</f>
        <v xml:space="preserve"> </v>
      </c>
      <c r="L1742" s="47">
        <f>IF(ISNA(VLOOKUP(D1742,'[2]stock-take'!$M:$Q,3,FALSE)), 0, VLOOKUP(D1742,'[2]stock-take'!$M:$Q,3,FALSE))</f>
        <v>0</v>
      </c>
      <c r="M1742" s="48" t="str">
        <f t="shared" si="82"/>
        <v xml:space="preserve"> </v>
      </c>
      <c r="N1742" s="39" t="str">
        <f t="shared" si="83"/>
        <v xml:space="preserve"> </v>
      </c>
    </row>
    <row r="1743" spans="1:14">
      <c r="A1743" s="37">
        <f t="shared" si="81"/>
        <v>1732</v>
      </c>
      <c r="G1743" s="48" t="str">
        <f>IF(F1743=""," ",IF(ISNA(VLOOKUP(D1743,'[2]stock-take'!$A:$E,4,FALSE)), "OUT OF STOCK", VLOOKUP(D1743,'[2]stock-take'!$A:$E,4,FALSE)))</f>
        <v xml:space="preserve"> </v>
      </c>
      <c r="H1743" s="48">
        <f>IF(ISNA(VLOOKUP(D1743,'[2]stock-take'!$A:$E,3,FALSE)), 0, VLOOKUP(D1743,'[2]stock-take'!$A:$E,3,FALSE))</f>
        <v>0</v>
      </c>
      <c r="I1743" s="48" t="str">
        <f>IF(F1743="", " ",IF(ISNA(VLOOKUP(D1743,'[2]stock-take'!$G:$K,4,FALSE)), "OUT OF STOCK", VLOOKUP(D1743,'[2]stock-take'!$G:$K,4,FALSE)))</f>
        <v xml:space="preserve"> </v>
      </c>
      <c r="J1743" s="39">
        <f>IF(ISNA(VLOOKUP(D1743,'[2]stock-take'!$G:$K,3,FALSE)), 0, VLOOKUP(D1743,'[2]stock-take'!$G:$K,3,FALSE))</f>
        <v>0</v>
      </c>
      <c r="K1743" s="49" t="str">
        <f>IF(F1743="", " ", IF(ISNA(VLOOKUP(D1743,'[2]stock-take'!$M:$Q,4,FALSE)), "OUT OF STOCK", VLOOKUP(D1743,'[2]stock-take'!$M:$Q,4,FALSE)))</f>
        <v xml:space="preserve"> </v>
      </c>
      <c r="L1743" s="47">
        <f>IF(ISNA(VLOOKUP(D1743,'[2]stock-take'!$M:$Q,3,FALSE)), 0, VLOOKUP(D1743,'[2]stock-take'!$M:$Q,3,FALSE))</f>
        <v>0</v>
      </c>
      <c r="M1743" s="48" t="str">
        <f t="shared" si="82"/>
        <v xml:space="preserve"> </v>
      </c>
      <c r="N1743" s="39" t="str">
        <f t="shared" si="83"/>
        <v xml:space="preserve"> </v>
      </c>
    </row>
    <row r="1744" spans="1:14">
      <c r="A1744" s="37">
        <f t="shared" si="81"/>
        <v>1733</v>
      </c>
      <c r="G1744" s="48" t="str">
        <f>IF(F1744=""," ",IF(ISNA(VLOOKUP(D1744,'[2]stock-take'!$A:$E,4,FALSE)), "OUT OF STOCK", VLOOKUP(D1744,'[2]stock-take'!$A:$E,4,FALSE)))</f>
        <v xml:space="preserve"> </v>
      </c>
      <c r="H1744" s="48">
        <f>IF(ISNA(VLOOKUP(D1744,'[2]stock-take'!$A:$E,3,FALSE)), 0, VLOOKUP(D1744,'[2]stock-take'!$A:$E,3,FALSE))</f>
        <v>0</v>
      </c>
      <c r="I1744" s="48" t="str">
        <f>IF(F1744="", " ",IF(ISNA(VLOOKUP(D1744,'[2]stock-take'!$G:$K,4,FALSE)), "OUT OF STOCK", VLOOKUP(D1744,'[2]stock-take'!$G:$K,4,FALSE)))</f>
        <v xml:space="preserve"> </v>
      </c>
      <c r="J1744" s="39">
        <f>IF(ISNA(VLOOKUP(D1744,'[2]stock-take'!$G:$K,3,FALSE)), 0, VLOOKUP(D1744,'[2]stock-take'!$G:$K,3,FALSE))</f>
        <v>0</v>
      </c>
      <c r="K1744" s="49" t="str">
        <f>IF(F1744="", " ", IF(ISNA(VLOOKUP(D1744,'[2]stock-take'!$M:$Q,4,FALSE)), "OUT OF STOCK", VLOOKUP(D1744,'[2]stock-take'!$M:$Q,4,FALSE)))</f>
        <v xml:space="preserve"> </v>
      </c>
      <c r="L1744" s="47">
        <f>IF(ISNA(VLOOKUP(D1744,'[2]stock-take'!$M:$Q,3,FALSE)), 0, VLOOKUP(D1744,'[2]stock-take'!$M:$Q,3,FALSE))</f>
        <v>0</v>
      </c>
      <c r="M1744" s="48" t="str">
        <f t="shared" si="82"/>
        <v xml:space="preserve"> </v>
      </c>
      <c r="N1744" s="39" t="str">
        <f t="shared" si="83"/>
        <v xml:space="preserve"> </v>
      </c>
    </row>
    <row r="1745" spans="1:14">
      <c r="A1745" s="37">
        <f t="shared" si="81"/>
        <v>1734</v>
      </c>
      <c r="G1745" s="48" t="str">
        <f>IF(F1745=""," ",IF(ISNA(VLOOKUP(D1745,'[2]stock-take'!$A:$E,4,FALSE)), "OUT OF STOCK", VLOOKUP(D1745,'[2]stock-take'!$A:$E,4,FALSE)))</f>
        <v xml:space="preserve"> </v>
      </c>
      <c r="H1745" s="48">
        <f>IF(ISNA(VLOOKUP(D1745,'[2]stock-take'!$A:$E,3,FALSE)), 0, VLOOKUP(D1745,'[2]stock-take'!$A:$E,3,FALSE))</f>
        <v>0</v>
      </c>
      <c r="I1745" s="48" t="str">
        <f>IF(F1745="", " ",IF(ISNA(VLOOKUP(D1745,'[2]stock-take'!$G:$K,4,FALSE)), "OUT OF STOCK", VLOOKUP(D1745,'[2]stock-take'!$G:$K,4,FALSE)))</f>
        <v xml:space="preserve"> </v>
      </c>
      <c r="J1745" s="39">
        <f>IF(ISNA(VLOOKUP(D1745,'[2]stock-take'!$G:$K,3,FALSE)), 0, VLOOKUP(D1745,'[2]stock-take'!$G:$K,3,FALSE))</f>
        <v>0</v>
      </c>
      <c r="K1745" s="49" t="str">
        <f>IF(F1745="", " ", IF(ISNA(VLOOKUP(D1745,'[2]stock-take'!$M:$Q,4,FALSE)), "OUT OF STOCK", VLOOKUP(D1745,'[2]stock-take'!$M:$Q,4,FALSE)))</f>
        <v xml:space="preserve"> </v>
      </c>
      <c r="L1745" s="47">
        <f>IF(ISNA(VLOOKUP(D1745,'[2]stock-take'!$M:$Q,3,FALSE)), 0, VLOOKUP(D1745,'[2]stock-take'!$M:$Q,3,FALSE))</f>
        <v>0</v>
      </c>
      <c r="M1745" s="48" t="str">
        <f t="shared" si="82"/>
        <v xml:space="preserve"> </v>
      </c>
      <c r="N1745" s="39" t="str">
        <f t="shared" si="83"/>
        <v xml:space="preserve"> </v>
      </c>
    </row>
    <row r="1746" spans="1:14">
      <c r="A1746" s="37">
        <f t="shared" si="81"/>
        <v>1735</v>
      </c>
      <c r="G1746" s="48" t="str">
        <f>IF(F1746=""," ",IF(ISNA(VLOOKUP(D1746,'[2]stock-take'!$A:$E,4,FALSE)), "OUT OF STOCK", VLOOKUP(D1746,'[2]stock-take'!$A:$E,4,FALSE)))</f>
        <v xml:space="preserve"> </v>
      </c>
      <c r="H1746" s="48">
        <f>IF(ISNA(VLOOKUP(D1746,'[2]stock-take'!$A:$E,3,FALSE)), 0, VLOOKUP(D1746,'[2]stock-take'!$A:$E,3,FALSE))</f>
        <v>0</v>
      </c>
      <c r="I1746" s="48" t="str">
        <f>IF(F1746="", " ",IF(ISNA(VLOOKUP(D1746,'[2]stock-take'!$G:$K,4,FALSE)), "OUT OF STOCK", VLOOKUP(D1746,'[2]stock-take'!$G:$K,4,FALSE)))</f>
        <v xml:space="preserve"> </v>
      </c>
      <c r="J1746" s="39">
        <f>IF(ISNA(VLOOKUP(D1746,'[2]stock-take'!$G:$K,3,FALSE)), 0, VLOOKUP(D1746,'[2]stock-take'!$G:$K,3,FALSE))</f>
        <v>0</v>
      </c>
      <c r="K1746" s="49" t="str">
        <f>IF(F1746="", " ", IF(ISNA(VLOOKUP(D1746,'[2]stock-take'!$M:$Q,4,FALSE)), "OUT OF STOCK", VLOOKUP(D1746,'[2]stock-take'!$M:$Q,4,FALSE)))</f>
        <v xml:space="preserve"> </v>
      </c>
      <c r="L1746" s="47">
        <f>IF(ISNA(VLOOKUP(D1746,'[2]stock-take'!$M:$Q,3,FALSE)), 0, VLOOKUP(D1746,'[2]stock-take'!$M:$Q,3,FALSE))</f>
        <v>0</v>
      </c>
      <c r="M1746" s="48" t="str">
        <f t="shared" si="82"/>
        <v xml:space="preserve"> </v>
      </c>
      <c r="N1746" s="39" t="str">
        <f t="shared" si="83"/>
        <v xml:space="preserve"> </v>
      </c>
    </row>
    <row r="1747" spans="1:14">
      <c r="A1747" s="37">
        <f t="shared" si="81"/>
        <v>1736</v>
      </c>
      <c r="G1747" s="48" t="str">
        <f>IF(F1747=""," ",IF(ISNA(VLOOKUP(D1747,'[2]stock-take'!$A:$E,4,FALSE)), "OUT OF STOCK", VLOOKUP(D1747,'[2]stock-take'!$A:$E,4,FALSE)))</f>
        <v xml:space="preserve"> </v>
      </c>
      <c r="H1747" s="48">
        <f>IF(ISNA(VLOOKUP(D1747,'[2]stock-take'!$A:$E,3,FALSE)), 0, VLOOKUP(D1747,'[2]stock-take'!$A:$E,3,FALSE))</f>
        <v>0</v>
      </c>
      <c r="I1747" s="48" t="str">
        <f>IF(F1747="", " ",IF(ISNA(VLOOKUP(D1747,'[2]stock-take'!$G:$K,4,FALSE)), "OUT OF STOCK", VLOOKUP(D1747,'[2]stock-take'!$G:$K,4,FALSE)))</f>
        <v xml:space="preserve"> </v>
      </c>
      <c r="J1747" s="39">
        <f>IF(ISNA(VLOOKUP(D1747,'[2]stock-take'!$G:$K,3,FALSE)), 0, VLOOKUP(D1747,'[2]stock-take'!$G:$K,3,FALSE))</f>
        <v>0</v>
      </c>
      <c r="K1747" s="49" t="str">
        <f>IF(F1747="", " ", IF(ISNA(VLOOKUP(D1747,'[2]stock-take'!$M:$Q,4,FALSE)), "OUT OF STOCK", VLOOKUP(D1747,'[2]stock-take'!$M:$Q,4,FALSE)))</f>
        <v xml:space="preserve"> </v>
      </c>
      <c r="L1747" s="47">
        <f>IF(ISNA(VLOOKUP(D1747,'[2]stock-take'!$M:$Q,3,FALSE)), 0, VLOOKUP(D1747,'[2]stock-take'!$M:$Q,3,FALSE))</f>
        <v>0</v>
      </c>
      <c r="M1747" s="48" t="str">
        <f t="shared" si="82"/>
        <v xml:space="preserve"> </v>
      </c>
      <c r="N1747" s="39" t="str">
        <f t="shared" si="83"/>
        <v xml:space="preserve"> </v>
      </c>
    </row>
    <row r="1748" spans="1:14">
      <c r="A1748" s="37">
        <f t="shared" si="81"/>
        <v>1737</v>
      </c>
      <c r="G1748" s="48" t="str">
        <f>IF(F1748=""," ",IF(ISNA(VLOOKUP(D1748,'[2]stock-take'!$A:$E,4,FALSE)), "OUT OF STOCK", VLOOKUP(D1748,'[2]stock-take'!$A:$E,4,FALSE)))</f>
        <v xml:space="preserve"> </v>
      </c>
      <c r="H1748" s="48">
        <f>IF(ISNA(VLOOKUP(D1748,'[2]stock-take'!$A:$E,3,FALSE)), 0, VLOOKUP(D1748,'[2]stock-take'!$A:$E,3,FALSE))</f>
        <v>0</v>
      </c>
      <c r="I1748" s="48" t="str">
        <f>IF(F1748="", " ",IF(ISNA(VLOOKUP(D1748,'[2]stock-take'!$G:$K,4,FALSE)), "OUT OF STOCK", VLOOKUP(D1748,'[2]stock-take'!$G:$K,4,FALSE)))</f>
        <v xml:space="preserve"> </v>
      </c>
      <c r="J1748" s="39">
        <f>IF(ISNA(VLOOKUP(D1748,'[2]stock-take'!$G:$K,3,FALSE)), 0, VLOOKUP(D1748,'[2]stock-take'!$G:$K,3,FALSE))</f>
        <v>0</v>
      </c>
      <c r="K1748" s="49" t="str">
        <f>IF(F1748="", " ", IF(ISNA(VLOOKUP(D1748,'[2]stock-take'!$M:$Q,4,FALSE)), "OUT OF STOCK", VLOOKUP(D1748,'[2]stock-take'!$M:$Q,4,FALSE)))</f>
        <v xml:space="preserve"> </v>
      </c>
      <c r="L1748" s="47">
        <f>IF(ISNA(VLOOKUP(D1748,'[2]stock-take'!$M:$Q,3,FALSE)), 0, VLOOKUP(D1748,'[2]stock-take'!$M:$Q,3,FALSE))</f>
        <v>0</v>
      </c>
      <c r="M1748" s="48" t="str">
        <f t="shared" si="82"/>
        <v xml:space="preserve"> </v>
      </c>
      <c r="N1748" s="39" t="str">
        <f t="shared" si="83"/>
        <v xml:space="preserve"> </v>
      </c>
    </row>
    <row r="1749" spans="1:14">
      <c r="A1749" s="37">
        <f t="shared" si="81"/>
        <v>1738</v>
      </c>
      <c r="G1749" s="48" t="str">
        <f>IF(F1749=""," ",IF(ISNA(VLOOKUP(D1749,'[2]stock-take'!$A:$E,4,FALSE)), "OUT OF STOCK", VLOOKUP(D1749,'[2]stock-take'!$A:$E,4,FALSE)))</f>
        <v xml:space="preserve"> </v>
      </c>
      <c r="H1749" s="48">
        <f>IF(ISNA(VLOOKUP(D1749,'[2]stock-take'!$A:$E,3,FALSE)), 0, VLOOKUP(D1749,'[2]stock-take'!$A:$E,3,FALSE))</f>
        <v>0</v>
      </c>
      <c r="I1749" s="48" t="str">
        <f>IF(F1749="", " ",IF(ISNA(VLOOKUP(D1749,'[2]stock-take'!$G:$K,4,FALSE)), "OUT OF STOCK", VLOOKUP(D1749,'[2]stock-take'!$G:$K,4,FALSE)))</f>
        <v xml:space="preserve"> </v>
      </c>
      <c r="J1749" s="39">
        <f>IF(ISNA(VLOOKUP(D1749,'[2]stock-take'!$G:$K,3,FALSE)), 0, VLOOKUP(D1749,'[2]stock-take'!$G:$K,3,FALSE))</f>
        <v>0</v>
      </c>
      <c r="K1749" s="49" t="str">
        <f>IF(F1749="", " ", IF(ISNA(VLOOKUP(D1749,'[2]stock-take'!$M:$Q,4,FALSE)), "OUT OF STOCK", VLOOKUP(D1749,'[2]stock-take'!$M:$Q,4,FALSE)))</f>
        <v xml:space="preserve"> </v>
      </c>
      <c r="L1749" s="47">
        <f>IF(ISNA(VLOOKUP(D1749,'[2]stock-take'!$M:$Q,3,FALSE)), 0, VLOOKUP(D1749,'[2]stock-take'!$M:$Q,3,FALSE))</f>
        <v>0</v>
      </c>
      <c r="M1749" s="48" t="str">
        <f t="shared" si="82"/>
        <v xml:space="preserve"> </v>
      </c>
      <c r="N1749" s="39" t="str">
        <f t="shared" si="83"/>
        <v xml:space="preserve"> </v>
      </c>
    </row>
    <row r="1750" spans="1:14">
      <c r="A1750" s="37">
        <f t="shared" si="81"/>
        <v>1739</v>
      </c>
      <c r="G1750" s="48" t="str">
        <f>IF(F1750=""," ",IF(ISNA(VLOOKUP(D1750,'[2]stock-take'!$A:$E,4,FALSE)), "OUT OF STOCK", VLOOKUP(D1750,'[2]stock-take'!$A:$E,4,FALSE)))</f>
        <v xml:space="preserve"> </v>
      </c>
      <c r="H1750" s="48">
        <f>IF(ISNA(VLOOKUP(D1750,'[2]stock-take'!$A:$E,3,FALSE)), 0, VLOOKUP(D1750,'[2]stock-take'!$A:$E,3,FALSE))</f>
        <v>0</v>
      </c>
      <c r="I1750" s="48" t="str">
        <f>IF(F1750="", " ",IF(ISNA(VLOOKUP(D1750,'[2]stock-take'!$G:$K,4,FALSE)), "OUT OF STOCK", VLOOKUP(D1750,'[2]stock-take'!$G:$K,4,FALSE)))</f>
        <v xml:space="preserve"> </v>
      </c>
      <c r="J1750" s="39">
        <f>IF(ISNA(VLOOKUP(D1750,'[2]stock-take'!$G:$K,3,FALSE)), 0, VLOOKUP(D1750,'[2]stock-take'!$G:$K,3,FALSE))</f>
        <v>0</v>
      </c>
      <c r="K1750" s="49" t="str">
        <f>IF(F1750="", " ", IF(ISNA(VLOOKUP(D1750,'[2]stock-take'!$M:$Q,4,FALSE)), "OUT OF STOCK", VLOOKUP(D1750,'[2]stock-take'!$M:$Q,4,FALSE)))</f>
        <v xml:space="preserve"> </v>
      </c>
      <c r="L1750" s="47">
        <f>IF(ISNA(VLOOKUP(D1750,'[2]stock-take'!$M:$Q,3,FALSE)), 0, VLOOKUP(D1750,'[2]stock-take'!$M:$Q,3,FALSE))</f>
        <v>0</v>
      </c>
      <c r="M1750" s="48" t="str">
        <f t="shared" si="82"/>
        <v xml:space="preserve"> </v>
      </c>
      <c r="N1750" s="39" t="str">
        <f t="shared" si="83"/>
        <v xml:space="preserve"> </v>
      </c>
    </row>
    <row r="1751" spans="1:14">
      <c r="A1751" s="37">
        <f t="shared" si="81"/>
        <v>1740</v>
      </c>
      <c r="G1751" s="48" t="str">
        <f>IF(F1751=""," ",IF(ISNA(VLOOKUP(D1751,'[2]stock-take'!$A:$E,4,FALSE)), "OUT OF STOCK", VLOOKUP(D1751,'[2]stock-take'!$A:$E,4,FALSE)))</f>
        <v xml:space="preserve"> </v>
      </c>
      <c r="H1751" s="48">
        <f>IF(ISNA(VLOOKUP(D1751,'[2]stock-take'!$A:$E,3,FALSE)), 0, VLOOKUP(D1751,'[2]stock-take'!$A:$E,3,FALSE))</f>
        <v>0</v>
      </c>
      <c r="I1751" s="48" t="str">
        <f>IF(F1751="", " ",IF(ISNA(VLOOKUP(D1751,'[2]stock-take'!$G:$K,4,FALSE)), "OUT OF STOCK", VLOOKUP(D1751,'[2]stock-take'!$G:$K,4,FALSE)))</f>
        <v xml:space="preserve"> </v>
      </c>
      <c r="J1751" s="39">
        <f>IF(ISNA(VLOOKUP(D1751,'[2]stock-take'!$G:$K,3,FALSE)), 0, VLOOKUP(D1751,'[2]stock-take'!$G:$K,3,FALSE))</f>
        <v>0</v>
      </c>
      <c r="K1751" s="49" t="str">
        <f>IF(F1751="", " ", IF(ISNA(VLOOKUP(D1751,'[2]stock-take'!$M:$Q,4,FALSE)), "OUT OF STOCK", VLOOKUP(D1751,'[2]stock-take'!$M:$Q,4,FALSE)))</f>
        <v xml:space="preserve"> </v>
      </c>
      <c r="L1751" s="47">
        <f>IF(ISNA(VLOOKUP(D1751,'[2]stock-take'!$M:$Q,3,FALSE)), 0, VLOOKUP(D1751,'[2]stock-take'!$M:$Q,3,FALSE))</f>
        <v>0</v>
      </c>
      <c r="M1751" s="48" t="str">
        <f t="shared" si="82"/>
        <v xml:space="preserve"> </v>
      </c>
      <c r="N1751" s="39" t="str">
        <f t="shared" si="83"/>
        <v xml:space="preserve"> </v>
      </c>
    </row>
    <row r="1752" spans="1:14">
      <c r="A1752" s="37">
        <f t="shared" si="81"/>
        <v>1741</v>
      </c>
      <c r="G1752" s="48" t="str">
        <f>IF(F1752=""," ",IF(ISNA(VLOOKUP(D1752,'[2]stock-take'!$A:$E,4,FALSE)), "OUT OF STOCK", VLOOKUP(D1752,'[2]stock-take'!$A:$E,4,FALSE)))</f>
        <v xml:space="preserve"> </v>
      </c>
      <c r="H1752" s="48">
        <f>IF(ISNA(VLOOKUP(D1752,'[2]stock-take'!$A:$E,3,FALSE)), 0, VLOOKUP(D1752,'[2]stock-take'!$A:$E,3,FALSE))</f>
        <v>0</v>
      </c>
      <c r="I1752" s="48" t="str">
        <f>IF(F1752="", " ",IF(ISNA(VLOOKUP(D1752,'[2]stock-take'!$G:$K,4,FALSE)), "OUT OF STOCK", VLOOKUP(D1752,'[2]stock-take'!$G:$K,4,FALSE)))</f>
        <v xml:space="preserve"> </v>
      </c>
      <c r="J1752" s="39">
        <f>IF(ISNA(VLOOKUP(D1752,'[2]stock-take'!$G:$K,3,FALSE)), 0, VLOOKUP(D1752,'[2]stock-take'!$G:$K,3,FALSE))</f>
        <v>0</v>
      </c>
      <c r="K1752" s="49" t="str">
        <f>IF(F1752="", " ", IF(ISNA(VLOOKUP(D1752,'[2]stock-take'!$M:$Q,4,FALSE)), "OUT OF STOCK", VLOOKUP(D1752,'[2]stock-take'!$M:$Q,4,FALSE)))</f>
        <v xml:space="preserve"> </v>
      </c>
      <c r="L1752" s="47">
        <f>IF(ISNA(VLOOKUP(D1752,'[2]stock-take'!$M:$Q,3,FALSE)), 0, VLOOKUP(D1752,'[2]stock-take'!$M:$Q,3,FALSE))</f>
        <v>0</v>
      </c>
      <c r="M1752" s="48" t="str">
        <f t="shared" si="82"/>
        <v xml:space="preserve"> </v>
      </c>
      <c r="N1752" s="39" t="str">
        <f t="shared" si="83"/>
        <v xml:space="preserve"> </v>
      </c>
    </row>
    <row r="1753" spans="1:14">
      <c r="A1753" s="37">
        <f t="shared" si="81"/>
        <v>1742</v>
      </c>
      <c r="G1753" s="48" t="str">
        <f>IF(F1753=""," ",IF(ISNA(VLOOKUP(D1753,'[2]stock-take'!$A:$E,4,FALSE)), "OUT OF STOCK", VLOOKUP(D1753,'[2]stock-take'!$A:$E,4,FALSE)))</f>
        <v xml:space="preserve"> </v>
      </c>
      <c r="H1753" s="48">
        <f>IF(ISNA(VLOOKUP(D1753,'[2]stock-take'!$A:$E,3,FALSE)), 0, VLOOKUP(D1753,'[2]stock-take'!$A:$E,3,FALSE))</f>
        <v>0</v>
      </c>
      <c r="I1753" s="48" t="str">
        <f>IF(F1753="", " ",IF(ISNA(VLOOKUP(D1753,'[2]stock-take'!$G:$K,4,FALSE)), "OUT OF STOCK", VLOOKUP(D1753,'[2]stock-take'!$G:$K,4,FALSE)))</f>
        <v xml:space="preserve"> </v>
      </c>
      <c r="J1753" s="39">
        <f>IF(ISNA(VLOOKUP(D1753,'[2]stock-take'!$G:$K,3,FALSE)), 0, VLOOKUP(D1753,'[2]stock-take'!$G:$K,3,FALSE))</f>
        <v>0</v>
      </c>
      <c r="K1753" s="49" t="str">
        <f>IF(F1753="", " ", IF(ISNA(VLOOKUP(D1753,'[2]stock-take'!$M:$Q,4,FALSE)), "OUT OF STOCK", VLOOKUP(D1753,'[2]stock-take'!$M:$Q,4,FALSE)))</f>
        <v xml:space="preserve"> </v>
      </c>
      <c r="L1753" s="47">
        <f>IF(ISNA(VLOOKUP(D1753,'[2]stock-take'!$M:$Q,3,FALSE)), 0, VLOOKUP(D1753,'[2]stock-take'!$M:$Q,3,FALSE))</f>
        <v>0</v>
      </c>
      <c r="M1753" s="48" t="str">
        <f t="shared" si="82"/>
        <v xml:space="preserve"> </v>
      </c>
      <c r="N1753" s="39" t="str">
        <f t="shared" si="83"/>
        <v xml:space="preserve"> </v>
      </c>
    </row>
    <row r="1754" spans="1:14">
      <c r="A1754" s="37">
        <f t="shared" si="81"/>
        <v>1743</v>
      </c>
      <c r="G1754" s="48" t="str">
        <f>IF(F1754=""," ",IF(ISNA(VLOOKUP(D1754,'[2]stock-take'!$A:$E,4,FALSE)), "OUT OF STOCK", VLOOKUP(D1754,'[2]stock-take'!$A:$E,4,FALSE)))</f>
        <v xml:space="preserve"> </v>
      </c>
      <c r="H1754" s="48">
        <f>IF(ISNA(VLOOKUP(D1754,'[2]stock-take'!$A:$E,3,FALSE)), 0, VLOOKUP(D1754,'[2]stock-take'!$A:$E,3,FALSE))</f>
        <v>0</v>
      </c>
      <c r="I1754" s="48" t="str">
        <f>IF(F1754="", " ",IF(ISNA(VLOOKUP(D1754,'[2]stock-take'!$G:$K,4,FALSE)), "OUT OF STOCK", VLOOKUP(D1754,'[2]stock-take'!$G:$K,4,FALSE)))</f>
        <v xml:space="preserve"> </v>
      </c>
      <c r="J1754" s="39">
        <f>IF(ISNA(VLOOKUP(D1754,'[2]stock-take'!$G:$K,3,FALSE)), 0, VLOOKUP(D1754,'[2]stock-take'!$G:$K,3,FALSE))</f>
        <v>0</v>
      </c>
      <c r="K1754" s="49" t="str">
        <f>IF(F1754="", " ", IF(ISNA(VLOOKUP(D1754,'[2]stock-take'!$M:$Q,4,FALSE)), "OUT OF STOCK", VLOOKUP(D1754,'[2]stock-take'!$M:$Q,4,FALSE)))</f>
        <v xml:space="preserve"> </v>
      </c>
      <c r="L1754" s="47">
        <f>IF(ISNA(VLOOKUP(D1754,'[2]stock-take'!$M:$Q,3,FALSE)), 0, VLOOKUP(D1754,'[2]stock-take'!$M:$Q,3,FALSE))</f>
        <v>0</v>
      </c>
      <c r="M1754" s="48" t="str">
        <f t="shared" si="82"/>
        <v xml:space="preserve"> </v>
      </c>
      <c r="N1754" s="39" t="str">
        <f t="shared" si="83"/>
        <v xml:space="preserve"> </v>
      </c>
    </row>
    <row r="1755" spans="1:14">
      <c r="A1755" s="37">
        <f t="shared" si="81"/>
        <v>1744</v>
      </c>
      <c r="G1755" s="48" t="str">
        <f>IF(F1755=""," ",IF(ISNA(VLOOKUP(D1755,'[2]stock-take'!$A:$E,4,FALSE)), "OUT OF STOCK", VLOOKUP(D1755,'[2]stock-take'!$A:$E,4,FALSE)))</f>
        <v xml:space="preserve"> </v>
      </c>
      <c r="H1755" s="48">
        <f>IF(ISNA(VLOOKUP(D1755,'[2]stock-take'!$A:$E,3,FALSE)), 0, VLOOKUP(D1755,'[2]stock-take'!$A:$E,3,FALSE))</f>
        <v>0</v>
      </c>
      <c r="I1755" s="48" t="str">
        <f>IF(F1755="", " ",IF(ISNA(VLOOKUP(D1755,'[2]stock-take'!$G:$K,4,FALSE)), "OUT OF STOCK", VLOOKUP(D1755,'[2]stock-take'!$G:$K,4,FALSE)))</f>
        <v xml:space="preserve"> </v>
      </c>
      <c r="J1755" s="39">
        <f>IF(ISNA(VLOOKUP(D1755,'[2]stock-take'!$G:$K,3,FALSE)), 0, VLOOKUP(D1755,'[2]stock-take'!$G:$K,3,FALSE))</f>
        <v>0</v>
      </c>
      <c r="K1755" s="49" t="str">
        <f>IF(F1755="", " ", IF(ISNA(VLOOKUP(D1755,'[2]stock-take'!$M:$Q,4,FALSE)), "OUT OF STOCK", VLOOKUP(D1755,'[2]stock-take'!$M:$Q,4,FALSE)))</f>
        <v xml:space="preserve"> </v>
      </c>
      <c r="L1755" s="47">
        <f>IF(ISNA(VLOOKUP(D1755,'[2]stock-take'!$M:$Q,3,FALSE)), 0, VLOOKUP(D1755,'[2]stock-take'!$M:$Q,3,FALSE))</f>
        <v>0</v>
      </c>
      <c r="M1755" s="48" t="str">
        <f t="shared" si="82"/>
        <v xml:space="preserve"> </v>
      </c>
      <c r="N1755" s="39" t="str">
        <f t="shared" si="83"/>
        <v xml:space="preserve"> </v>
      </c>
    </row>
    <row r="1756" spans="1:14">
      <c r="A1756" s="37">
        <f t="shared" si="81"/>
        <v>1745</v>
      </c>
      <c r="G1756" s="48" t="str">
        <f>IF(F1756=""," ",IF(ISNA(VLOOKUP(D1756,'[2]stock-take'!$A:$E,4,FALSE)), "OUT OF STOCK", VLOOKUP(D1756,'[2]stock-take'!$A:$E,4,FALSE)))</f>
        <v xml:space="preserve"> </v>
      </c>
      <c r="H1756" s="48">
        <f>IF(ISNA(VLOOKUP(D1756,'[2]stock-take'!$A:$E,3,FALSE)), 0, VLOOKUP(D1756,'[2]stock-take'!$A:$E,3,FALSE))</f>
        <v>0</v>
      </c>
      <c r="I1756" s="48" t="str">
        <f>IF(F1756="", " ",IF(ISNA(VLOOKUP(D1756,'[2]stock-take'!$G:$K,4,FALSE)), "OUT OF STOCK", VLOOKUP(D1756,'[2]stock-take'!$G:$K,4,FALSE)))</f>
        <v xml:space="preserve"> </v>
      </c>
      <c r="J1756" s="39">
        <f>IF(ISNA(VLOOKUP(D1756,'[2]stock-take'!$G:$K,3,FALSE)), 0, VLOOKUP(D1756,'[2]stock-take'!$G:$K,3,FALSE))</f>
        <v>0</v>
      </c>
      <c r="K1756" s="49" t="str">
        <f>IF(F1756="", " ", IF(ISNA(VLOOKUP(D1756,'[2]stock-take'!$M:$Q,4,FALSE)), "OUT OF STOCK", VLOOKUP(D1756,'[2]stock-take'!$M:$Q,4,FALSE)))</f>
        <v xml:space="preserve"> </v>
      </c>
      <c r="L1756" s="47">
        <f>IF(ISNA(VLOOKUP(D1756,'[2]stock-take'!$M:$Q,3,FALSE)), 0, VLOOKUP(D1756,'[2]stock-take'!$M:$Q,3,FALSE))</f>
        <v>0</v>
      </c>
      <c r="M1756" s="48" t="str">
        <f t="shared" si="82"/>
        <v xml:space="preserve"> </v>
      </c>
      <c r="N1756" s="39" t="str">
        <f t="shared" si="83"/>
        <v xml:space="preserve"> </v>
      </c>
    </row>
    <row r="1757" spans="1:14">
      <c r="A1757" s="37">
        <f t="shared" si="81"/>
        <v>1746</v>
      </c>
      <c r="G1757" s="48" t="str">
        <f>IF(F1757=""," ",IF(ISNA(VLOOKUP(D1757,'[2]stock-take'!$A:$E,4,FALSE)), "OUT OF STOCK", VLOOKUP(D1757,'[2]stock-take'!$A:$E,4,FALSE)))</f>
        <v xml:space="preserve"> </v>
      </c>
      <c r="H1757" s="48">
        <f>IF(ISNA(VLOOKUP(D1757,'[2]stock-take'!$A:$E,3,FALSE)), 0, VLOOKUP(D1757,'[2]stock-take'!$A:$E,3,FALSE))</f>
        <v>0</v>
      </c>
      <c r="I1757" s="48" t="str">
        <f>IF(F1757="", " ",IF(ISNA(VLOOKUP(D1757,'[2]stock-take'!$G:$K,4,FALSE)), "OUT OF STOCK", VLOOKUP(D1757,'[2]stock-take'!$G:$K,4,FALSE)))</f>
        <v xml:space="preserve"> </v>
      </c>
      <c r="J1757" s="39">
        <f>IF(ISNA(VLOOKUP(D1757,'[2]stock-take'!$G:$K,3,FALSE)), 0, VLOOKUP(D1757,'[2]stock-take'!$G:$K,3,FALSE))</f>
        <v>0</v>
      </c>
      <c r="K1757" s="49" t="str">
        <f>IF(F1757="", " ", IF(ISNA(VLOOKUP(D1757,'[2]stock-take'!$M:$Q,4,FALSE)), "OUT OF STOCK", VLOOKUP(D1757,'[2]stock-take'!$M:$Q,4,FALSE)))</f>
        <v xml:space="preserve"> </v>
      </c>
      <c r="L1757" s="47">
        <f>IF(ISNA(VLOOKUP(D1757,'[2]stock-take'!$M:$Q,3,FALSE)), 0, VLOOKUP(D1757,'[2]stock-take'!$M:$Q,3,FALSE))</f>
        <v>0</v>
      </c>
      <c r="M1757" s="48" t="str">
        <f t="shared" si="82"/>
        <v xml:space="preserve"> </v>
      </c>
      <c r="N1757" s="39" t="str">
        <f t="shared" si="83"/>
        <v xml:space="preserve"> </v>
      </c>
    </row>
    <row r="1758" spans="1:14">
      <c r="A1758" s="37">
        <f t="shared" si="81"/>
        <v>1747</v>
      </c>
      <c r="G1758" s="48" t="str">
        <f>IF(F1758=""," ",IF(ISNA(VLOOKUP(D1758,'[2]stock-take'!$A:$E,4,FALSE)), "OUT OF STOCK", VLOOKUP(D1758,'[2]stock-take'!$A:$E,4,FALSE)))</f>
        <v xml:space="preserve"> </v>
      </c>
      <c r="H1758" s="48">
        <f>IF(ISNA(VLOOKUP(D1758,'[2]stock-take'!$A:$E,3,FALSE)), 0, VLOOKUP(D1758,'[2]stock-take'!$A:$E,3,FALSE))</f>
        <v>0</v>
      </c>
      <c r="I1758" s="48" t="str">
        <f>IF(F1758="", " ",IF(ISNA(VLOOKUP(D1758,'[2]stock-take'!$G:$K,4,FALSE)), "OUT OF STOCK", VLOOKUP(D1758,'[2]stock-take'!$G:$K,4,FALSE)))</f>
        <v xml:space="preserve"> </v>
      </c>
      <c r="J1758" s="39">
        <f>IF(ISNA(VLOOKUP(D1758,'[2]stock-take'!$G:$K,3,FALSE)), 0, VLOOKUP(D1758,'[2]stock-take'!$G:$K,3,FALSE))</f>
        <v>0</v>
      </c>
      <c r="K1758" s="49" t="str">
        <f>IF(F1758="", " ", IF(ISNA(VLOOKUP(D1758,'[2]stock-take'!$M:$Q,4,FALSE)), "OUT OF STOCK", VLOOKUP(D1758,'[2]stock-take'!$M:$Q,4,FALSE)))</f>
        <v xml:space="preserve"> </v>
      </c>
      <c r="L1758" s="47">
        <f>IF(ISNA(VLOOKUP(D1758,'[2]stock-take'!$M:$Q,3,FALSE)), 0, VLOOKUP(D1758,'[2]stock-take'!$M:$Q,3,FALSE))</f>
        <v>0</v>
      </c>
      <c r="M1758" s="48" t="str">
        <f t="shared" si="82"/>
        <v xml:space="preserve"> </v>
      </c>
      <c r="N1758" s="39" t="str">
        <f t="shared" si="83"/>
        <v xml:space="preserve"> </v>
      </c>
    </row>
    <row r="1759" spans="1:14">
      <c r="A1759" s="37">
        <f t="shared" si="81"/>
        <v>1748</v>
      </c>
      <c r="G1759" s="48" t="str">
        <f>IF(F1759=""," ",IF(ISNA(VLOOKUP(D1759,'[2]stock-take'!$A:$E,4,FALSE)), "OUT OF STOCK", VLOOKUP(D1759,'[2]stock-take'!$A:$E,4,FALSE)))</f>
        <v xml:space="preserve"> </v>
      </c>
      <c r="H1759" s="48">
        <f>IF(ISNA(VLOOKUP(D1759,'[2]stock-take'!$A:$E,3,FALSE)), 0, VLOOKUP(D1759,'[2]stock-take'!$A:$E,3,FALSE))</f>
        <v>0</v>
      </c>
      <c r="I1759" s="48" t="str">
        <f>IF(F1759="", " ",IF(ISNA(VLOOKUP(D1759,'[2]stock-take'!$G:$K,4,FALSE)), "OUT OF STOCK", VLOOKUP(D1759,'[2]stock-take'!$G:$K,4,FALSE)))</f>
        <v xml:space="preserve"> </v>
      </c>
      <c r="J1759" s="39">
        <f>IF(ISNA(VLOOKUP(D1759,'[2]stock-take'!$G:$K,3,FALSE)), 0, VLOOKUP(D1759,'[2]stock-take'!$G:$K,3,FALSE))</f>
        <v>0</v>
      </c>
      <c r="K1759" s="49" t="str">
        <f>IF(F1759="", " ", IF(ISNA(VLOOKUP(D1759,'[2]stock-take'!$M:$Q,4,FALSE)), "OUT OF STOCK", VLOOKUP(D1759,'[2]stock-take'!$M:$Q,4,FALSE)))</f>
        <v xml:space="preserve"> </v>
      </c>
      <c r="L1759" s="47">
        <f>IF(ISNA(VLOOKUP(D1759,'[2]stock-take'!$M:$Q,3,FALSE)), 0, VLOOKUP(D1759,'[2]stock-take'!$M:$Q,3,FALSE))</f>
        <v>0</v>
      </c>
      <c r="M1759" s="48" t="str">
        <f t="shared" si="82"/>
        <v xml:space="preserve"> </v>
      </c>
      <c r="N1759" s="39" t="str">
        <f t="shared" si="83"/>
        <v xml:space="preserve"> </v>
      </c>
    </row>
    <row r="1760" spans="1:14">
      <c r="A1760" s="37">
        <f t="shared" si="81"/>
        <v>1749</v>
      </c>
      <c r="G1760" s="48" t="str">
        <f>IF(F1760=""," ",IF(ISNA(VLOOKUP(D1760,'[2]stock-take'!$A:$E,4,FALSE)), "OUT OF STOCK", VLOOKUP(D1760,'[2]stock-take'!$A:$E,4,FALSE)))</f>
        <v xml:space="preserve"> </v>
      </c>
      <c r="H1760" s="48">
        <f>IF(ISNA(VLOOKUP(D1760,'[2]stock-take'!$A:$E,3,FALSE)), 0, VLOOKUP(D1760,'[2]stock-take'!$A:$E,3,FALSE))</f>
        <v>0</v>
      </c>
      <c r="I1760" s="48" t="str">
        <f>IF(F1760="", " ",IF(ISNA(VLOOKUP(D1760,'[2]stock-take'!$G:$K,4,FALSE)), "OUT OF STOCK", VLOOKUP(D1760,'[2]stock-take'!$G:$K,4,FALSE)))</f>
        <v xml:space="preserve"> </v>
      </c>
      <c r="J1760" s="39">
        <f>IF(ISNA(VLOOKUP(D1760,'[2]stock-take'!$G:$K,3,FALSE)), 0, VLOOKUP(D1760,'[2]stock-take'!$G:$K,3,FALSE))</f>
        <v>0</v>
      </c>
      <c r="K1760" s="49" t="str">
        <f>IF(F1760="", " ", IF(ISNA(VLOOKUP(D1760,'[2]stock-take'!$M:$Q,4,FALSE)), "OUT OF STOCK", VLOOKUP(D1760,'[2]stock-take'!$M:$Q,4,FALSE)))</f>
        <v xml:space="preserve"> </v>
      </c>
      <c r="L1760" s="47">
        <f>IF(ISNA(VLOOKUP(D1760,'[2]stock-take'!$M:$Q,3,FALSE)), 0, VLOOKUP(D1760,'[2]stock-take'!$M:$Q,3,FALSE))</f>
        <v>0</v>
      </c>
      <c r="M1760" s="48" t="str">
        <f t="shared" si="82"/>
        <v xml:space="preserve"> </v>
      </c>
      <c r="N1760" s="39" t="str">
        <f t="shared" si="83"/>
        <v xml:space="preserve"> </v>
      </c>
    </row>
    <row r="1761" spans="1:14">
      <c r="A1761" s="37">
        <f t="shared" si="81"/>
        <v>1750</v>
      </c>
      <c r="G1761" s="48" t="str">
        <f>IF(F1761=""," ",IF(ISNA(VLOOKUP(D1761,'[2]stock-take'!$A:$E,4,FALSE)), "OUT OF STOCK", VLOOKUP(D1761,'[2]stock-take'!$A:$E,4,FALSE)))</f>
        <v xml:space="preserve"> </v>
      </c>
      <c r="H1761" s="48">
        <f>IF(ISNA(VLOOKUP(D1761,'[2]stock-take'!$A:$E,3,FALSE)), 0, VLOOKUP(D1761,'[2]stock-take'!$A:$E,3,FALSE))</f>
        <v>0</v>
      </c>
      <c r="I1761" s="48" t="str">
        <f>IF(F1761="", " ",IF(ISNA(VLOOKUP(D1761,'[2]stock-take'!$G:$K,4,FALSE)), "OUT OF STOCK", VLOOKUP(D1761,'[2]stock-take'!$G:$K,4,FALSE)))</f>
        <v xml:space="preserve"> </v>
      </c>
      <c r="J1761" s="39">
        <f>IF(ISNA(VLOOKUP(D1761,'[2]stock-take'!$G:$K,3,FALSE)), 0, VLOOKUP(D1761,'[2]stock-take'!$G:$K,3,FALSE))</f>
        <v>0</v>
      </c>
      <c r="K1761" s="49" t="str">
        <f>IF(F1761="", " ", IF(ISNA(VLOOKUP(D1761,'[2]stock-take'!$M:$Q,4,FALSE)), "OUT OF STOCK", VLOOKUP(D1761,'[2]stock-take'!$M:$Q,4,FALSE)))</f>
        <v xml:space="preserve"> </v>
      </c>
      <c r="L1761" s="47">
        <f>IF(ISNA(VLOOKUP(D1761,'[2]stock-take'!$M:$Q,3,FALSE)), 0, VLOOKUP(D1761,'[2]stock-take'!$M:$Q,3,FALSE))</f>
        <v>0</v>
      </c>
      <c r="M1761" s="48" t="str">
        <f t="shared" si="82"/>
        <v xml:space="preserve"> </v>
      </c>
      <c r="N1761" s="39" t="str">
        <f t="shared" si="83"/>
        <v xml:space="preserve"> </v>
      </c>
    </row>
    <row r="1762" spans="1:14">
      <c r="A1762" s="37">
        <f t="shared" si="81"/>
        <v>1751</v>
      </c>
      <c r="G1762" s="48" t="str">
        <f>IF(F1762=""," ",IF(ISNA(VLOOKUP(D1762,'[2]stock-take'!$A:$E,4,FALSE)), "OUT OF STOCK", VLOOKUP(D1762,'[2]stock-take'!$A:$E,4,FALSE)))</f>
        <v xml:space="preserve"> </v>
      </c>
      <c r="H1762" s="48">
        <f>IF(ISNA(VLOOKUP(D1762,'[2]stock-take'!$A:$E,3,FALSE)), 0, VLOOKUP(D1762,'[2]stock-take'!$A:$E,3,FALSE))</f>
        <v>0</v>
      </c>
      <c r="I1762" s="48" t="str">
        <f>IF(F1762="", " ",IF(ISNA(VLOOKUP(D1762,'[2]stock-take'!$G:$K,4,FALSE)), "OUT OF STOCK", VLOOKUP(D1762,'[2]stock-take'!$G:$K,4,FALSE)))</f>
        <v xml:space="preserve"> </v>
      </c>
      <c r="J1762" s="39">
        <f>IF(ISNA(VLOOKUP(D1762,'[2]stock-take'!$G:$K,3,FALSE)), 0, VLOOKUP(D1762,'[2]stock-take'!$G:$K,3,FALSE))</f>
        <v>0</v>
      </c>
      <c r="K1762" s="49" t="str">
        <f>IF(F1762="", " ", IF(ISNA(VLOOKUP(D1762,'[2]stock-take'!$M:$Q,4,FALSE)), "OUT OF STOCK", VLOOKUP(D1762,'[2]stock-take'!$M:$Q,4,FALSE)))</f>
        <v xml:space="preserve"> </v>
      </c>
      <c r="L1762" s="47">
        <f>IF(ISNA(VLOOKUP(D1762,'[2]stock-take'!$M:$Q,3,FALSE)), 0, VLOOKUP(D1762,'[2]stock-take'!$M:$Q,3,FALSE))</f>
        <v>0</v>
      </c>
      <c r="M1762" s="48" t="str">
        <f t="shared" si="82"/>
        <v xml:space="preserve"> </v>
      </c>
      <c r="N1762" s="39" t="str">
        <f t="shared" si="83"/>
        <v xml:space="preserve"> </v>
      </c>
    </row>
    <row r="1763" spans="1:14">
      <c r="A1763" s="37">
        <f t="shared" si="81"/>
        <v>1752</v>
      </c>
      <c r="G1763" s="48" t="str">
        <f>IF(F1763=""," ",IF(ISNA(VLOOKUP(D1763,'[2]stock-take'!$A:$E,4,FALSE)), "OUT OF STOCK", VLOOKUP(D1763,'[2]stock-take'!$A:$E,4,FALSE)))</f>
        <v xml:space="preserve"> </v>
      </c>
      <c r="H1763" s="48">
        <f>IF(ISNA(VLOOKUP(D1763,'[2]stock-take'!$A:$E,3,FALSE)), 0, VLOOKUP(D1763,'[2]stock-take'!$A:$E,3,FALSE))</f>
        <v>0</v>
      </c>
      <c r="I1763" s="48" t="str">
        <f>IF(F1763="", " ",IF(ISNA(VLOOKUP(D1763,'[2]stock-take'!$G:$K,4,FALSE)), "OUT OF STOCK", VLOOKUP(D1763,'[2]stock-take'!$G:$K,4,FALSE)))</f>
        <v xml:space="preserve"> </v>
      </c>
      <c r="J1763" s="39">
        <f>IF(ISNA(VLOOKUP(D1763,'[2]stock-take'!$G:$K,3,FALSE)), 0, VLOOKUP(D1763,'[2]stock-take'!$G:$K,3,FALSE))</f>
        <v>0</v>
      </c>
      <c r="K1763" s="49" t="str">
        <f>IF(F1763="", " ", IF(ISNA(VLOOKUP(D1763,'[2]stock-take'!$M:$Q,4,FALSE)), "OUT OF STOCK", VLOOKUP(D1763,'[2]stock-take'!$M:$Q,4,FALSE)))</f>
        <v xml:space="preserve"> </v>
      </c>
      <c r="L1763" s="47">
        <f>IF(ISNA(VLOOKUP(D1763,'[2]stock-take'!$M:$Q,3,FALSE)), 0, VLOOKUP(D1763,'[2]stock-take'!$M:$Q,3,FALSE))</f>
        <v>0</v>
      </c>
      <c r="M1763" s="48" t="str">
        <f t="shared" si="82"/>
        <v xml:space="preserve"> </v>
      </c>
      <c r="N1763" s="39" t="str">
        <f t="shared" si="83"/>
        <v xml:space="preserve"> </v>
      </c>
    </row>
    <row r="1764" spans="1:14">
      <c r="A1764" s="37">
        <f t="shared" si="81"/>
        <v>1753</v>
      </c>
      <c r="G1764" s="48" t="str">
        <f>IF(F1764=""," ",IF(ISNA(VLOOKUP(D1764,'[2]stock-take'!$A:$E,4,FALSE)), "OUT OF STOCK", VLOOKUP(D1764,'[2]stock-take'!$A:$E,4,FALSE)))</f>
        <v xml:space="preserve"> </v>
      </c>
      <c r="H1764" s="48">
        <f>IF(ISNA(VLOOKUP(D1764,'[2]stock-take'!$A:$E,3,FALSE)), 0, VLOOKUP(D1764,'[2]stock-take'!$A:$E,3,FALSE))</f>
        <v>0</v>
      </c>
      <c r="I1764" s="48" t="str">
        <f>IF(F1764="", " ",IF(ISNA(VLOOKUP(D1764,'[2]stock-take'!$G:$K,4,FALSE)), "OUT OF STOCK", VLOOKUP(D1764,'[2]stock-take'!$G:$K,4,FALSE)))</f>
        <v xml:space="preserve"> </v>
      </c>
      <c r="J1764" s="39">
        <f>IF(ISNA(VLOOKUP(D1764,'[2]stock-take'!$G:$K,3,FALSE)), 0, VLOOKUP(D1764,'[2]stock-take'!$G:$K,3,FALSE))</f>
        <v>0</v>
      </c>
      <c r="K1764" s="49" t="str">
        <f>IF(F1764="", " ", IF(ISNA(VLOOKUP(D1764,'[2]stock-take'!$M:$Q,4,FALSE)), "OUT OF STOCK", VLOOKUP(D1764,'[2]stock-take'!$M:$Q,4,FALSE)))</f>
        <v xml:space="preserve"> </v>
      </c>
      <c r="L1764" s="47">
        <f>IF(ISNA(VLOOKUP(D1764,'[2]stock-take'!$M:$Q,3,FALSE)), 0, VLOOKUP(D1764,'[2]stock-take'!$M:$Q,3,FALSE))</f>
        <v>0</v>
      </c>
      <c r="M1764" s="48" t="str">
        <f t="shared" si="82"/>
        <v xml:space="preserve"> </v>
      </c>
      <c r="N1764" s="39" t="str">
        <f t="shared" si="83"/>
        <v xml:space="preserve"> </v>
      </c>
    </row>
    <row r="1765" spans="1:14">
      <c r="A1765" s="37">
        <f t="shared" si="81"/>
        <v>1754</v>
      </c>
      <c r="G1765" s="48" t="str">
        <f>IF(F1765=""," ",IF(ISNA(VLOOKUP(D1765,'[2]stock-take'!$A:$E,4,FALSE)), "OUT OF STOCK", VLOOKUP(D1765,'[2]stock-take'!$A:$E,4,FALSE)))</f>
        <v xml:space="preserve"> </v>
      </c>
      <c r="H1765" s="48">
        <f>IF(ISNA(VLOOKUP(D1765,'[2]stock-take'!$A:$E,3,FALSE)), 0, VLOOKUP(D1765,'[2]stock-take'!$A:$E,3,FALSE))</f>
        <v>0</v>
      </c>
      <c r="I1765" s="48" t="str">
        <f>IF(F1765="", " ",IF(ISNA(VLOOKUP(D1765,'[2]stock-take'!$G:$K,4,FALSE)), "OUT OF STOCK", VLOOKUP(D1765,'[2]stock-take'!$G:$K,4,FALSE)))</f>
        <v xml:space="preserve"> </v>
      </c>
      <c r="J1765" s="39">
        <f>IF(ISNA(VLOOKUP(D1765,'[2]stock-take'!$G:$K,3,FALSE)), 0, VLOOKUP(D1765,'[2]stock-take'!$G:$K,3,FALSE))</f>
        <v>0</v>
      </c>
      <c r="K1765" s="49" t="str">
        <f>IF(F1765="", " ", IF(ISNA(VLOOKUP(D1765,'[2]stock-take'!$M:$Q,4,FALSE)), "OUT OF STOCK", VLOOKUP(D1765,'[2]stock-take'!$M:$Q,4,FALSE)))</f>
        <v xml:space="preserve"> </v>
      </c>
      <c r="L1765" s="47">
        <f>IF(ISNA(VLOOKUP(D1765,'[2]stock-take'!$M:$Q,3,FALSE)), 0, VLOOKUP(D1765,'[2]stock-take'!$M:$Q,3,FALSE))</f>
        <v>0</v>
      </c>
      <c r="M1765" s="48" t="str">
        <f t="shared" si="82"/>
        <v xml:space="preserve"> </v>
      </c>
      <c r="N1765" s="39" t="str">
        <f t="shared" si="83"/>
        <v xml:space="preserve"> </v>
      </c>
    </row>
    <row r="1766" spans="1:14">
      <c r="A1766" s="37">
        <f t="shared" si="81"/>
        <v>1755</v>
      </c>
      <c r="G1766" s="48" t="str">
        <f>IF(F1766=""," ",IF(ISNA(VLOOKUP(D1766,'[2]stock-take'!$A:$E,4,FALSE)), "OUT OF STOCK", VLOOKUP(D1766,'[2]stock-take'!$A:$E,4,FALSE)))</f>
        <v xml:space="preserve"> </v>
      </c>
      <c r="H1766" s="48">
        <f>IF(ISNA(VLOOKUP(D1766,'[2]stock-take'!$A:$E,3,FALSE)), 0, VLOOKUP(D1766,'[2]stock-take'!$A:$E,3,FALSE))</f>
        <v>0</v>
      </c>
      <c r="I1766" s="48" t="str">
        <f>IF(F1766="", " ",IF(ISNA(VLOOKUP(D1766,'[2]stock-take'!$G:$K,4,FALSE)), "OUT OF STOCK", VLOOKUP(D1766,'[2]stock-take'!$G:$K,4,FALSE)))</f>
        <v xml:space="preserve"> </v>
      </c>
      <c r="J1766" s="39">
        <f>IF(ISNA(VLOOKUP(D1766,'[2]stock-take'!$G:$K,3,FALSE)), 0, VLOOKUP(D1766,'[2]stock-take'!$G:$K,3,FALSE))</f>
        <v>0</v>
      </c>
      <c r="K1766" s="49" t="str">
        <f>IF(F1766="", " ", IF(ISNA(VLOOKUP(D1766,'[2]stock-take'!$M:$Q,4,FALSE)), "OUT OF STOCK", VLOOKUP(D1766,'[2]stock-take'!$M:$Q,4,FALSE)))</f>
        <v xml:space="preserve"> </v>
      </c>
      <c r="L1766" s="47">
        <f>IF(ISNA(VLOOKUP(D1766,'[2]stock-take'!$M:$Q,3,FALSE)), 0, VLOOKUP(D1766,'[2]stock-take'!$M:$Q,3,FALSE))</f>
        <v>0</v>
      </c>
      <c r="M1766" s="48" t="str">
        <f t="shared" si="82"/>
        <v xml:space="preserve"> </v>
      </c>
      <c r="N1766" s="39" t="str">
        <f t="shared" si="83"/>
        <v xml:space="preserve"> </v>
      </c>
    </row>
    <row r="1767" spans="1:14">
      <c r="A1767" s="37">
        <f t="shared" si="81"/>
        <v>1756</v>
      </c>
      <c r="G1767" s="48" t="str">
        <f>IF(F1767=""," ",IF(ISNA(VLOOKUP(D1767,'[2]stock-take'!$A:$E,4,FALSE)), "OUT OF STOCK", VLOOKUP(D1767,'[2]stock-take'!$A:$E,4,FALSE)))</f>
        <v xml:space="preserve"> </v>
      </c>
      <c r="H1767" s="48">
        <f>IF(ISNA(VLOOKUP(D1767,'[2]stock-take'!$A:$E,3,FALSE)), 0, VLOOKUP(D1767,'[2]stock-take'!$A:$E,3,FALSE))</f>
        <v>0</v>
      </c>
      <c r="I1767" s="48" t="str">
        <f>IF(F1767="", " ",IF(ISNA(VLOOKUP(D1767,'[2]stock-take'!$G:$K,4,FALSE)), "OUT OF STOCK", VLOOKUP(D1767,'[2]stock-take'!$G:$K,4,FALSE)))</f>
        <v xml:space="preserve"> </v>
      </c>
      <c r="J1767" s="39">
        <f>IF(ISNA(VLOOKUP(D1767,'[2]stock-take'!$G:$K,3,FALSE)), 0, VLOOKUP(D1767,'[2]stock-take'!$G:$K,3,FALSE))</f>
        <v>0</v>
      </c>
      <c r="K1767" s="49" t="str">
        <f>IF(F1767="", " ", IF(ISNA(VLOOKUP(D1767,'[2]stock-take'!$M:$Q,4,FALSE)), "OUT OF STOCK", VLOOKUP(D1767,'[2]stock-take'!$M:$Q,4,FALSE)))</f>
        <v xml:space="preserve"> </v>
      </c>
      <c r="L1767" s="47">
        <f>IF(ISNA(VLOOKUP(D1767,'[2]stock-take'!$M:$Q,3,FALSE)), 0, VLOOKUP(D1767,'[2]stock-take'!$M:$Q,3,FALSE))</f>
        <v>0</v>
      </c>
      <c r="M1767" s="48" t="str">
        <f t="shared" si="82"/>
        <v xml:space="preserve"> </v>
      </c>
      <c r="N1767" s="39" t="str">
        <f t="shared" si="83"/>
        <v xml:space="preserve"> </v>
      </c>
    </row>
    <row r="1768" spans="1:14">
      <c r="A1768" s="37">
        <f t="shared" si="81"/>
        <v>1757</v>
      </c>
      <c r="G1768" s="48" t="str">
        <f>IF(F1768=""," ",IF(ISNA(VLOOKUP(D1768,'[2]stock-take'!$A:$E,4,FALSE)), "OUT OF STOCK", VLOOKUP(D1768,'[2]stock-take'!$A:$E,4,FALSE)))</f>
        <v xml:space="preserve"> </v>
      </c>
      <c r="H1768" s="48">
        <f>IF(ISNA(VLOOKUP(D1768,'[2]stock-take'!$A:$E,3,FALSE)), 0, VLOOKUP(D1768,'[2]stock-take'!$A:$E,3,FALSE))</f>
        <v>0</v>
      </c>
      <c r="I1768" s="48" t="str">
        <f>IF(F1768="", " ",IF(ISNA(VLOOKUP(D1768,'[2]stock-take'!$G:$K,4,FALSE)), "OUT OF STOCK", VLOOKUP(D1768,'[2]stock-take'!$G:$K,4,FALSE)))</f>
        <v xml:space="preserve"> </v>
      </c>
      <c r="J1768" s="39">
        <f>IF(ISNA(VLOOKUP(D1768,'[2]stock-take'!$G:$K,3,FALSE)), 0, VLOOKUP(D1768,'[2]stock-take'!$G:$K,3,FALSE))</f>
        <v>0</v>
      </c>
      <c r="K1768" s="49" t="str">
        <f>IF(F1768="", " ", IF(ISNA(VLOOKUP(D1768,'[2]stock-take'!$M:$Q,4,FALSE)), "OUT OF STOCK", VLOOKUP(D1768,'[2]stock-take'!$M:$Q,4,FALSE)))</f>
        <v xml:space="preserve"> </v>
      </c>
      <c r="L1768" s="47">
        <f>IF(ISNA(VLOOKUP(D1768,'[2]stock-take'!$M:$Q,3,FALSE)), 0, VLOOKUP(D1768,'[2]stock-take'!$M:$Q,3,FALSE))</f>
        <v>0</v>
      </c>
      <c r="M1768" s="48" t="str">
        <f t="shared" si="82"/>
        <v xml:space="preserve"> </v>
      </c>
      <c r="N1768" s="39" t="str">
        <f t="shared" si="83"/>
        <v xml:space="preserve"> </v>
      </c>
    </row>
    <row r="1769" spans="1:14">
      <c r="A1769" s="37">
        <f t="shared" si="81"/>
        <v>1758</v>
      </c>
      <c r="G1769" s="48" t="str">
        <f>IF(F1769=""," ",IF(ISNA(VLOOKUP(D1769,'[2]stock-take'!$A:$E,4,FALSE)), "OUT OF STOCK", VLOOKUP(D1769,'[2]stock-take'!$A:$E,4,FALSE)))</f>
        <v xml:space="preserve"> </v>
      </c>
      <c r="H1769" s="48">
        <f>IF(ISNA(VLOOKUP(D1769,'[2]stock-take'!$A:$E,3,FALSE)), 0, VLOOKUP(D1769,'[2]stock-take'!$A:$E,3,FALSE))</f>
        <v>0</v>
      </c>
      <c r="I1769" s="48" t="str">
        <f>IF(F1769="", " ",IF(ISNA(VLOOKUP(D1769,'[2]stock-take'!$G:$K,4,FALSE)), "OUT OF STOCK", VLOOKUP(D1769,'[2]stock-take'!$G:$K,4,FALSE)))</f>
        <v xml:space="preserve"> </v>
      </c>
      <c r="J1769" s="39">
        <f>IF(ISNA(VLOOKUP(D1769,'[2]stock-take'!$G:$K,3,FALSE)), 0, VLOOKUP(D1769,'[2]stock-take'!$G:$K,3,FALSE))</f>
        <v>0</v>
      </c>
      <c r="K1769" s="49" t="str">
        <f>IF(F1769="", " ", IF(ISNA(VLOOKUP(D1769,'[2]stock-take'!$M:$Q,4,FALSE)), "OUT OF STOCK", VLOOKUP(D1769,'[2]stock-take'!$M:$Q,4,FALSE)))</f>
        <v xml:space="preserve"> </v>
      </c>
      <c r="L1769" s="47">
        <f>IF(ISNA(VLOOKUP(D1769,'[2]stock-take'!$M:$Q,3,FALSE)), 0, VLOOKUP(D1769,'[2]stock-take'!$M:$Q,3,FALSE))</f>
        <v>0</v>
      </c>
      <c r="M1769" s="48" t="str">
        <f t="shared" si="82"/>
        <v xml:space="preserve"> </v>
      </c>
      <c r="N1769" s="39" t="str">
        <f t="shared" si="83"/>
        <v xml:space="preserve"> </v>
      </c>
    </row>
    <row r="1770" spans="1:14">
      <c r="A1770" s="37">
        <f t="shared" si="81"/>
        <v>1759</v>
      </c>
      <c r="G1770" s="48" t="str">
        <f>IF(F1770=""," ",IF(ISNA(VLOOKUP(D1770,'[2]stock-take'!$A:$E,4,FALSE)), "OUT OF STOCK", VLOOKUP(D1770,'[2]stock-take'!$A:$E,4,FALSE)))</f>
        <v xml:space="preserve"> </v>
      </c>
      <c r="H1770" s="48">
        <f>IF(ISNA(VLOOKUP(D1770,'[2]stock-take'!$A:$E,3,FALSE)), 0, VLOOKUP(D1770,'[2]stock-take'!$A:$E,3,FALSE))</f>
        <v>0</v>
      </c>
      <c r="I1770" s="48" t="str">
        <f>IF(F1770="", " ",IF(ISNA(VLOOKUP(D1770,'[2]stock-take'!$G:$K,4,FALSE)), "OUT OF STOCK", VLOOKUP(D1770,'[2]stock-take'!$G:$K,4,FALSE)))</f>
        <v xml:space="preserve"> </v>
      </c>
      <c r="J1770" s="39">
        <f>IF(ISNA(VLOOKUP(D1770,'[2]stock-take'!$G:$K,3,FALSE)), 0, VLOOKUP(D1770,'[2]stock-take'!$G:$K,3,FALSE))</f>
        <v>0</v>
      </c>
      <c r="K1770" s="49" t="str">
        <f>IF(F1770="", " ", IF(ISNA(VLOOKUP(D1770,'[2]stock-take'!$M:$Q,4,FALSE)), "OUT OF STOCK", VLOOKUP(D1770,'[2]stock-take'!$M:$Q,4,FALSE)))</f>
        <v xml:space="preserve"> </v>
      </c>
      <c r="L1770" s="47">
        <f>IF(ISNA(VLOOKUP(D1770,'[2]stock-take'!$M:$Q,3,FALSE)), 0, VLOOKUP(D1770,'[2]stock-take'!$M:$Q,3,FALSE))</f>
        <v>0</v>
      </c>
      <c r="M1770" s="48" t="str">
        <f t="shared" si="82"/>
        <v xml:space="preserve"> </v>
      </c>
      <c r="N1770" s="39" t="str">
        <f t="shared" si="83"/>
        <v xml:space="preserve"> </v>
      </c>
    </row>
    <row r="1771" spans="1:14">
      <c r="A1771" s="37">
        <f t="shared" si="81"/>
        <v>1760</v>
      </c>
      <c r="G1771" s="48" t="str">
        <f>IF(F1771=""," ",IF(ISNA(VLOOKUP(D1771,'[2]stock-take'!$A:$E,4,FALSE)), "OUT OF STOCK", VLOOKUP(D1771,'[2]stock-take'!$A:$E,4,FALSE)))</f>
        <v xml:space="preserve"> </v>
      </c>
      <c r="H1771" s="48">
        <f>IF(ISNA(VLOOKUP(D1771,'[2]stock-take'!$A:$E,3,FALSE)), 0, VLOOKUP(D1771,'[2]stock-take'!$A:$E,3,FALSE))</f>
        <v>0</v>
      </c>
      <c r="I1771" s="48" t="str">
        <f>IF(F1771="", " ",IF(ISNA(VLOOKUP(D1771,'[2]stock-take'!$G:$K,4,FALSE)), "OUT OF STOCK", VLOOKUP(D1771,'[2]stock-take'!$G:$K,4,FALSE)))</f>
        <v xml:space="preserve"> </v>
      </c>
      <c r="J1771" s="39">
        <f>IF(ISNA(VLOOKUP(D1771,'[2]stock-take'!$G:$K,3,FALSE)), 0, VLOOKUP(D1771,'[2]stock-take'!$G:$K,3,FALSE))</f>
        <v>0</v>
      </c>
      <c r="K1771" s="49" t="str">
        <f>IF(F1771="", " ", IF(ISNA(VLOOKUP(D1771,'[2]stock-take'!$M:$Q,4,FALSE)), "OUT OF STOCK", VLOOKUP(D1771,'[2]stock-take'!$M:$Q,4,FALSE)))</f>
        <v xml:space="preserve"> </v>
      </c>
      <c r="L1771" s="47">
        <f>IF(ISNA(VLOOKUP(D1771,'[2]stock-take'!$M:$Q,3,FALSE)), 0, VLOOKUP(D1771,'[2]stock-take'!$M:$Q,3,FALSE))</f>
        <v>0</v>
      </c>
      <c r="M1771" s="48" t="str">
        <f t="shared" si="82"/>
        <v xml:space="preserve"> </v>
      </c>
      <c r="N1771" s="39" t="str">
        <f t="shared" si="83"/>
        <v xml:space="preserve"> </v>
      </c>
    </row>
    <row r="1772" spans="1:14">
      <c r="A1772" s="37">
        <f t="shared" si="81"/>
        <v>1761</v>
      </c>
      <c r="G1772" s="48" t="str">
        <f>IF(F1772=""," ",IF(ISNA(VLOOKUP(D1772,'[2]stock-take'!$A:$E,4,FALSE)), "OUT OF STOCK", VLOOKUP(D1772,'[2]stock-take'!$A:$E,4,FALSE)))</f>
        <v xml:space="preserve"> </v>
      </c>
      <c r="H1772" s="48">
        <f>IF(ISNA(VLOOKUP(D1772,'[2]stock-take'!$A:$E,3,FALSE)), 0, VLOOKUP(D1772,'[2]stock-take'!$A:$E,3,FALSE))</f>
        <v>0</v>
      </c>
      <c r="I1772" s="48" t="str">
        <f>IF(F1772="", " ",IF(ISNA(VLOOKUP(D1772,'[2]stock-take'!$G:$K,4,FALSE)), "OUT OF STOCK", VLOOKUP(D1772,'[2]stock-take'!$G:$K,4,FALSE)))</f>
        <v xml:space="preserve"> </v>
      </c>
      <c r="J1772" s="39">
        <f>IF(ISNA(VLOOKUP(D1772,'[2]stock-take'!$G:$K,3,FALSE)), 0, VLOOKUP(D1772,'[2]stock-take'!$G:$K,3,FALSE))</f>
        <v>0</v>
      </c>
      <c r="K1772" s="49" t="str">
        <f>IF(F1772="", " ", IF(ISNA(VLOOKUP(D1772,'[2]stock-take'!$M:$Q,4,FALSE)), "OUT OF STOCK", VLOOKUP(D1772,'[2]stock-take'!$M:$Q,4,FALSE)))</f>
        <v xml:space="preserve"> </v>
      </c>
      <c r="L1772" s="47">
        <f>IF(ISNA(VLOOKUP(D1772,'[2]stock-take'!$M:$Q,3,FALSE)), 0, VLOOKUP(D1772,'[2]stock-take'!$M:$Q,3,FALSE))</f>
        <v>0</v>
      </c>
      <c r="M1772" s="48" t="str">
        <f t="shared" si="82"/>
        <v xml:space="preserve"> </v>
      </c>
      <c r="N1772" s="39" t="str">
        <f t="shared" si="83"/>
        <v xml:space="preserve"> </v>
      </c>
    </row>
    <row r="1773" spans="1:14">
      <c r="A1773" s="37">
        <f t="shared" si="81"/>
        <v>1762</v>
      </c>
      <c r="G1773" s="48" t="str">
        <f>IF(F1773=""," ",IF(ISNA(VLOOKUP(D1773,'[2]stock-take'!$A:$E,4,FALSE)), "OUT OF STOCK", VLOOKUP(D1773,'[2]stock-take'!$A:$E,4,FALSE)))</f>
        <v xml:space="preserve"> </v>
      </c>
      <c r="H1773" s="48">
        <f>IF(ISNA(VLOOKUP(D1773,'[2]stock-take'!$A:$E,3,FALSE)), 0, VLOOKUP(D1773,'[2]stock-take'!$A:$E,3,FALSE))</f>
        <v>0</v>
      </c>
      <c r="I1773" s="48" t="str">
        <f>IF(F1773="", " ",IF(ISNA(VLOOKUP(D1773,'[2]stock-take'!$G:$K,4,FALSE)), "OUT OF STOCK", VLOOKUP(D1773,'[2]stock-take'!$G:$K,4,FALSE)))</f>
        <v xml:space="preserve"> </v>
      </c>
      <c r="J1773" s="39">
        <f>IF(ISNA(VLOOKUP(D1773,'[2]stock-take'!$G:$K,3,FALSE)), 0, VLOOKUP(D1773,'[2]stock-take'!$G:$K,3,FALSE))</f>
        <v>0</v>
      </c>
      <c r="K1773" s="49" t="str">
        <f>IF(F1773="", " ", IF(ISNA(VLOOKUP(D1773,'[2]stock-take'!$M:$Q,4,FALSE)), "OUT OF STOCK", VLOOKUP(D1773,'[2]stock-take'!$M:$Q,4,FALSE)))</f>
        <v xml:space="preserve"> </v>
      </c>
      <c r="L1773" s="47">
        <f>IF(ISNA(VLOOKUP(D1773,'[2]stock-take'!$M:$Q,3,FALSE)), 0, VLOOKUP(D1773,'[2]stock-take'!$M:$Q,3,FALSE))</f>
        <v>0</v>
      </c>
      <c r="M1773" s="48" t="str">
        <f t="shared" si="82"/>
        <v xml:space="preserve"> </v>
      </c>
      <c r="N1773" s="39" t="str">
        <f t="shared" si="83"/>
        <v xml:space="preserve"> </v>
      </c>
    </row>
    <row r="1774" spans="1:14">
      <c r="A1774" s="37">
        <f t="shared" si="81"/>
        <v>1763</v>
      </c>
      <c r="G1774" s="48" t="str">
        <f>IF(F1774=""," ",IF(ISNA(VLOOKUP(D1774,'[2]stock-take'!$A:$E,4,FALSE)), "OUT OF STOCK", VLOOKUP(D1774,'[2]stock-take'!$A:$E,4,FALSE)))</f>
        <v xml:space="preserve"> </v>
      </c>
      <c r="H1774" s="48">
        <f>IF(ISNA(VLOOKUP(D1774,'[2]stock-take'!$A:$E,3,FALSE)), 0, VLOOKUP(D1774,'[2]stock-take'!$A:$E,3,FALSE))</f>
        <v>0</v>
      </c>
      <c r="I1774" s="48" t="str">
        <f>IF(F1774="", " ",IF(ISNA(VLOOKUP(D1774,'[2]stock-take'!$G:$K,4,FALSE)), "OUT OF STOCK", VLOOKUP(D1774,'[2]stock-take'!$G:$K,4,FALSE)))</f>
        <v xml:space="preserve"> </v>
      </c>
      <c r="J1774" s="39">
        <f>IF(ISNA(VLOOKUP(D1774,'[2]stock-take'!$G:$K,3,FALSE)), 0, VLOOKUP(D1774,'[2]stock-take'!$G:$K,3,FALSE))</f>
        <v>0</v>
      </c>
      <c r="K1774" s="49" t="str">
        <f>IF(F1774="", " ", IF(ISNA(VLOOKUP(D1774,'[2]stock-take'!$M:$Q,4,FALSE)), "OUT OF STOCK", VLOOKUP(D1774,'[2]stock-take'!$M:$Q,4,FALSE)))</f>
        <v xml:space="preserve"> </v>
      </c>
      <c r="L1774" s="47">
        <f>IF(ISNA(VLOOKUP(D1774,'[2]stock-take'!$M:$Q,3,FALSE)), 0, VLOOKUP(D1774,'[2]stock-take'!$M:$Q,3,FALSE))</f>
        <v>0</v>
      </c>
      <c r="M1774" s="48" t="str">
        <f t="shared" si="82"/>
        <v xml:space="preserve"> </v>
      </c>
      <c r="N1774" s="39" t="str">
        <f t="shared" si="83"/>
        <v xml:space="preserve"> </v>
      </c>
    </row>
    <row r="1775" spans="1:14">
      <c r="A1775" s="37">
        <f t="shared" si="81"/>
        <v>1764</v>
      </c>
      <c r="G1775" s="48" t="str">
        <f>IF(F1775=""," ",IF(ISNA(VLOOKUP(D1775,'[2]stock-take'!$A:$E,4,FALSE)), "OUT OF STOCK", VLOOKUP(D1775,'[2]stock-take'!$A:$E,4,FALSE)))</f>
        <v xml:space="preserve"> </v>
      </c>
      <c r="H1775" s="48">
        <f>IF(ISNA(VLOOKUP(D1775,'[2]stock-take'!$A:$E,3,FALSE)), 0, VLOOKUP(D1775,'[2]stock-take'!$A:$E,3,FALSE))</f>
        <v>0</v>
      </c>
      <c r="I1775" s="48" t="str">
        <f>IF(F1775="", " ",IF(ISNA(VLOOKUP(D1775,'[2]stock-take'!$G:$K,4,FALSE)), "OUT OF STOCK", VLOOKUP(D1775,'[2]stock-take'!$G:$K,4,FALSE)))</f>
        <v xml:space="preserve"> </v>
      </c>
      <c r="J1775" s="39">
        <f>IF(ISNA(VLOOKUP(D1775,'[2]stock-take'!$G:$K,3,FALSE)), 0, VLOOKUP(D1775,'[2]stock-take'!$G:$K,3,FALSE))</f>
        <v>0</v>
      </c>
      <c r="K1775" s="49" t="str">
        <f>IF(F1775="", " ", IF(ISNA(VLOOKUP(D1775,'[2]stock-take'!$M:$Q,4,FALSE)), "OUT OF STOCK", VLOOKUP(D1775,'[2]stock-take'!$M:$Q,4,FALSE)))</f>
        <v xml:space="preserve"> </v>
      </c>
      <c r="L1775" s="47">
        <f>IF(ISNA(VLOOKUP(D1775,'[2]stock-take'!$M:$Q,3,FALSE)), 0, VLOOKUP(D1775,'[2]stock-take'!$M:$Q,3,FALSE))</f>
        <v>0</v>
      </c>
      <c r="M1775" s="48" t="str">
        <f t="shared" si="82"/>
        <v xml:space="preserve"> </v>
      </c>
      <c r="N1775" s="39" t="str">
        <f t="shared" si="83"/>
        <v xml:space="preserve"> </v>
      </c>
    </row>
    <row r="1776" spans="1:14">
      <c r="A1776" s="37">
        <f t="shared" si="81"/>
        <v>1765</v>
      </c>
      <c r="G1776" s="48" t="str">
        <f>IF(F1776=""," ",IF(ISNA(VLOOKUP(D1776,'[2]stock-take'!$A:$E,4,FALSE)), "OUT OF STOCK", VLOOKUP(D1776,'[2]stock-take'!$A:$E,4,FALSE)))</f>
        <v xml:space="preserve"> </v>
      </c>
      <c r="H1776" s="48">
        <f>IF(ISNA(VLOOKUP(D1776,'[2]stock-take'!$A:$E,3,FALSE)), 0, VLOOKUP(D1776,'[2]stock-take'!$A:$E,3,FALSE))</f>
        <v>0</v>
      </c>
      <c r="I1776" s="48" t="str">
        <f>IF(F1776="", " ",IF(ISNA(VLOOKUP(D1776,'[2]stock-take'!$G:$K,4,FALSE)), "OUT OF STOCK", VLOOKUP(D1776,'[2]stock-take'!$G:$K,4,FALSE)))</f>
        <v xml:space="preserve"> </v>
      </c>
      <c r="J1776" s="39">
        <f>IF(ISNA(VLOOKUP(D1776,'[2]stock-take'!$G:$K,3,FALSE)), 0, VLOOKUP(D1776,'[2]stock-take'!$G:$K,3,FALSE))</f>
        <v>0</v>
      </c>
      <c r="K1776" s="49" t="str">
        <f>IF(F1776="", " ", IF(ISNA(VLOOKUP(D1776,'[2]stock-take'!$M:$Q,4,FALSE)), "OUT OF STOCK", VLOOKUP(D1776,'[2]stock-take'!$M:$Q,4,FALSE)))</f>
        <v xml:space="preserve"> </v>
      </c>
      <c r="L1776" s="47">
        <f>IF(ISNA(VLOOKUP(D1776,'[2]stock-take'!$M:$Q,3,FALSE)), 0, VLOOKUP(D1776,'[2]stock-take'!$M:$Q,3,FALSE))</f>
        <v>0</v>
      </c>
      <c r="M1776" s="48" t="str">
        <f t="shared" si="82"/>
        <v xml:space="preserve"> </v>
      </c>
      <c r="N1776" s="39" t="str">
        <f t="shared" si="83"/>
        <v xml:space="preserve"> </v>
      </c>
    </row>
    <row r="1777" spans="1:14">
      <c r="A1777" s="37">
        <f t="shared" si="81"/>
        <v>1766</v>
      </c>
      <c r="G1777" s="48" t="str">
        <f>IF(F1777=""," ",IF(ISNA(VLOOKUP(D1777,'[2]stock-take'!$A:$E,4,FALSE)), "OUT OF STOCK", VLOOKUP(D1777,'[2]stock-take'!$A:$E,4,FALSE)))</f>
        <v xml:space="preserve"> </v>
      </c>
      <c r="H1777" s="48">
        <f>IF(ISNA(VLOOKUP(D1777,'[2]stock-take'!$A:$E,3,FALSE)), 0, VLOOKUP(D1777,'[2]stock-take'!$A:$E,3,FALSE))</f>
        <v>0</v>
      </c>
      <c r="I1777" s="48" t="str">
        <f>IF(F1777="", " ",IF(ISNA(VLOOKUP(D1777,'[2]stock-take'!$G:$K,4,FALSE)), "OUT OF STOCK", VLOOKUP(D1777,'[2]stock-take'!$G:$K,4,FALSE)))</f>
        <v xml:space="preserve"> </v>
      </c>
      <c r="J1777" s="39">
        <f>IF(ISNA(VLOOKUP(D1777,'[2]stock-take'!$G:$K,3,FALSE)), 0, VLOOKUP(D1777,'[2]stock-take'!$G:$K,3,FALSE))</f>
        <v>0</v>
      </c>
      <c r="K1777" s="49" t="str">
        <f>IF(F1777="", " ", IF(ISNA(VLOOKUP(D1777,'[2]stock-take'!$M:$Q,4,FALSE)), "OUT OF STOCK", VLOOKUP(D1777,'[2]stock-take'!$M:$Q,4,FALSE)))</f>
        <v xml:space="preserve"> </v>
      </c>
      <c r="L1777" s="47">
        <f>IF(ISNA(VLOOKUP(D1777,'[2]stock-take'!$M:$Q,3,FALSE)), 0, VLOOKUP(D1777,'[2]stock-take'!$M:$Q,3,FALSE))</f>
        <v>0</v>
      </c>
      <c r="M1777" s="48" t="str">
        <f t="shared" si="82"/>
        <v xml:space="preserve"> </v>
      </c>
      <c r="N1777" s="39" t="str">
        <f t="shared" si="83"/>
        <v xml:space="preserve"> </v>
      </c>
    </row>
    <row r="1778" spans="1:14">
      <c r="A1778" s="37">
        <f t="shared" si="81"/>
        <v>1767</v>
      </c>
      <c r="G1778" s="48" t="str">
        <f>IF(F1778=""," ",IF(ISNA(VLOOKUP(D1778,'[2]stock-take'!$A:$E,4,FALSE)), "OUT OF STOCK", VLOOKUP(D1778,'[2]stock-take'!$A:$E,4,FALSE)))</f>
        <v xml:space="preserve"> </v>
      </c>
      <c r="H1778" s="48">
        <f>IF(ISNA(VLOOKUP(D1778,'[2]stock-take'!$A:$E,3,FALSE)), 0, VLOOKUP(D1778,'[2]stock-take'!$A:$E,3,FALSE))</f>
        <v>0</v>
      </c>
      <c r="I1778" s="48" t="str">
        <f>IF(F1778="", " ",IF(ISNA(VLOOKUP(D1778,'[2]stock-take'!$G:$K,4,FALSE)), "OUT OF STOCK", VLOOKUP(D1778,'[2]stock-take'!$G:$K,4,FALSE)))</f>
        <v xml:space="preserve"> </v>
      </c>
      <c r="J1778" s="39">
        <f>IF(ISNA(VLOOKUP(D1778,'[2]stock-take'!$G:$K,3,FALSE)), 0, VLOOKUP(D1778,'[2]stock-take'!$G:$K,3,FALSE))</f>
        <v>0</v>
      </c>
      <c r="K1778" s="49" t="str">
        <f>IF(F1778="", " ", IF(ISNA(VLOOKUP(D1778,'[2]stock-take'!$M:$Q,4,FALSE)), "OUT OF STOCK", VLOOKUP(D1778,'[2]stock-take'!$M:$Q,4,FALSE)))</f>
        <v xml:space="preserve"> </v>
      </c>
      <c r="L1778" s="47">
        <f>IF(ISNA(VLOOKUP(D1778,'[2]stock-take'!$M:$Q,3,FALSE)), 0, VLOOKUP(D1778,'[2]stock-take'!$M:$Q,3,FALSE))</f>
        <v>0</v>
      </c>
      <c r="M1778" s="48" t="str">
        <f t="shared" si="82"/>
        <v xml:space="preserve"> </v>
      </c>
      <c r="N1778" s="39" t="str">
        <f t="shared" si="83"/>
        <v xml:space="preserve"> </v>
      </c>
    </row>
    <row r="1779" spans="1:14">
      <c r="A1779" s="37">
        <f t="shared" si="81"/>
        <v>1768</v>
      </c>
      <c r="G1779" s="48" t="str">
        <f>IF(F1779=""," ",IF(ISNA(VLOOKUP(D1779,'[2]stock-take'!$A:$E,4,FALSE)), "OUT OF STOCK", VLOOKUP(D1779,'[2]stock-take'!$A:$E,4,FALSE)))</f>
        <v xml:space="preserve"> </v>
      </c>
      <c r="H1779" s="48">
        <f>IF(ISNA(VLOOKUP(D1779,'[2]stock-take'!$A:$E,3,FALSE)), 0, VLOOKUP(D1779,'[2]stock-take'!$A:$E,3,FALSE))</f>
        <v>0</v>
      </c>
      <c r="I1779" s="48" t="str">
        <f>IF(F1779="", " ",IF(ISNA(VLOOKUP(D1779,'[2]stock-take'!$G:$K,4,FALSE)), "OUT OF STOCK", VLOOKUP(D1779,'[2]stock-take'!$G:$K,4,FALSE)))</f>
        <v xml:space="preserve"> </v>
      </c>
      <c r="J1779" s="39">
        <f>IF(ISNA(VLOOKUP(D1779,'[2]stock-take'!$G:$K,3,FALSE)), 0, VLOOKUP(D1779,'[2]stock-take'!$G:$K,3,FALSE))</f>
        <v>0</v>
      </c>
      <c r="K1779" s="49" t="str">
        <f>IF(F1779="", " ", IF(ISNA(VLOOKUP(D1779,'[2]stock-take'!$M:$Q,4,FALSE)), "OUT OF STOCK", VLOOKUP(D1779,'[2]stock-take'!$M:$Q,4,FALSE)))</f>
        <v xml:space="preserve"> </v>
      </c>
      <c r="L1779" s="47">
        <f>IF(ISNA(VLOOKUP(D1779,'[2]stock-take'!$M:$Q,3,FALSE)), 0, VLOOKUP(D1779,'[2]stock-take'!$M:$Q,3,FALSE))</f>
        <v>0</v>
      </c>
      <c r="M1779" s="48" t="str">
        <f t="shared" si="82"/>
        <v xml:space="preserve"> </v>
      </c>
      <c r="N1779" s="39" t="str">
        <f t="shared" si="83"/>
        <v xml:space="preserve"> </v>
      </c>
    </row>
  </sheetData>
  <mergeCells count="1">
    <mergeCell ref="E3:F3"/>
  </mergeCells>
  <phoneticPr fontId="30" type="noConversion"/>
  <conditionalFormatting sqref="B12:B1048576">
    <cfRule type="cellIs" dxfId="10" priority="13" operator="equal">
      <formula>$B11</formula>
    </cfRule>
  </conditionalFormatting>
  <conditionalFormatting sqref="E12:E1048576">
    <cfRule type="cellIs" dxfId="9" priority="11" operator="greaterThanOrEqual">
      <formula>2</formula>
    </cfRule>
  </conditionalFormatting>
  <conditionalFormatting sqref="A12:A1779">
    <cfRule type="cellIs" dxfId="8" priority="10" operator="greaterThan">
      <formula>$F$4</formula>
    </cfRule>
  </conditionalFormatting>
  <conditionalFormatting sqref="B21 B51">
    <cfRule type="cellIs" dxfId="7" priority="16" operator="equal">
      <formula>#REF!</formula>
    </cfRule>
  </conditionalFormatting>
  <conditionalFormatting sqref="H12:H1779">
    <cfRule type="cellIs" dxfId="6" priority="9" operator="equal">
      <formula>0</formula>
    </cfRule>
  </conditionalFormatting>
  <conditionalFormatting sqref="J12:J1779">
    <cfRule type="cellIs" dxfId="5" priority="8" operator="equal">
      <formula>0</formula>
    </cfRule>
  </conditionalFormatting>
  <conditionalFormatting sqref="L12:L1779">
    <cfRule type="cellIs" dxfId="4" priority="7" operator="equal">
      <formula>0</formula>
    </cfRule>
  </conditionalFormatting>
  <conditionalFormatting sqref="M12:M1779">
    <cfRule type="cellIs" dxfId="3" priority="6" operator="equal">
      <formula>"Y"</formula>
    </cfRule>
  </conditionalFormatting>
  <conditionalFormatting sqref="N12:N1779">
    <cfRule type="cellIs" dxfId="2" priority="5" operator="notEqual">
      <formula>"LACK"</formula>
    </cfRule>
  </conditionalFormatting>
  <conditionalFormatting sqref="C12:C1048576">
    <cfRule type="cellIs" dxfId="1" priority="1" operator="equal">
      <formula>C11</formula>
    </cfRule>
  </conditionalFormatting>
  <dataValidations count="4">
    <dataValidation type="list" allowBlank="1" showInputMessage="1" showErrorMessage="1" sqref="C6" xr:uid="{0CA3917F-E194-492B-8F9A-D90927407600}">
      <formula1>"RMD, BBY, OTT"</formula1>
    </dataValidation>
    <dataValidation type="list" allowBlank="1" showInputMessage="1" showErrorMessage="1" sqref="C6" xr:uid="{B295C8D6-594A-4D2A-9545-E162B976A2F8}">
      <formula1>"RMD, BBY, OTT, OTHER"</formula1>
    </dataValidation>
    <dataValidation type="list" allowBlank="1" showInputMessage="1" showErrorMessage="1" sqref="C9" xr:uid="{2CDBFCC1-E960-4DB3-9BA2-AFD69A8AF0F5}">
      <formula1>"YES, NO, TBC"</formula1>
    </dataValidation>
    <dataValidation type="list" allowBlank="1" showInputMessage="1" showErrorMessage="1" sqref="C5" xr:uid="{94F0794D-B19A-49B2-BFA5-B2CA02A9CBA9}">
      <formula1>"PLEASE SELECT,PICKUP,DELIVERY"</formula1>
    </dataValidation>
  </dataValidations>
  <pageMargins left="0.7" right="0.25" top="0.75" bottom="0.75" header="0.3" footer="0.3"/>
  <pageSetup orientation="landscape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lickReadyToDeliver">
                <anchor moveWithCells="1" sizeWithCells="1">
                  <from>
                    <xdr:col>9</xdr:col>
                    <xdr:colOff>247650</xdr:colOff>
                    <xdr:row>1</xdr:row>
                    <xdr:rowOff>28575</xdr:rowOff>
                  </from>
                  <to>
                    <xdr:col>12</xdr:col>
                    <xdr:colOff>28575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lickReadyToPrint">
                <anchor moveWithCells="1" sizeWithCells="1">
                  <from>
                    <xdr:col>9</xdr:col>
                    <xdr:colOff>247650</xdr:colOff>
                    <xdr:row>5</xdr:row>
                    <xdr:rowOff>152400</xdr:rowOff>
                  </from>
                  <to>
                    <xdr:col>12</xdr:col>
                    <xdr:colOff>28575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lickSetOrder">
                <anchor moveWithCells="1" sizeWithCells="1">
                  <from>
                    <xdr:col>3</xdr:col>
                    <xdr:colOff>1314450</xdr:colOff>
                    <xdr:row>1</xdr:row>
                    <xdr:rowOff>28575</xdr:rowOff>
                  </from>
                  <to>
                    <xdr:col>7</xdr:col>
                    <xdr:colOff>685800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780F6-DAB7-4567-BBA3-61ECD3B1FAB5}">
  <sheetPr codeName="Sheet5">
    <pageSetUpPr fitToPage="1"/>
  </sheetPr>
  <dimension ref="A1:Q42"/>
  <sheetViews>
    <sheetView view="pageBreakPreview" zoomScale="40" zoomScaleNormal="55" zoomScaleSheetLayoutView="40" workbookViewId="0">
      <selection activeCell="C18" sqref="C18"/>
    </sheetView>
  </sheetViews>
  <sheetFormatPr defaultColWidth="9.140625" defaultRowHeight="127.5"/>
  <cols>
    <col min="1" max="1" width="10.7109375" style="6" customWidth="1"/>
    <col min="2" max="4" width="16.85546875" style="6" customWidth="1"/>
    <col min="5" max="5" width="28.28515625" style="6" customWidth="1"/>
    <col min="6" max="6" width="17.42578125" style="6" customWidth="1"/>
    <col min="7" max="7" width="18.85546875" style="6" customWidth="1"/>
    <col min="8" max="8" width="14.28515625" style="6" customWidth="1"/>
    <col min="9" max="9" width="16.5703125" style="6" customWidth="1"/>
    <col min="10" max="14" width="16.85546875" style="6" customWidth="1"/>
    <col min="15" max="16384" width="9.140625" style="6"/>
  </cols>
  <sheetData>
    <row r="1" spans="1:17" s="4" customFormat="1" ht="47.25" customHeight="1">
      <c r="A1" s="1" t="s">
        <v>11</v>
      </c>
      <c r="B1" s="2"/>
      <c r="C1" s="2"/>
      <c r="D1" s="2"/>
      <c r="E1" s="2"/>
      <c r="F1" s="3"/>
      <c r="G1" s="62" t="str">
        <f>'Delivery Order'!C5</f>
        <v>PLEASE SELECT</v>
      </c>
      <c r="H1" s="62"/>
      <c r="I1" s="63"/>
      <c r="O1" s="5"/>
      <c r="P1" s="5"/>
    </row>
    <row r="2" spans="1:17" ht="128.25" thickBot="1">
      <c r="A2" s="64" t="str">
        <f>'Delivery Order'!C2</f>
        <v>To be updated</v>
      </c>
      <c r="B2" s="65"/>
      <c r="C2" s="65"/>
      <c r="D2" s="65"/>
      <c r="E2" s="65"/>
      <c r="F2" s="65"/>
      <c r="G2" s="66">
        <f ca="1">'Delivery Order'!C7</f>
        <v>45654</v>
      </c>
      <c r="H2" s="66"/>
      <c r="I2" s="67"/>
      <c r="K2" s="86" t="s">
        <v>31</v>
      </c>
      <c r="L2" s="86"/>
      <c r="O2" s="5"/>
      <c r="P2" s="5"/>
    </row>
    <row r="3" spans="1:17" ht="43.5" customHeight="1" thickBot="1">
      <c r="A3" s="30">
        <f>'Delivery Order'!C3</f>
        <v>0</v>
      </c>
      <c r="B3" s="31"/>
      <c r="C3" s="31"/>
      <c r="D3" s="31"/>
      <c r="E3" s="31"/>
      <c r="F3" s="7"/>
      <c r="G3" s="8" t="s">
        <v>12</v>
      </c>
      <c r="H3" s="7"/>
      <c r="I3" s="9" t="str">
        <f>'Delivery Order'!C9</f>
        <v>NO</v>
      </c>
      <c r="K3" s="36" t="s">
        <v>35</v>
      </c>
      <c r="L3" s="27">
        <f>FLOOR(G8,30)</f>
        <v>0</v>
      </c>
      <c r="O3" s="5"/>
      <c r="P3" s="5"/>
    </row>
    <row r="4" spans="1:17" ht="9" customHeight="1" thickBot="1"/>
    <row r="5" spans="1:17" s="12" customFormat="1" ht="47.25" customHeight="1">
      <c r="A5" s="68" t="s">
        <v>13</v>
      </c>
      <c r="B5" s="69"/>
      <c r="C5" s="69"/>
      <c r="D5" s="2"/>
      <c r="E5" s="2"/>
      <c r="F5" s="2"/>
      <c r="G5" s="2"/>
      <c r="H5" s="10"/>
      <c r="I5" s="11"/>
    </row>
    <row r="6" spans="1:17" ht="144" customHeight="1" thickBot="1">
      <c r="A6" s="87" t="str">
        <f>IF('Delivery Order'!C5="DELIVERY",'Delivery Order'!C8,'Delivery Order'!C6)</f>
        <v>RMD</v>
      </c>
      <c r="B6" s="88"/>
      <c r="C6" s="88"/>
      <c r="D6" s="88"/>
      <c r="E6" s="88"/>
      <c r="F6" s="88"/>
      <c r="G6" s="88"/>
      <c r="H6" s="88"/>
      <c r="I6" s="89"/>
    </row>
    <row r="7" spans="1:17" ht="9" customHeight="1" thickBot="1"/>
    <row r="8" spans="1:17" s="12" customFormat="1" ht="120" customHeight="1">
      <c r="A8" s="78" t="str">
        <f ca="1">VLOOKUP($G$8,$A$12:$I$41,6,0)&amp;" ("&amp;VLOOKUP($G$8,$A$12:$I$41,9,0)&amp;"pcs)"</f>
        <v xml:space="preserve">  ( pcs)</v>
      </c>
      <c r="B8" s="79"/>
      <c r="C8" s="79"/>
      <c r="D8" s="79"/>
      <c r="E8" s="79"/>
      <c r="F8" s="80"/>
      <c r="G8" s="71">
        <v>1</v>
      </c>
      <c r="H8" s="84" t="s">
        <v>39</v>
      </c>
      <c r="I8" s="73">
        <f>'Delivery Order'!F4</f>
        <v>0</v>
      </c>
      <c r="O8" s="13"/>
      <c r="P8" s="13"/>
      <c r="Q8" s="13"/>
    </row>
    <row r="9" spans="1:17" s="12" customFormat="1" ht="38.25" customHeight="1" thickBot="1">
      <c r="A9" s="81" t="str">
        <f ca="1">"OF SET: ["&amp;VLOOKUP($G$8,$A$12:$J$41,10,0)&amp;"]"</f>
        <v>OF SET: [ ]</v>
      </c>
      <c r="B9" s="82"/>
      <c r="C9" s="82"/>
      <c r="D9" s="82"/>
      <c r="E9" s="82"/>
      <c r="F9" s="83"/>
      <c r="G9" s="72"/>
      <c r="H9" s="85"/>
      <c r="I9" s="74"/>
      <c r="K9" s="26"/>
    </row>
    <row r="10" spans="1:17" ht="9" customHeight="1">
      <c r="A10" s="14"/>
      <c r="G10" s="6">
        <v>32</v>
      </c>
      <c r="I10" s="15"/>
    </row>
    <row r="11" spans="1:17" s="12" customFormat="1" ht="47.25" customHeight="1">
      <c r="A11" s="75" t="s">
        <v>15</v>
      </c>
      <c r="B11" s="76"/>
      <c r="C11" s="16"/>
      <c r="D11" s="77"/>
      <c r="E11" s="77"/>
      <c r="F11" s="25" t="s">
        <v>30</v>
      </c>
      <c r="G11" s="25"/>
      <c r="H11" s="17"/>
      <c r="I11" s="18" t="s">
        <v>16</v>
      </c>
    </row>
    <row r="12" spans="1:17" s="19" customFormat="1" ht="33.75">
      <c r="A12" s="28">
        <f>IF(L3=G8,(L3-30)+1,$L$3+1)</f>
        <v>1</v>
      </c>
      <c r="B12" s="55" t="str">
        <f ca="1">IF(OFFSET('Delivery Order'!$C$11,A12,0)=0," ", OFFSET('Delivery Order'!$C$11,A12,0))</f>
        <v xml:space="preserve"> </v>
      </c>
      <c r="C12" s="56"/>
      <c r="D12" s="56"/>
      <c r="E12" s="56"/>
      <c r="F12" s="61" t="str">
        <f ca="1">IF(OFFSET('Delivery Order'!$D$11,A12,0)=0," ", OFFSET('Delivery Order'!$D$11,A12,0))</f>
        <v xml:space="preserve"> </v>
      </c>
      <c r="G12" s="61"/>
      <c r="H12" s="61"/>
      <c r="I12" s="57" t="str">
        <f ca="1">IF(OFFSET('Delivery Order'!$F$11,A12,0)=0," ", OFFSET('Delivery Order'!$F$11,A12,0))</f>
        <v xml:space="preserve"> </v>
      </c>
      <c r="J12" s="59" t="str">
        <f ca="1">IF(OFFSET('Delivery Order'!$B$11,A12,0)=0," ", OFFSET('Delivery Order'!$B$11,A12,0))</f>
        <v xml:space="preserve"> </v>
      </c>
    </row>
    <row r="13" spans="1:17" s="19" customFormat="1" ht="33.75">
      <c r="A13" s="28">
        <f>A12+1</f>
        <v>2</v>
      </c>
      <c r="B13" s="55" t="str">
        <f ca="1">IF(OFFSET('Delivery Order'!$C$11,A13,0)=0," ", OFFSET('Delivery Order'!$C$11,A13,0))</f>
        <v xml:space="preserve"> </v>
      </c>
      <c r="C13" s="56"/>
      <c r="D13" s="56"/>
      <c r="E13" s="56"/>
      <c r="F13" s="61" t="str">
        <f ca="1">IF(OFFSET('Delivery Order'!$D$11,A13,0)=0," ", OFFSET('Delivery Order'!$D$11,A13,0))</f>
        <v xml:space="preserve"> </v>
      </c>
      <c r="G13" s="61"/>
      <c r="H13" s="61"/>
      <c r="I13" s="57" t="str">
        <f ca="1">IF(OFFSET('Delivery Order'!$F$11,A13,0)=0," ", OFFSET('Delivery Order'!$F$11,A13,0))</f>
        <v xml:space="preserve"> </v>
      </c>
      <c r="J13" s="59" t="str">
        <f ca="1">IF(OFFSET('Delivery Order'!$B$11,A13,0)=0," ", OFFSET('Delivery Order'!$B$11,A13,0))</f>
        <v xml:space="preserve"> </v>
      </c>
    </row>
    <row r="14" spans="1:17" s="19" customFormat="1" ht="33.75">
      <c r="A14" s="28">
        <f t="shared" ref="A14:A40" si="0">A13+1</f>
        <v>3</v>
      </c>
      <c r="B14" s="55" t="str">
        <f ca="1">IF(OFFSET('Delivery Order'!$C$11,A14,0)=0," ", OFFSET('Delivery Order'!$C$11,A14,0))</f>
        <v xml:space="preserve"> </v>
      </c>
      <c r="C14" s="56"/>
      <c r="D14" s="56"/>
      <c r="E14" s="56"/>
      <c r="F14" s="61" t="str">
        <f ca="1">IF(OFFSET('Delivery Order'!$D$11,A14,0)=0," ", OFFSET('Delivery Order'!$D$11,A14,0))</f>
        <v xml:space="preserve"> </v>
      </c>
      <c r="G14" s="61"/>
      <c r="H14" s="61"/>
      <c r="I14" s="57" t="str">
        <f ca="1">IF(OFFSET('Delivery Order'!$F$11,A14,0)=0," ", OFFSET('Delivery Order'!$F$11,A14,0))</f>
        <v xml:space="preserve"> </v>
      </c>
      <c r="J14" s="59" t="str">
        <f ca="1">IF(OFFSET('Delivery Order'!$B$11,A14,0)=0," ", OFFSET('Delivery Order'!$B$11,A14,0))</f>
        <v xml:space="preserve"> </v>
      </c>
    </row>
    <row r="15" spans="1:17" s="19" customFormat="1" ht="33.75">
      <c r="A15" s="28">
        <f t="shared" si="0"/>
        <v>4</v>
      </c>
      <c r="B15" s="55" t="str">
        <f ca="1">IF(OFFSET('Delivery Order'!$C$11,A15,0)=0," ", OFFSET('Delivery Order'!$C$11,A15,0))</f>
        <v xml:space="preserve"> </v>
      </c>
      <c r="C15" s="56"/>
      <c r="D15" s="56"/>
      <c r="E15" s="56"/>
      <c r="F15" s="61" t="str">
        <f ca="1">IF(OFFSET('Delivery Order'!$D$11,A15,0)=0," ", OFFSET('Delivery Order'!$D$11,A15,0))</f>
        <v xml:space="preserve"> </v>
      </c>
      <c r="G15" s="61"/>
      <c r="H15" s="61"/>
      <c r="I15" s="57" t="str">
        <f ca="1">IF(OFFSET('Delivery Order'!$F$11,A15,0)=0," ", OFFSET('Delivery Order'!$F$11,A15,0))</f>
        <v xml:space="preserve"> </v>
      </c>
      <c r="J15" s="59" t="str">
        <f ca="1">IF(OFFSET('Delivery Order'!$B$11,A15,0)=0," ", OFFSET('Delivery Order'!$B$11,A15,0))</f>
        <v xml:space="preserve"> </v>
      </c>
    </row>
    <row r="16" spans="1:17" s="19" customFormat="1" ht="33.75">
      <c r="A16" s="28">
        <f t="shared" si="0"/>
        <v>5</v>
      </c>
      <c r="B16" s="55" t="str">
        <f ca="1">IF(OFFSET('Delivery Order'!$C$11,A16,0)=0," ", OFFSET('Delivery Order'!$C$11,A16,0))</f>
        <v xml:space="preserve"> </v>
      </c>
      <c r="C16" s="56"/>
      <c r="D16" s="56"/>
      <c r="E16" s="56"/>
      <c r="F16" s="61" t="str">
        <f ca="1">IF(OFFSET('Delivery Order'!$D$11,A16,0)=0," ", OFFSET('Delivery Order'!$D$11,A16,0))</f>
        <v xml:space="preserve"> </v>
      </c>
      <c r="G16" s="61"/>
      <c r="H16" s="61"/>
      <c r="I16" s="57" t="str">
        <f ca="1">IF(OFFSET('Delivery Order'!$F$11,A16,0)=0," ", OFFSET('Delivery Order'!$F$11,A16,0))</f>
        <v xml:space="preserve"> </v>
      </c>
      <c r="J16" s="59" t="str">
        <f ca="1">IF(OFFSET('Delivery Order'!$B$11,A16,0)=0," ", OFFSET('Delivery Order'!$B$11,A16,0))</f>
        <v xml:space="preserve"> </v>
      </c>
    </row>
    <row r="17" spans="1:10" s="19" customFormat="1" ht="33.75">
      <c r="A17" s="28">
        <f t="shared" si="0"/>
        <v>6</v>
      </c>
      <c r="B17" s="55" t="str">
        <f ca="1">IF(OFFSET('Delivery Order'!$C$11,A17,0)=0," ", OFFSET('Delivery Order'!$C$11,A17,0))</f>
        <v xml:space="preserve"> </v>
      </c>
      <c r="C17" s="56"/>
      <c r="D17" s="56"/>
      <c r="E17" s="56"/>
      <c r="F17" s="61" t="str">
        <f ca="1">IF(OFFSET('Delivery Order'!$D$11,A17,0)=0," ", OFFSET('Delivery Order'!$D$11,A17,0))</f>
        <v xml:space="preserve"> </v>
      </c>
      <c r="G17" s="61"/>
      <c r="H17" s="61"/>
      <c r="I17" s="57" t="str">
        <f ca="1">IF(OFFSET('Delivery Order'!$F$11,A17,0)=0," ", OFFSET('Delivery Order'!$F$11,A17,0))</f>
        <v xml:space="preserve"> </v>
      </c>
      <c r="J17" s="59" t="str">
        <f ca="1">IF(OFFSET('Delivery Order'!$B$11,A17,0)=0," ", OFFSET('Delivery Order'!$B$11,A17,0))</f>
        <v xml:space="preserve"> </v>
      </c>
    </row>
    <row r="18" spans="1:10" s="19" customFormat="1" ht="33.75">
      <c r="A18" s="28">
        <f t="shared" si="0"/>
        <v>7</v>
      </c>
      <c r="B18" s="55" t="str">
        <f ca="1">IF(OFFSET('Delivery Order'!$C$11,A18,0)=0," ", OFFSET('Delivery Order'!$C$11,A18,0))</f>
        <v xml:space="preserve"> </v>
      </c>
      <c r="C18" s="56"/>
      <c r="D18" s="56"/>
      <c r="E18" s="56"/>
      <c r="F18" s="61" t="str">
        <f ca="1">IF(OFFSET('Delivery Order'!$D$11,A18,0)=0," ", OFFSET('Delivery Order'!$D$11,A18,0))</f>
        <v xml:space="preserve"> </v>
      </c>
      <c r="G18" s="61"/>
      <c r="H18" s="61"/>
      <c r="I18" s="57" t="str">
        <f ca="1">IF(OFFSET('Delivery Order'!$F$11,A18,0)=0," ", OFFSET('Delivery Order'!$F$11,A18,0))</f>
        <v xml:space="preserve"> </v>
      </c>
      <c r="J18" s="59" t="str">
        <f ca="1">IF(OFFSET('Delivery Order'!$B$11,A18,0)=0," ", OFFSET('Delivery Order'!$B$11,A18,0))</f>
        <v xml:space="preserve"> </v>
      </c>
    </row>
    <row r="19" spans="1:10" s="19" customFormat="1" ht="33.75">
      <c r="A19" s="28">
        <f t="shared" si="0"/>
        <v>8</v>
      </c>
      <c r="B19" s="55" t="str">
        <f ca="1">IF(OFFSET('Delivery Order'!$C$11,A19,0)=0," ", OFFSET('Delivery Order'!$C$11,A19,0))</f>
        <v xml:space="preserve"> </v>
      </c>
      <c r="C19" s="56"/>
      <c r="D19" s="56"/>
      <c r="E19" s="56"/>
      <c r="F19" s="61" t="str">
        <f ca="1">IF(OFFSET('Delivery Order'!$D$11,A19,0)=0," ", OFFSET('Delivery Order'!$D$11,A19,0))</f>
        <v xml:space="preserve"> </v>
      </c>
      <c r="G19" s="61"/>
      <c r="H19" s="61"/>
      <c r="I19" s="57" t="str">
        <f ca="1">IF(OFFSET('Delivery Order'!$F$11,A19,0)=0," ", OFFSET('Delivery Order'!$F$11,A19,0))</f>
        <v xml:space="preserve"> </v>
      </c>
      <c r="J19" s="59" t="str">
        <f ca="1">IF(OFFSET('Delivery Order'!$B$11,A19,0)=0," ", OFFSET('Delivery Order'!$B$11,A19,0))</f>
        <v xml:space="preserve"> </v>
      </c>
    </row>
    <row r="20" spans="1:10" s="19" customFormat="1" ht="33.75">
      <c r="A20" s="28">
        <f t="shared" si="0"/>
        <v>9</v>
      </c>
      <c r="B20" s="55" t="str">
        <f ca="1">IF(OFFSET('Delivery Order'!$C$11,A20,0)=0," ", OFFSET('Delivery Order'!$C$11,A20,0))</f>
        <v xml:space="preserve"> </v>
      </c>
      <c r="C20" s="56"/>
      <c r="D20" s="56"/>
      <c r="E20" s="56"/>
      <c r="F20" s="61" t="str">
        <f ca="1">IF(OFFSET('Delivery Order'!$D$11,A20,0)=0," ", OFFSET('Delivery Order'!$D$11,A20,0))</f>
        <v xml:space="preserve"> </v>
      </c>
      <c r="G20" s="61"/>
      <c r="H20" s="61"/>
      <c r="I20" s="57" t="str">
        <f ca="1">IF(OFFSET('Delivery Order'!$F$11,A20,0)=0," ", OFFSET('Delivery Order'!$F$11,A20,0))</f>
        <v xml:space="preserve"> </v>
      </c>
      <c r="J20" s="59" t="str">
        <f ca="1">IF(OFFSET('Delivery Order'!$B$11,A20,0)=0," ", OFFSET('Delivery Order'!$B$11,A20,0))</f>
        <v xml:space="preserve"> </v>
      </c>
    </row>
    <row r="21" spans="1:10" s="19" customFormat="1" ht="33.75">
      <c r="A21" s="28">
        <f t="shared" si="0"/>
        <v>10</v>
      </c>
      <c r="B21" s="55" t="str">
        <f ca="1">IF(OFFSET('Delivery Order'!$C$11,A21,0)=0," ", OFFSET('Delivery Order'!$C$11,A21,0))</f>
        <v xml:space="preserve"> </v>
      </c>
      <c r="C21" s="56"/>
      <c r="D21" s="56"/>
      <c r="E21" s="56"/>
      <c r="F21" s="61" t="str">
        <f ca="1">IF(OFFSET('Delivery Order'!$D$11,A21,0)=0," ", OFFSET('Delivery Order'!$D$11,A21,0))</f>
        <v xml:space="preserve"> </v>
      </c>
      <c r="G21" s="61"/>
      <c r="H21" s="61"/>
      <c r="I21" s="57" t="str">
        <f ca="1">IF(OFFSET('Delivery Order'!$F$11,A21,0)=0," ", OFFSET('Delivery Order'!$F$11,A21,0))</f>
        <v xml:space="preserve"> </v>
      </c>
      <c r="J21" s="59" t="str">
        <f ca="1">IF(OFFSET('Delivery Order'!$B$11,A21,0)=0," ", OFFSET('Delivery Order'!$B$11,A21,0))</f>
        <v xml:space="preserve"> </v>
      </c>
    </row>
    <row r="22" spans="1:10" s="19" customFormat="1" ht="33.75">
      <c r="A22" s="28">
        <f t="shared" si="0"/>
        <v>11</v>
      </c>
      <c r="B22" s="55" t="str">
        <f ca="1">IF(OFFSET('Delivery Order'!$C$11,A22,0)=0," ", OFFSET('Delivery Order'!$C$11,A22,0))</f>
        <v xml:space="preserve"> </v>
      </c>
      <c r="C22" s="56"/>
      <c r="D22" s="56"/>
      <c r="E22" s="56"/>
      <c r="F22" s="61" t="str">
        <f ca="1">IF(OFFSET('Delivery Order'!$D$11,A22,0)=0," ", OFFSET('Delivery Order'!$D$11,A22,0))</f>
        <v xml:space="preserve"> </v>
      </c>
      <c r="G22" s="61"/>
      <c r="H22" s="61"/>
      <c r="I22" s="57" t="str">
        <f ca="1">IF(OFFSET('Delivery Order'!$F$11,A22,0)=0," ", OFFSET('Delivery Order'!$F$11,A22,0))</f>
        <v xml:space="preserve"> </v>
      </c>
      <c r="J22" s="59" t="str">
        <f ca="1">IF(OFFSET('Delivery Order'!$B$11,A22,0)=0," ", OFFSET('Delivery Order'!$B$11,A22,0))</f>
        <v xml:space="preserve"> </v>
      </c>
    </row>
    <row r="23" spans="1:10" s="19" customFormat="1" ht="33.75">
      <c r="A23" s="28">
        <f t="shared" si="0"/>
        <v>12</v>
      </c>
      <c r="B23" s="55" t="str">
        <f ca="1">IF(OFFSET('Delivery Order'!$C$11,A23,0)=0," ", OFFSET('Delivery Order'!$C$11,A23,0))</f>
        <v xml:space="preserve"> </v>
      </c>
      <c r="C23" s="56"/>
      <c r="D23" s="56"/>
      <c r="E23" s="56"/>
      <c r="F23" s="61" t="str">
        <f ca="1">IF(OFFSET('Delivery Order'!$D$11,A23,0)=0," ", OFFSET('Delivery Order'!$D$11,A23,0))</f>
        <v xml:space="preserve"> </v>
      </c>
      <c r="G23" s="61"/>
      <c r="H23" s="61"/>
      <c r="I23" s="57" t="str">
        <f ca="1">IF(OFFSET('Delivery Order'!$F$11,A23,0)=0," ", OFFSET('Delivery Order'!$F$11,A23,0))</f>
        <v xml:space="preserve"> </v>
      </c>
      <c r="J23" s="59" t="str">
        <f ca="1">IF(OFFSET('Delivery Order'!$B$11,A23,0)=0," ", OFFSET('Delivery Order'!$B$11,A23,0))</f>
        <v xml:space="preserve"> </v>
      </c>
    </row>
    <row r="24" spans="1:10" s="19" customFormat="1" ht="33.75">
      <c r="A24" s="28">
        <f t="shared" si="0"/>
        <v>13</v>
      </c>
      <c r="B24" s="55" t="str">
        <f ca="1">IF(OFFSET('Delivery Order'!$C$11,A24,0)=0," ", OFFSET('Delivery Order'!$C$11,A24,0))</f>
        <v xml:space="preserve"> </v>
      </c>
      <c r="C24" s="56"/>
      <c r="D24" s="56"/>
      <c r="E24" s="56"/>
      <c r="F24" s="61" t="str">
        <f ca="1">IF(OFFSET('Delivery Order'!$D$11,A24,0)=0," ", OFFSET('Delivery Order'!$D$11,A24,0))</f>
        <v xml:space="preserve"> </v>
      </c>
      <c r="G24" s="61"/>
      <c r="H24" s="61"/>
      <c r="I24" s="57" t="str">
        <f ca="1">IF(OFFSET('Delivery Order'!$F$11,A24,0)=0," ", OFFSET('Delivery Order'!$F$11,A24,0))</f>
        <v xml:space="preserve"> </v>
      </c>
      <c r="J24" s="59" t="str">
        <f ca="1">IF(OFFSET('Delivery Order'!$B$11,A24,0)=0," ", OFFSET('Delivery Order'!$B$11,A24,0))</f>
        <v xml:space="preserve"> </v>
      </c>
    </row>
    <row r="25" spans="1:10" s="19" customFormat="1" ht="33.75">
      <c r="A25" s="28">
        <f t="shared" si="0"/>
        <v>14</v>
      </c>
      <c r="B25" s="55" t="str">
        <f ca="1">IF(OFFSET('Delivery Order'!$C$11,A25,0)=0," ", OFFSET('Delivery Order'!$C$11,A25,0))</f>
        <v xml:space="preserve"> </v>
      </c>
      <c r="C25" s="56"/>
      <c r="D25" s="56"/>
      <c r="E25" s="56"/>
      <c r="F25" s="61" t="str">
        <f ca="1">IF(OFFSET('Delivery Order'!$D$11,A25,0)=0," ", OFFSET('Delivery Order'!$D$11,A25,0))</f>
        <v xml:space="preserve"> </v>
      </c>
      <c r="G25" s="61"/>
      <c r="H25" s="61"/>
      <c r="I25" s="57" t="str">
        <f ca="1">IF(OFFSET('Delivery Order'!$F$11,A25,0)=0," ", OFFSET('Delivery Order'!$F$11,A25,0))</f>
        <v xml:space="preserve"> </v>
      </c>
      <c r="J25" s="59" t="str">
        <f ca="1">IF(OFFSET('Delivery Order'!$B$11,A25,0)=0," ", OFFSET('Delivery Order'!$B$11,A25,0))</f>
        <v xml:space="preserve"> </v>
      </c>
    </row>
    <row r="26" spans="1:10" s="19" customFormat="1" ht="33.75">
      <c r="A26" s="28">
        <f t="shared" si="0"/>
        <v>15</v>
      </c>
      <c r="B26" s="55" t="str">
        <f ca="1">IF(OFFSET('Delivery Order'!$C$11,A26,0)=0," ", OFFSET('Delivery Order'!$C$11,A26,0))</f>
        <v xml:space="preserve"> </v>
      </c>
      <c r="C26" s="56"/>
      <c r="D26" s="56"/>
      <c r="E26" s="56"/>
      <c r="F26" s="61" t="str">
        <f ca="1">IF(OFFSET('Delivery Order'!$D$11,A26,0)=0," ", OFFSET('Delivery Order'!$D$11,A26,0))</f>
        <v xml:space="preserve"> </v>
      </c>
      <c r="G26" s="61"/>
      <c r="H26" s="61"/>
      <c r="I26" s="57" t="str">
        <f ca="1">IF(OFFSET('Delivery Order'!$F$11,A26,0)=0," ", OFFSET('Delivery Order'!$F$11,A26,0))</f>
        <v xml:space="preserve"> </v>
      </c>
      <c r="J26" s="59" t="str">
        <f ca="1">IF(OFFSET('Delivery Order'!$B$11,A26,0)=0," ", OFFSET('Delivery Order'!$B$11,A26,0))</f>
        <v xml:space="preserve"> </v>
      </c>
    </row>
    <row r="27" spans="1:10" s="19" customFormat="1" ht="33.75">
      <c r="A27" s="28">
        <f t="shared" si="0"/>
        <v>16</v>
      </c>
      <c r="B27" s="55" t="str">
        <f ca="1">IF(OFFSET('Delivery Order'!$C$11,A27,0)=0," ", OFFSET('Delivery Order'!$C$11,A27,0))</f>
        <v xml:space="preserve"> </v>
      </c>
      <c r="C27" s="56"/>
      <c r="D27" s="56"/>
      <c r="E27" s="56"/>
      <c r="F27" s="61" t="str">
        <f ca="1">IF(OFFSET('Delivery Order'!$D$11,A27,0)=0," ", OFFSET('Delivery Order'!$D$11,A27,0))</f>
        <v xml:space="preserve"> </v>
      </c>
      <c r="G27" s="61"/>
      <c r="H27" s="61"/>
      <c r="I27" s="57" t="str">
        <f ca="1">IF(OFFSET('Delivery Order'!$F$11,A27,0)=0," ", OFFSET('Delivery Order'!$F$11,A27,0))</f>
        <v xml:space="preserve"> </v>
      </c>
      <c r="J27" s="59" t="str">
        <f ca="1">IF(OFFSET('Delivery Order'!$B$11,A27,0)=0," ", OFFSET('Delivery Order'!$B$11,A27,0))</f>
        <v xml:space="preserve"> </v>
      </c>
    </row>
    <row r="28" spans="1:10" s="19" customFormat="1" ht="33.75">
      <c r="A28" s="28">
        <f t="shared" si="0"/>
        <v>17</v>
      </c>
      <c r="B28" s="55" t="str">
        <f ca="1">IF(OFFSET('Delivery Order'!$C$11,A28,0)=0," ", OFFSET('Delivery Order'!$C$11,A28,0))</f>
        <v xml:space="preserve"> </v>
      </c>
      <c r="C28" s="56"/>
      <c r="D28" s="56"/>
      <c r="E28" s="56"/>
      <c r="F28" s="61" t="str">
        <f ca="1">IF(OFFSET('Delivery Order'!$D$11,A28,0)=0," ", OFFSET('Delivery Order'!$D$11,A28,0))</f>
        <v xml:space="preserve"> </v>
      </c>
      <c r="G28" s="61"/>
      <c r="H28" s="61"/>
      <c r="I28" s="57" t="str">
        <f ca="1">IF(OFFSET('Delivery Order'!$F$11,A28,0)=0," ", OFFSET('Delivery Order'!$F$11,A28,0))</f>
        <v xml:space="preserve"> </v>
      </c>
      <c r="J28" s="59" t="str">
        <f ca="1">IF(OFFSET('Delivery Order'!$B$11,A28,0)=0," ", OFFSET('Delivery Order'!$B$11,A28,0))</f>
        <v xml:space="preserve"> </v>
      </c>
    </row>
    <row r="29" spans="1:10" s="19" customFormat="1" ht="33.75">
      <c r="A29" s="28">
        <f t="shared" si="0"/>
        <v>18</v>
      </c>
      <c r="B29" s="55" t="str">
        <f ca="1">IF(OFFSET('Delivery Order'!$C$11,A29,0)=0," ", OFFSET('Delivery Order'!$C$11,A29,0))</f>
        <v xml:space="preserve"> </v>
      </c>
      <c r="C29" s="56"/>
      <c r="D29" s="56"/>
      <c r="E29" s="56"/>
      <c r="F29" s="61" t="str">
        <f ca="1">IF(OFFSET('Delivery Order'!$D$11,A29,0)=0," ", OFFSET('Delivery Order'!$D$11,A29,0))</f>
        <v xml:space="preserve"> </v>
      </c>
      <c r="G29" s="61"/>
      <c r="H29" s="61"/>
      <c r="I29" s="57" t="str">
        <f ca="1">IF(OFFSET('Delivery Order'!$F$11,A29,0)=0," ", OFFSET('Delivery Order'!$F$11,A29,0))</f>
        <v xml:space="preserve"> </v>
      </c>
      <c r="J29" s="59" t="str">
        <f ca="1">IF(OFFSET('Delivery Order'!$B$11,A29,0)=0," ", OFFSET('Delivery Order'!$B$11,A29,0))</f>
        <v xml:space="preserve"> </v>
      </c>
    </row>
    <row r="30" spans="1:10" s="19" customFormat="1" ht="33.75">
      <c r="A30" s="28">
        <f t="shared" si="0"/>
        <v>19</v>
      </c>
      <c r="B30" s="55" t="str">
        <f ca="1">IF(OFFSET('Delivery Order'!$C$11,A30,0)=0," ", OFFSET('Delivery Order'!$C$11,A30,0))</f>
        <v xml:space="preserve"> </v>
      </c>
      <c r="C30" s="56"/>
      <c r="D30" s="56"/>
      <c r="E30" s="56"/>
      <c r="F30" s="61" t="str">
        <f ca="1">IF(OFFSET('Delivery Order'!$D$11,A30,0)=0," ", OFFSET('Delivery Order'!$D$11,A30,0))</f>
        <v xml:space="preserve"> </v>
      </c>
      <c r="G30" s="61"/>
      <c r="H30" s="61"/>
      <c r="I30" s="57" t="str">
        <f ca="1">IF(OFFSET('Delivery Order'!$F$11,A30,0)=0," ", OFFSET('Delivery Order'!$F$11,A30,0))</f>
        <v xml:space="preserve"> </v>
      </c>
      <c r="J30" s="59" t="str">
        <f ca="1">IF(OFFSET('Delivery Order'!$B$11,A30,0)=0," ", OFFSET('Delivery Order'!$B$11,A30,0))</f>
        <v xml:space="preserve"> </v>
      </c>
    </row>
    <row r="31" spans="1:10" s="19" customFormat="1" ht="33.75">
      <c r="A31" s="28">
        <f t="shared" si="0"/>
        <v>20</v>
      </c>
      <c r="B31" s="55" t="str">
        <f ca="1">IF(OFFSET('Delivery Order'!$C$11,A31,0)=0," ", OFFSET('Delivery Order'!$C$11,A31,0))</f>
        <v xml:space="preserve"> </v>
      </c>
      <c r="C31" s="56"/>
      <c r="D31" s="56"/>
      <c r="E31" s="56"/>
      <c r="F31" s="61" t="str">
        <f ca="1">IF(OFFSET('Delivery Order'!$D$11,A31,0)=0," ", OFFSET('Delivery Order'!$D$11,A31,0))</f>
        <v xml:space="preserve"> </v>
      </c>
      <c r="G31" s="61"/>
      <c r="H31" s="61"/>
      <c r="I31" s="57" t="str">
        <f ca="1">IF(OFFSET('Delivery Order'!$F$11,A31,0)=0," ", OFFSET('Delivery Order'!$F$11,A31,0))</f>
        <v xml:space="preserve"> </v>
      </c>
      <c r="J31" s="59" t="str">
        <f ca="1">IF(OFFSET('Delivery Order'!$B$11,A31,0)=0," ", OFFSET('Delivery Order'!$B$11,A31,0))</f>
        <v xml:space="preserve"> </v>
      </c>
    </row>
    <row r="32" spans="1:10" s="19" customFormat="1" ht="33.75">
      <c r="A32" s="28">
        <f t="shared" si="0"/>
        <v>21</v>
      </c>
      <c r="B32" s="55" t="str">
        <f ca="1">IF(OFFSET('Delivery Order'!$C$11,A32,0)=0," ", OFFSET('Delivery Order'!$C$11,A32,0))</f>
        <v xml:space="preserve"> </v>
      </c>
      <c r="C32" s="56"/>
      <c r="D32" s="56"/>
      <c r="E32" s="56"/>
      <c r="F32" s="61" t="str">
        <f ca="1">IF(OFFSET('Delivery Order'!$D$11,A32,0)=0," ", OFFSET('Delivery Order'!$D$11,A32,0))</f>
        <v xml:space="preserve"> </v>
      </c>
      <c r="G32" s="61"/>
      <c r="H32" s="61"/>
      <c r="I32" s="57" t="str">
        <f ca="1">IF(OFFSET('Delivery Order'!$F$11,A32,0)=0," ", OFFSET('Delivery Order'!$F$11,A32,0))</f>
        <v xml:space="preserve"> </v>
      </c>
      <c r="J32" s="59" t="str">
        <f ca="1">IF(OFFSET('Delivery Order'!$B$11,A32,0)=0," ", OFFSET('Delivery Order'!$B$11,A32,0))</f>
        <v xml:space="preserve"> </v>
      </c>
    </row>
    <row r="33" spans="1:10" s="19" customFormat="1" ht="33.75">
      <c r="A33" s="28">
        <f t="shared" si="0"/>
        <v>22</v>
      </c>
      <c r="B33" s="55" t="str">
        <f ca="1">IF(OFFSET('Delivery Order'!$C$11,A33,0)=0," ", OFFSET('Delivery Order'!$C$11,A33,0))</f>
        <v xml:space="preserve"> </v>
      </c>
      <c r="C33" s="56"/>
      <c r="D33" s="56"/>
      <c r="E33" s="56"/>
      <c r="F33" s="61" t="str">
        <f ca="1">IF(OFFSET('Delivery Order'!$D$11,A33,0)=0," ", OFFSET('Delivery Order'!$D$11,A33,0))</f>
        <v xml:space="preserve"> </v>
      </c>
      <c r="G33" s="61"/>
      <c r="H33" s="61"/>
      <c r="I33" s="57" t="str">
        <f ca="1">IF(OFFSET('Delivery Order'!$F$11,A33,0)=0," ", OFFSET('Delivery Order'!$F$11,A33,0))</f>
        <v xml:space="preserve"> </v>
      </c>
      <c r="J33" s="59" t="str">
        <f ca="1">IF(OFFSET('Delivery Order'!$B$11,A33,0)=0," ", OFFSET('Delivery Order'!$B$11,A33,0))</f>
        <v xml:space="preserve"> </v>
      </c>
    </row>
    <row r="34" spans="1:10" s="19" customFormat="1" ht="33.75">
      <c r="A34" s="28">
        <f t="shared" si="0"/>
        <v>23</v>
      </c>
      <c r="B34" s="55" t="str">
        <f ca="1">IF(OFFSET('Delivery Order'!$C$11,A34,0)=0," ", OFFSET('Delivery Order'!$C$11,A34,0))</f>
        <v xml:space="preserve"> </v>
      </c>
      <c r="C34" s="56"/>
      <c r="D34" s="56"/>
      <c r="E34" s="56"/>
      <c r="F34" s="61" t="str">
        <f ca="1">IF(OFFSET('Delivery Order'!$D$11,A34,0)=0," ", OFFSET('Delivery Order'!$D$11,A34,0))</f>
        <v xml:space="preserve"> </v>
      </c>
      <c r="G34" s="61"/>
      <c r="H34" s="61"/>
      <c r="I34" s="57" t="str">
        <f ca="1">IF(OFFSET('Delivery Order'!$F$11,A34,0)=0," ", OFFSET('Delivery Order'!$F$11,A34,0))</f>
        <v xml:space="preserve"> </v>
      </c>
      <c r="J34" s="59" t="str">
        <f ca="1">IF(OFFSET('Delivery Order'!$B$11,A34,0)=0," ", OFFSET('Delivery Order'!$B$11,A34,0))</f>
        <v xml:space="preserve"> </v>
      </c>
    </row>
    <row r="35" spans="1:10" s="19" customFormat="1" ht="33.75">
      <c r="A35" s="28">
        <f t="shared" si="0"/>
        <v>24</v>
      </c>
      <c r="B35" s="55" t="str">
        <f ca="1">IF(OFFSET('Delivery Order'!$C$11,A35,0)=0," ", OFFSET('Delivery Order'!$C$11,A35,0))</f>
        <v xml:space="preserve"> </v>
      </c>
      <c r="C35" s="56"/>
      <c r="D35" s="56"/>
      <c r="E35" s="56"/>
      <c r="F35" s="61" t="str">
        <f ca="1">IF(OFFSET('Delivery Order'!$D$11,A35,0)=0," ", OFFSET('Delivery Order'!$D$11,A35,0))</f>
        <v xml:space="preserve"> </v>
      </c>
      <c r="G35" s="61"/>
      <c r="H35" s="61"/>
      <c r="I35" s="57" t="str">
        <f ca="1">IF(OFFSET('Delivery Order'!$F$11,A35,0)=0," ", OFFSET('Delivery Order'!$F$11,A35,0))</f>
        <v xml:space="preserve"> </v>
      </c>
      <c r="J35" s="59" t="str">
        <f ca="1">IF(OFFSET('Delivery Order'!$B$11,A35,0)=0," ", OFFSET('Delivery Order'!$B$11,A35,0))</f>
        <v xml:space="preserve"> </v>
      </c>
    </row>
    <row r="36" spans="1:10" s="19" customFormat="1" ht="33.75">
      <c r="A36" s="28">
        <f t="shared" si="0"/>
        <v>25</v>
      </c>
      <c r="B36" s="55" t="str">
        <f ca="1">IF(OFFSET('Delivery Order'!$C$11,A36,0)=0," ", OFFSET('Delivery Order'!$C$11,A36,0))</f>
        <v xml:space="preserve"> </v>
      </c>
      <c r="C36" s="56"/>
      <c r="D36" s="56"/>
      <c r="E36" s="56"/>
      <c r="F36" s="61" t="str">
        <f ca="1">IF(OFFSET('Delivery Order'!$D$11,A36,0)=0," ", OFFSET('Delivery Order'!$D$11,A36,0))</f>
        <v xml:space="preserve"> </v>
      </c>
      <c r="G36" s="61"/>
      <c r="H36" s="61"/>
      <c r="I36" s="57" t="str">
        <f ca="1">IF(OFFSET('Delivery Order'!$F$11,A36,0)=0," ", OFFSET('Delivery Order'!$F$11,A36,0))</f>
        <v xml:space="preserve"> </v>
      </c>
      <c r="J36" s="59" t="str">
        <f ca="1">IF(OFFSET('Delivery Order'!$B$11,A36,0)=0," ", OFFSET('Delivery Order'!$B$11,A36,0))</f>
        <v xml:space="preserve"> </v>
      </c>
    </row>
    <row r="37" spans="1:10" s="19" customFormat="1" ht="33.75">
      <c r="A37" s="28">
        <f t="shared" si="0"/>
        <v>26</v>
      </c>
      <c r="B37" s="55" t="str">
        <f ca="1">IF(OFFSET('Delivery Order'!$C$11,A37,0)=0," ", OFFSET('Delivery Order'!$C$11,A37,0))</f>
        <v xml:space="preserve"> </v>
      </c>
      <c r="C37" s="56"/>
      <c r="D37" s="56"/>
      <c r="E37" s="56"/>
      <c r="F37" s="61" t="str">
        <f ca="1">IF(OFFSET('Delivery Order'!$D$11,A37,0)=0," ", OFFSET('Delivery Order'!$D$11,A37,0))</f>
        <v xml:space="preserve"> </v>
      </c>
      <c r="G37" s="61"/>
      <c r="H37" s="61"/>
      <c r="I37" s="57" t="str">
        <f ca="1">IF(OFFSET('Delivery Order'!$F$11,A37,0)=0," ", OFFSET('Delivery Order'!$F$11,A37,0))</f>
        <v xml:space="preserve"> </v>
      </c>
      <c r="J37" s="59" t="str">
        <f ca="1">IF(OFFSET('Delivery Order'!$B$11,A37,0)=0," ", OFFSET('Delivery Order'!$B$11,A37,0))</f>
        <v xml:space="preserve"> </v>
      </c>
    </row>
    <row r="38" spans="1:10" s="19" customFormat="1" ht="33.75">
      <c r="A38" s="28">
        <f t="shared" si="0"/>
        <v>27</v>
      </c>
      <c r="B38" s="55" t="str">
        <f ca="1">IF(OFFSET('Delivery Order'!$C$11,A38,0)=0," ", OFFSET('Delivery Order'!$C$11,A38,0))</f>
        <v xml:space="preserve"> </v>
      </c>
      <c r="C38" s="56"/>
      <c r="D38" s="56"/>
      <c r="E38" s="56"/>
      <c r="F38" s="61" t="str">
        <f ca="1">IF(OFFSET('Delivery Order'!$D$11,A38,0)=0," ", OFFSET('Delivery Order'!$D$11,A38,0))</f>
        <v xml:space="preserve"> </v>
      </c>
      <c r="G38" s="61"/>
      <c r="H38" s="61"/>
      <c r="I38" s="57" t="str">
        <f ca="1">IF(OFFSET('Delivery Order'!$F$11,A38,0)=0," ", OFFSET('Delivery Order'!$F$11,A38,0))</f>
        <v xml:space="preserve"> </v>
      </c>
      <c r="J38" s="59" t="str">
        <f ca="1">IF(OFFSET('Delivery Order'!$B$11,A38,0)=0," ", OFFSET('Delivery Order'!$B$11,A38,0))</f>
        <v xml:space="preserve"> </v>
      </c>
    </row>
    <row r="39" spans="1:10" s="19" customFormat="1" ht="33.75">
      <c r="A39" s="28">
        <f t="shared" si="0"/>
        <v>28</v>
      </c>
      <c r="B39" s="55" t="str">
        <f ca="1">IF(OFFSET('Delivery Order'!$C$11,A39,0)=0," ", OFFSET('Delivery Order'!$C$11,A39,0))</f>
        <v xml:space="preserve"> </v>
      </c>
      <c r="C39" s="56"/>
      <c r="D39" s="56"/>
      <c r="E39" s="56"/>
      <c r="F39" s="61" t="str">
        <f ca="1">IF(OFFSET('Delivery Order'!$D$11,A39,0)=0," ", OFFSET('Delivery Order'!$D$11,A39,0))</f>
        <v xml:space="preserve"> </v>
      </c>
      <c r="G39" s="61"/>
      <c r="H39" s="61"/>
      <c r="I39" s="57" t="str">
        <f ca="1">IF(OFFSET('Delivery Order'!$F$11,A39,0)=0," ", OFFSET('Delivery Order'!$F$11,A39,0))</f>
        <v xml:space="preserve"> </v>
      </c>
      <c r="J39" s="59" t="str">
        <f ca="1">IF(OFFSET('Delivery Order'!$B$11,A39,0)=0," ", OFFSET('Delivery Order'!$B$11,A39,0))</f>
        <v xml:space="preserve"> </v>
      </c>
    </row>
    <row r="40" spans="1:10" s="19" customFormat="1" ht="33.75">
      <c r="A40" s="28">
        <f t="shared" si="0"/>
        <v>29</v>
      </c>
      <c r="B40" s="55" t="str">
        <f ca="1">IF(OFFSET('Delivery Order'!$C$11,A40,0)=0," ", OFFSET('Delivery Order'!$C$11,A40,0))</f>
        <v xml:space="preserve"> </v>
      </c>
      <c r="C40" s="56"/>
      <c r="D40" s="56"/>
      <c r="E40" s="56"/>
      <c r="F40" s="61" t="str">
        <f ca="1">IF(OFFSET('Delivery Order'!$D$11,A40,0)=0," ", OFFSET('Delivery Order'!$D$11,A40,0))</f>
        <v xml:space="preserve"> </v>
      </c>
      <c r="G40" s="61"/>
      <c r="H40" s="61"/>
      <c r="I40" s="57" t="str">
        <f ca="1">IF(OFFSET('Delivery Order'!$F$11,A40,0)=0," ", OFFSET('Delivery Order'!$F$11,A40,0))</f>
        <v xml:space="preserve"> </v>
      </c>
      <c r="J40" s="59" t="str">
        <f ca="1">IF(OFFSET('Delivery Order'!$B$11,A40,0)=0," ", OFFSET('Delivery Order'!$B$11,A40,0))</f>
        <v xml:space="preserve"> </v>
      </c>
    </row>
    <row r="41" spans="1:10" s="19" customFormat="1" ht="34.5" thickBot="1">
      <c r="A41" s="29">
        <f>A40+1</f>
        <v>30</v>
      </c>
      <c r="B41" s="55" t="str">
        <f ca="1">IF(OFFSET('Delivery Order'!$C$11,A41,0)=0," ", OFFSET('Delivery Order'!$C$11,A41,0))</f>
        <v xml:space="preserve"> </v>
      </c>
      <c r="C41" s="58"/>
      <c r="D41" s="58"/>
      <c r="E41" s="58"/>
      <c r="F41" s="61" t="str">
        <f ca="1">IF(OFFSET('Delivery Order'!$D$11,A41,0)=0," ", OFFSET('Delivery Order'!$D$11,A41,0))</f>
        <v xml:space="preserve"> </v>
      </c>
      <c r="G41" s="61"/>
      <c r="H41" s="61"/>
      <c r="I41" s="57" t="str">
        <f ca="1">IF(OFFSET('Delivery Order'!$F$11,A41,0)=0," ", OFFSET('Delivery Order'!$F$11,A41,0))</f>
        <v xml:space="preserve"> </v>
      </c>
      <c r="J41" s="59" t="str">
        <f ca="1">IF(OFFSET('Delivery Order'!$B$11,A41,0)=0," ", OFFSET('Delivery Order'!$B$11,A41,0))</f>
        <v xml:space="preserve"> </v>
      </c>
    </row>
    <row r="42" spans="1:10" s="23" customFormat="1" ht="47.25" thickBot="1">
      <c r="A42" s="70" t="s">
        <v>17</v>
      </c>
      <c r="B42" s="70"/>
      <c r="C42" s="20"/>
      <c r="D42" s="20"/>
      <c r="E42" s="21" t="s">
        <v>18</v>
      </c>
      <c r="F42" s="22">
        <f ca="1">COUNT(I12:I41)</f>
        <v>0</v>
      </c>
      <c r="G42" s="20"/>
      <c r="H42" s="20" t="s">
        <v>19</v>
      </c>
      <c r="I42" s="22">
        <f ca="1">SUM(I12:I41)</f>
        <v>0</v>
      </c>
    </row>
  </sheetData>
  <mergeCells count="44">
    <mergeCell ref="A8:F8"/>
    <mergeCell ref="A9:F9"/>
    <mergeCell ref="H8:H9"/>
    <mergeCell ref="K2:L2"/>
    <mergeCell ref="A6:I6"/>
    <mergeCell ref="G1:I1"/>
    <mergeCell ref="A2:F2"/>
    <mergeCell ref="G2:I2"/>
    <mergeCell ref="A5:C5"/>
    <mergeCell ref="A42:B42"/>
    <mergeCell ref="G8:G9"/>
    <mergeCell ref="I8:I9"/>
    <mergeCell ref="A11:B11"/>
    <mergeCell ref="D11:E11"/>
    <mergeCell ref="F12:H12"/>
    <mergeCell ref="F13:H13"/>
    <mergeCell ref="F14:H14"/>
    <mergeCell ref="F15:H15"/>
    <mergeCell ref="F16:H16"/>
    <mergeCell ref="F17:H17"/>
    <mergeCell ref="F18:H18"/>
    <mergeCell ref="F19:H19"/>
    <mergeCell ref="F20:H20"/>
    <mergeCell ref="F21:H21"/>
    <mergeCell ref="F22:H22"/>
    <mergeCell ref="F23:H23"/>
    <mergeCell ref="F24:H24"/>
    <mergeCell ref="F25:H25"/>
    <mergeCell ref="F26:H26"/>
    <mergeCell ref="F27:H27"/>
    <mergeCell ref="F28:H28"/>
    <mergeCell ref="F29:H29"/>
    <mergeCell ref="F30:H30"/>
    <mergeCell ref="F31:H31"/>
    <mergeCell ref="F32:H32"/>
    <mergeCell ref="F33:H33"/>
    <mergeCell ref="F34:H34"/>
    <mergeCell ref="F35:H35"/>
    <mergeCell ref="F41:H41"/>
    <mergeCell ref="F36:H36"/>
    <mergeCell ref="F37:H37"/>
    <mergeCell ref="F38:H38"/>
    <mergeCell ref="F39:H39"/>
    <mergeCell ref="F40:H40"/>
  </mergeCells>
  <conditionalFormatting sqref="B12:B41">
    <cfRule type="cellIs" dxfId="0" priority="1" operator="equal">
      <formula>B11</formula>
    </cfRule>
  </conditionalFormatting>
  <pageMargins left="0.25" right="0.25" top="0.3" bottom="0.3" header="0.3" footer="0.3"/>
  <pageSetup paperSize="130" fitToWidth="0"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ickPrintCurrent">
                <anchor moveWithCells="1" sizeWithCells="1">
                  <from>
                    <xdr:col>9</xdr:col>
                    <xdr:colOff>1019175</xdr:colOff>
                    <xdr:row>5</xdr:row>
                    <xdr:rowOff>142875</xdr:rowOff>
                  </from>
                  <to>
                    <xdr:col>18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ickshiftup">
                <anchor moveWithCells="1" sizeWithCells="1">
                  <from>
                    <xdr:col>9</xdr:col>
                    <xdr:colOff>1019175</xdr:colOff>
                    <xdr:row>7</xdr:row>
                    <xdr:rowOff>228600</xdr:rowOff>
                  </from>
                  <to>
                    <xdr:col>13</xdr:col>
                    <xdr:colOff>19050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ickshiftdown">
                <anchor moveWithCells="1" sizeWithCells="1">
                  <from>
                    <xdr:col>13</xdr:col>
                    <xdr:colOff>171450</xdr:colOff>
                    <xdr:row>7</xdr:row>
                    <xdr:rowOff>219075</xdr:rowOff>
                  </from>
                  <to>
                    <xdr:col>18</xdr:col>
                    <xdr:colOff>142875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89D37-A9AD-4E2D-AD89-67A56F54F568}">
  <sheetPr codeName="Sheet1"/>
  <dimension ref="A1:A3"/>
  <sheetViews>
    <sheetView tabSelected="1" workbookViewId="0">
      <selection activeCell="A4" sqref="A4"/>
    </sheetView>
  </sheetViews>
  <sheetFormatPr defaultColWidth="9.140625" defaultRowHeight="15.75"/>
  <cols>
    <col min="1" max="1" width="27.28515625" style="33" bestFit="1" customWidth="1"/>
    <col min="2" max="16384" width="9.140625" style="33"/>
  </cols>
  <sheetData>
    <row r="1" spans="1:1">
      <c r="A1" s="32" t="s">
        <v>34</v>
      </c>
    </row>
    <row r="2" spans="1:1">
      <c r="A2" s="34"/>
    </row>
    <row r="3" spans="1:1">
      <c r="A3" s="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Delivery Order</vt:lpstr>
      <vt:lpstr>Label Printing</vt:lpstr>
      <vt:lpstr>Packed Item List</vt:lpstr>
      <vt:lpstr>'Delivery Order'!Print_Area</vt:lpstr>
      <vt:lpstr>'Label Printing'!Print_Area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Qin Xu</dc:creator>
  <cp:lastModifiedBy>KF Yam</cp:lastModifiedBy>
  <cp:lastPrinted>2022-07-15T00:47:14Z</cp:lastPrinted>
  <dcterms:created xsi:type="dcterms:W3CDTF">2015-06-05T18:17:20Z</dcterms:created>
  <dcterms:modified xsi:type="dcterms:W3CDTF">2024-12-27T06:15:55Z</dcterms:modified>
</cp:coreProperties>
</file>